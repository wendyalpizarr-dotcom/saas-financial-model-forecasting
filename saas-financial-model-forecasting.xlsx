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1b4f7c84192fd/Documents/"/>
    </mc:Choice>
  </mc:AlternateContent>
  <xr:revisionPtr revIDLastSave="0" documentId="8_{EA688C31-6F84-4574-8B96-B36742C2229F}" xr6:coauthVersionLast="47" xr6:coauthVersionMax="47" xr10:uidLastSave="{00000000-0000-0000-0000-000000000000}"/>
  <bookViews>
    <workbookView minimized="1" xWindow="2300" yWindow="3870" windowWidth="18370" windowHeight="10450" activeTab="5" xr2:uid="{2DCB9688-8DC6-4ADA-A5CB-5FE90924EDF7}"/>
  </bookViews>
  <sheets>
    <sheet name="Dashboard" sheetId="13" r:id="rId1"/>
    <sheet name="Forecast" sheetId="14" r:id="rId2"/>
    <sheet name="KPIs" sheetId="12" r:id="rId3"/>
    <sheet name="customer_clean" sheetId="7" r:id="rId4"/>
    <sheet name="subs_clean" sheetId="4" r:id="rId5"/>
    <sheet name="revenue_Clean" sheetId="5" r:id="rId6"/>
    <sheet name="subscriptions_raw" sheetId="3" r:id="rId7"/>
    <sheet name="revenue_raw" sheetId="2" r:id="rId8"/>
    <sheet name="customers_raw" sheetId="1" r:id="rId9"/>
  </sheets>
  <definedNames>
    <definedName name="_xlnm._FilterDatabase" localSheetId="3" hidden="1">customer_clean!$A$1:$F$1001</definedName>
    <definedName name="_xlnm._FilterDatabase" localSheetId="4" hidden="1">subs_clean!$A$1:$D$989</definedName>
  </definedNames>
  <calcPr calcId="191028" iterate="1" iterateCount="10000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4" l="1"/>
  <c r="I10" i="12"/>
  <c r="B25" i="12"/>
  <c r="E25" i="12" s="1"/>
  <c r="B26" i="12"/>
  <c r="E26" i="12" s="1"/>
  <c r="B27" i="12"/>
  <c r="H27" i="12" s="1"/>
  <c r="B28" i="12"/>
  <c r="B29" i="12"/>
  <c r="E29" i="12" s="1"/>
  <c r="B30" i="12"/>
  <c r="E30" i="12" s="1"/>
  <c r="B31" i="12"/>
  <c r="B32" i="12"/>
  <c r="H32" i="12" s="1"/>
  <c r="B33" i="12"/>
  <c r="H33" i="12" s="1"/>
  <c r="B34" i="12"/>
  <c r="E34" i="12" s="1"/>
  <c r="B35" i="12"/>
  <c r="B36" i="12"/>
  <c r="H36" i="12" s="1"/>
  <c r="B37" i="12"/>
  <c r="E37" i="12" s="1"/>
  <c r="B38" i="12"/>
  <c r="B39" i="12"/>
  <c r="H39" i="12" s="1"/>
  <c r="B40" i="12"/>
  <c r="B41" i="12"/>
  <c r="B42" i="12"/>
  <c r="E42" i="12" s="1"/>
  <c r="E27" i="12"/>
  <c r="H30" i="12" l="1"/>
  <c r="H29" i="12"/>
  <c r="H25" i="12"/>
  <c r="H26" i="12"/>
  <c r="E32" i="12"/>
  <c r="E33" i="12"/>
  <c r="H34" i="12"/>
  <c r="E35" i="12"/>
  <c r="H37" i="12"/>
  <c r="E36" i="12"/>
  <c r="H38" i="12"/>
  <c r="H42" i="12"/>
  <c r="E39" i="12"/>
  <c r="H31" i="12"/>
  <c r="E40" i="12"/>
  <c r="E28" i="12"/>
  <c r="H41" i="12"/>
  <c r="E38" i="12"/>
  <c r="H35" i="12"/>
  <c r="E31" i="12"/>
  <c r="E41" i="12"/>
  <c r="H40" i="12"/>
  <c r="H28" i="12"/>
  <c r="B44" i="12"/>
  <c r="H44" i="12" l="1"/>
  <c r="E44" i="12"/>
  <c r="E64" i="14" l="1"/>
  <c r="E33" i="14" l="1"/>
  <c r="E34" i="14"/>
  <c r="E35" i="14"/>
  <c r="E36" i="14"/>
  <c r="E37" i="14"/>
  <c r="E38" i="14"/>
  <c r="E39" i="14"/>
  <c r="E40" i="14"/>
  <c r="E41" i="14"/>
  <c r="E42" i="14"/>
  <c r="E43" i="14"/>
  <c r="E44" i="14"/>
  <c r="E32" i="14"/>
  <c r="A32" i="14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28" i="14"/>
  <c r="C28" i="14"/>
  <c r="J28" i="14" s="1" a="1"/>
  <c r="J28" i="14" s="1"/>
  <c r="D28" i="14"/>
  <c r="E28" i="14"/>
  <c r="H28" i="14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26" i="12"/>
  <c r="C25" i="12"/>
  <c r="D25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26" i="12"/>
  <c r="B9" i="12"/>
  <c r="C9" i="12" s="1"/>
  <c r="E17" i="14"/>
  <c r="E18" i="14"/>
  <c r="E19" i="14"/>
  <c r="E20" i="14"/>
  <c r="E21" i="14"/>
  <c r="E22" i="14"/>
  <c r="E23" i="14"/>
  <c r="E24" i="14"/>
  <c r="E25" i="14"/>
  <c r="E26" i="14"/>
  <c r="E27" i="14"/>
  <c r="E16" i="14"/>
  <c r="D17" i="14"/>
  <c r="D18" i="14"/>
  <c r="D19" i="14"/>
  <c r="D20" i="14"/>
  <c r="D21" i="14"/>
  <c r="D22" i="14"/>
  <c r="D23" i="14"/>
  <c r="D24" i="14"/>
  <c r="D25" i="14"/>
  <c r="D26" i="14"/>
  <c r="D27" i="14"/>
  <c r="D16" i="14"/>
  <c r="C17" i="14"/>
  <c r="C18" i="14"/>
  <c r="C19" i="14"/>
  <c r="C20" i="14"/>
  <c r="C21" i="14"/>
  <c r="J21" i="14" s="1" a="1"/>
  <c r="J21" i="14" s="1"/>
  <c r="C22" i="14"/>
  <c r="C23" i="14"/>
  <c r="C24" i="14"/>
  <c r="C25" i="14"/>
  <c r="C26" i="14"/>
  <c r="C27" i="14"/>
  <c r="C16" i="14"/>
  <c r="G5" i="12"/>
  <c r="H17" i="14"/>
  <c r="H18" i="14"/>
  <c r="H19" i="14"/>
  <c r="H20" i="14"/>
  <c r="H21" i="14"/>
  <c r="H22" i="14"/>
  <c r="H23" i="14"/>
  <c r="H24" i="14"/>
  <c r="H25" i="14"/>
  <c r="H26" i="14"/>
  <c r="H27" i="14"/>
  <c r="H16" i="14"/>
  <c r="A16" i="14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B16" i="14"/>
  <c r="G2" i="7"/>
  <c r="I2" i="12"/>
  <c r="G3" i="12"/>
  <c r="G4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" i="12"/>
  <c r="D12" i="12"/>
  <c r="D13" i="12"/>
  <c r="D14" i="12"/>
  <c r="D15" i="12"/>
  <c r="D16" i="12"/>
  <c r="D17" i="12"/>
  <c r="D5" i="12"/>
  <c r="D6" i="12"/>
  <c r="D18" i="12"/>
  <c r="D19" i="12"/>
  <c r="D3" i="13" s="1"/>
  <c r="D7" i="12"/>
  <c r="D8" i="12"/>
  <c r="D9" i="12"/>
  <c r="D10" i="12"/>
  <c r="D2" i="12"/>
  <c r="D3" i="12"/>
  <c r="D4" i="12"/>
  <c r="D11" i="12"/>
  <c r="B10" i="12"/>
  <c r="C10" i="12" s="1"/>
  <c r="B2" i="12"/>
  <c r="B3" i="12"/>
  <c r="C3" i="12" s="1"/>
  <c r="B4" i="12"/>
  <c r="C4" i="12" s="1"/>
  <c r="B12" i="12"/>
  <c r="C12" i="12" s="1"/>
  <c r="B13" i="12"/>
  <c r="C13" i="12" s="1"/>
  <c r="B14" i="12"/>
  <c r="C14" i="12" s="1"/>
  <c r="B15" i="12"/>
  <c r="C15" i="12" s="1"/>
  <c r="B16" i="12"/>
  <c r="C16" i="12" s="1"/>
  <c r="B17" i="12"/>
  <c r="C17" i="12" s="1"/>
  <c r="B5" i="12"/>
  <c r="C5" i="12" s="1"/>
  <c r="B6" i="12"/>
  <c r="C6" i="12" s="1"/>
  <c r="B18" i="12"/>
  <c r="C18" i="12" s="1"/>
  <c r="B19" i="12"/>
  <c r="C19" i="12" s="1"/>
  <c r="B7" i="12"/>
  <c r="C7" i="12" s="1"/>
  <c r="B8" i="12"/>
  <c r="C8" i="12" s="1"/>
  <c r="B11" i="12"/>
  <c r="C11" i="12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2" i="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2" i="7"/>
  <c r="G3" i="7"/>
  <c r="J3" i="7" s="1"/>
  <c r="G4" i="7"/>
  <c r="J4" i="7" s="1"/>
  <c r="G5" i="7"/>
  <c r="J5" i="7" s="1"/>
  <c r="G6" i="7"/>
  <c r="J6" i="7" s="1"/>
  <c r="G7" i="7"/>
  <c r="J7" i="7" s="1"/>
  <c r="G8" i="7"/>
  <c r="J8" i="7" s="1"/>
  <c r="G9" i="7"/>
  <c r="J9" i="7" s="1"/>
  <c r="G10" i="7"/>
  <c r="J10" i="7" s="1"/>
  <c r="G11" i="7"/>
  <c r="J11" i="7" s="1"/>
  <c r="G12" i="7"/>
  <c r="J12" i="7" s="1"/>
  <c r="G13" i="7"/>
  <c r="J13" i="7" s="1"/>
  <c r="G14" i="7"/>
  <c r="J14" i="7" s="1"/>
  <c r="G15" i="7"/>
  <c r="J15" i="7" s="1"/>
  <c r="G16" i="7"/>
  <c r="J16" i="7" s="1"/>
  <c r="G17" i="7"/>
  <c r="J17" i="7" s="1"/>
  <c r="G18" i="7"/>
  <c r="J18" i="7" s="1"/>
  <c r="G19" i="7"/>
  <c r="J19" i="7" s="1"/>
  <c r="G20" i="7"/>
  <c r="J20" i="7" s="1"/>
  <c r="G21" i="7"/>
  <c r="J21" i="7" s="1"/>
  <c r="G22" i="7"/>
  <c r="J22" i="7" s="1"/>
  <c r="G23" i="7"/>
  <c r="J23" i="7" s="1"/>
  <c r="G24" i="7"/>
  <c r="J24" i="7" s="1"/>
  <c r="G25" i="7"/>
  <c r="J25" i="7" s="1"/>
  <c r="G26" i="7"/>
  <c r="J26" i="7" s="1"/>
  <c r="G27" i="7"/>
  <c r="J27" i="7" s="1"/>
  <c r="G28" i="7"/>
  <c r="J28" i="7" s="1"/>
  <c r="G29" i="7"/>
  <c r="J29" i="7" s="1"/>
  <c r="G30" i="7"/>
  <c r="J30" i="7" s="1"/>
  <c r="G31" i="7"/>
  <c r="J31" i="7" s="1"/>
  <c r="G32" i="7"/>
  <c r="J32" i="7" s="1"/>
  <c r="G33" i="7"/>
  <c r="J33" i="7" s="1"/>
  <c r="G34" i="7"/>
  <c r="J34" i="7" s="1"/>
  <c r="G35" i="7"/>
  <c r="J35" i="7" s="1"/>
  <c r="G36" i="7"/>
  <c r="J36" i="7" s="1"/>
  <c r="G37" i="7"/>
  <c r="J37" i="7" s="1"/>
  <c r="G38" i="7"/>
  <c r="J38" i="7" s="1"/>
  <c r="G39" i="7"/>
  <c r="J39" i="7" s="1"/>
  <c r="G40" i="7"/>
  <c r="J40" i="7" s="1"/>
  <c r="G41" i="7"/>
  <c r="J41" i="7" s="1"/>
  <c r="G42" i="7"/>
  <c r="J42" i="7" s="1"/>
  <c r="G43" i="7"/>
  <c r="J43" i="7" s="1"/>
  <c r="G44" i="7"/>
  <c r="J44" i="7" s="1"/>
  <c r="G45" i="7"/>
  <c r="J45" i="7" s="1"/>
  <c r="G46" i="7"/>
  <c r="J46" i="7" s="1"/>
  <c r="G47" i="7"/>
  <c r="J47" i="7" s="1"/>
  <c r="G48" i="7"/>
  <c r="J48" i="7" s="1"/>
  <c r="G49" i="7"/>
  <c r="J49" i="7" s="1"/>
  <c r="G50" i="7"/>
  <c r="J50" i="7" s="1"/>
  <c r="G51" i="7"/>
  <c r="J51" i="7" s="1"/>
  <c r="G52" i="7"/>
  <c r="J52" i="7" s="1"/>
  <c r="G53" i="7"/>
  <c r="J53" i="7" s="1"/>
  <c r="G54" i="7"/>
  <c r="J54" i="7" s="1"/>
  <c r="G55" i="7"/>
  <c r="J55" i="7" s="1"/>
  <c r="G56" i="7"/>
  <c r="J56" i="7" s="1"/>
  <c r="G57" i="7"/>
  <c r="J57" i="7" s="1"/>
  <c r="G58" i="7"/>
  <c r="J58" i="7" s="1"/>
  <c r="G59" i="7"/>
  <c r="J59" i="7" s="1"/>
  <c r="G60" i="7"/>
  <c r="J60" i="7" s="1"/>
  <c r="G61" i="7"/>
  <c r="J61" i="7" s="1"/>
  <c r="G62" i="7"/>
  <c r="J62" i="7" s="1"/>
  <c r="G63" i="7"/>
  <c r="J63" i="7" s="1"/>
  <c r="G64" i="7"/>
  <c r="J64" i="7" s="1"/>
  <c r="G65" i="7"/>
  <c r="J65" i="7" s="1"/>
  <c r="G66" i="7"/>
  <c r="J66" i="7" s="1"/>
  <c r="G67" i="7"/>
  <c r="J67" i="7" s="1"/>
  <c r="G68" i="7"/>
  <c r="J68" i="7" s="1"/>
  <c r="G69" i="7"/>
  <c r="J69" i="7" s="1"/>
  <c r="G70" i="7"/>
  <c r="J70" i="7" s="1"/>
  <c r="G71" i="7"/>
  <c r="J71" i="7" s="1"/>
  <c r="G72" i="7"/>
  <c r="J72" i="7" s="1"/>
  <c r="G73" i="7"/>
  <c r="J73" i="7" s="1"/>
  <c r="G74" i="7"/>
  <c r="J74" i="7" s="1"/>
  <c r="G75" i="7"/>
  <c r="J75" i="7" s="1"/>
  <c r="G76" i="7"/>
  <c r="J76" i="7" s="1"/>
  <c r="G77" i="7"/>
  <c r="J77" i="7" s="1"/>
  <c r="G78" i="7"/>
  <c r="J78" i="7" s="1"/>
  <c r="G79" i="7"/>
  <c r="J79" i="7" s="1"/>
  <c r="G80" i="7"/>
  <c r="J80" i="7" s="1"/>
  <c r="G81" i="7"/>
  <c r="J81" i="7" s="1"/>
  <c r="G82" i="7"/>
  <c r="J82" i="7" s="1"/>
  <c r="G83" i="7"/>
  <c r="J83" i="7" s="1"/>
  <c r="G84" i="7"/>
  <c r="J84" i="7" s="1"/>
  <c r="G85" i="7"/>
  <c r="J85" i="7" s="1"/>
  <c r="G86" i="7"/>
  <c r="J86" i="7" s="1"/>
  <c r="G87" i="7"/>
  <c r="J87" i="7" s="1"/>
  <c r="G88" i="7"/>
  <c r="J88" i="7" s="1"/>
  <c r="G89" i="7"/>
  <c r="J89" i="7" s="1"/>
  <c r="G90" i="7"/>
  <c r="J90" i="7" s="1"/>
  <c r="G91" i="7"/>
  <c r="J91" i="7" s="1"/>
  <c r="G92" i="7"/>
  <c r="J92" i="7" s="1"/>
  <c r="G93" i="7"/>
  <c r="J93" i="7" s="1"/>
  <c r="G94" i="7"/>
  <c r="J94" i="7" s="1"/>
  <c r="G95" i="7"/>
  <c r="J95" i="7" s="1"/>
  <c r="G96" i="7"/>
  <c r="J96" i="7" s="1"/>
  <c r="G97" i="7"/>
  <c r="J97" i="7" s="1"/>
  <c r="G98" i="7"/>
  <c r="J98" i="7" s="1"/>
  <c r="G99" i="7"/>
  <c r="J99" i="7" s="1"/>
  <c r="G100" i="7"/>
  <c r="J100" i="7" s="1"/>
  <c r="G101" i="7"/>
  <c r="J101" i="7" s="1"/>
  <c r="G102" i="7"/>
  <c r="J102" i="7" s="1"/>
  <c r="G103" i="7"/>
  <c r="J103" i="7" s="1"/>
  <c r="G104" i="7"/>
  <c r="J104" i="7" s="1"/>
  <c r="G105" i="7"/>
  <c r="J105" i="7" s="1"/>
  <c r="G106" i="7"/>
  <c r="J106" i="7" s="1"/>
  <c r="G107" i="7"/>
  <c r="J107" i="7" s="1"/>
  <c r="G108" i="7"/>
  <c r="J108" i="7" s="1"/>
  <c r="G109" i="7"/>
  <c r="J109" i="7" s="1"/>
  <c r="G110" i="7"/>
  <c r="J110" i="7" s="1"/>
  <c r="G111" i="7"/>
  <c r="J111" i="7" s="1"/>
  <c r="G112" i="7"/>
  <c r="J112" i="7" s="1"/>
  <c r="G113" i="7"/>
  <c r="J113" i="7" s="1"/>
  <c r="G114" i="7"/>
  <c r="J114" i="7" s="1"/>
  <c r="G115" i="7"/>
  <c r="J115" i="7" s="1"/>
  <c r="G116" i="7"/>
  <c r="J116" i="7" s="1"/>
  <c r="G117" i="7"/>
  <c r="J117" i="7" s="1"/>
  <c r="G118" i="7"/>
  <c r="J118" i="7" s="1"/>
  <c r="G119" i="7"/>
  <c r="J119" i="7" s="1"/>
  <c r="G120" i="7"/>
  <c r="J120" i="7" s="1"/>
  <c r="G121" i="7"/>
  <c r="J121" i="7" s="1"/>
  <c r="G122" i="7"/>
  <c r="J122" i="7" s="1"/>
  <c r="G123" i="7"/>
  <c r="J123" i="7" s="1"/>
  <c r="G124" i="7"/>
  <c r="J124" i="7" s="1"/>
  <c r="G125" i="7"/>
  <c r="J125" i="7" s="1"/>
  <c r="G126" i="7"/>
  <c r="J126" i="7" s="1"/>
  <c r="G127" i="7"/>
  <c r="J127" i="7" s="1"/>
  <c r="G128" i="7"/>
  <c r="J128" i="7" s="1"/>
  <c r="G129" i="7"/>
  <c r="J129" i="7" s="1"/>
  <c r="G130" i="7"/>
  <c r="J130" i="7" s="1"/>
  <c r="G131" i="7"/>
  <c r="J131" i="7" s="1"/>
  <c r="G132" i="7"/>
  <c r="J132" i="7" s="1"/>
  <c r="G133" i="7"/>
  <c r="J133" i="7" s="1"/>
  <c r="G134" i="7"/>
  <c r="J134" i="7" s="1"/>
  <c r="G135" i="7"/>
  <c r="J135" i="7" s="1"/>
  <c r="G136" i="7"/>
  <c r="J136" i="7" s="1"/>
  <c r="G137" i="7"/>
  <c r="J137" i="7" s="1"/>
  <c r="G138" i="7"/>
  <c r="J138" i="7" s="1"/>
  <c r="G139" i="7"/>
  <c r="J139" i="7" s="1"/>
  <c r="G140" i="7"/>
  <c r="J140" i="7" s="1"/>
  <c r="G141" i="7"/>
  <c r="J141" i="7" s="1"/>
  <c r="G142" i="7"/>
  <c r="J142" i="7" s="1"/>
  <c r="G143" i="7"/>
  <c r="J143" i="7" s="1"/>
  <c r="G144" i="7"/>
  <c r="J144" i="7" s="1"/>
  <c r="G145" i="7"/>
  <c r="J145" i="7" s="1"/>
  <c r="G146" i="7"/>
  <c r="J146" i="7" s="1"/>
  <c r="G147" i="7"/>
  <c r="J147" i="7" s="1"/>
  <c r="G148" i="7"/>
  <c r="J148" i="7" s="1"/>
  <c r="G149" i="7"/>
  <c r="J149" i="7" s="1"/>
  <c r="G150" i="7"/>
  <c r="J150" i="7" s="1"/>
  <c r="G151" i="7"/>
  <c r="J151" i="7" s="1"/>
  <c r="G152" i="7"/>
  <c r="J152" i="7" s="1"/>
  <c r="G153" i="7"/>
  <c r="J153" i="7" s="1"/>
  <c r="G154" i="7"/>
  <c r="J154" i="7" s="1"/>
  <c r="G155" i="7"/>
  <c r="J155" i="7" s="1"/>
  <c r="G156" i="7"/>
  <c r="J156" i="7" s="1"/>
  <c r="G157" i="7"/>
  <c r="J157" i="7" s="1"/>
  <c r="G158" i="7"/>
  <c r="J158" i="7" s="1"/>
  <c r="G159" i="7"/>
  <c r="J159" i="7" s="1"/>
  <c r="G160" i="7"/>
  <c r="J160" i="7" s="1"/>
  <c r="G161" i="7"/>
  <c r="J161" i="7" s="1"/>
  <c r="G162" i="7"/>
  <c r="J162" i="7" s="1"/>
  <c r="G163" i="7"/>
  <c r="J163" i="7" s="1"/>
  <c r="G164" i="7"/>
  <c r="J164" i="7" s="1"/>
  <c r="G165" i="7"/>
  <c r="J165" i="7" s="1"/>
  <c r="G166" i="7"/>
  <c r="J166" i="7" s="1"/>
  <c r="G167" i="7"/>
  <c r="J167" i="7" s="1"/>
  <c r="G168" i="7"/>
  <c r="J168" i="7" s="1"/>
  <c r="G169" i="7"/>
  <c r="J169" i="7" s="1"/>
  <c r="G170" i="7"/>
  <c r="J170" i="7" s="1"/>
  <c r="G171" i="7"/>
  <c r="J171" i="7" s="1"/>
  <c r="G172" i="7"/>
  <c r="J172" i="7" s="1"/>
  <c r="G173" i="7"/>
  <c r="J173" i="7" s="1"/>
  <c r="G174" i="7"/>
  <c r="J174" i="7" s="1"/>
  <c r="G175" i="7"/>
  <c r="J175" i="7" s="1"/>
  <c r="G176" i="7"/>
  <c r="J176" i="7" s="1"/>
  <c r="G177" i="7"/>
  <c r="J177" i="7" s="1"/>
  <c r="G178" i="7"/>
  <c r="J178" i="7" s="1"/>
  <c r="G179" i="7"/>
  <c r="J179" i="7" s="1"/>
  <c r="G180" i="7"/>
  <c r="J180" i="7" s="1"/>
  <c r="G181" i="7"/>
  <c r="J181" i="7" s="1"/>
  <c r="G182" i="7"/>
  <c r="J182" i="7" s="1"/>
  <c r="G183" i="7"/>
  <c r="J183" i="7" s="1"/>
  <c r="G184" i="7"/>
  <c r="J184" i="7" s="1"/>
  <c r="G185" i="7"/>
  <c r="J185" i="7" s="1"/>
  <c r="G186" i="7"/>
  <c r="J186" i="7" s="1"/>
  <c r="G187" i="7"/>
  <c r="J187" i="7" s="1"/>
  <c r="G188" i="7"/>
  <c r="J188" i="7" s="1"/>
  <c r="G189" i="7"/>
  <c r="J189" i="7" s="1"/>
  <c r="G190" i="7"/>
  <c r="J190" i="7" s="1"/>
  <c r="G191" i="7"/>
  <c r="J191" i="7" s="1"/>
  <c r="G192" i="7"/>
  <c r="J192" i="7" s="1"/>
  <c r="G193" i="7"/>
  <c r="J193" i="7" s="1"/>
  <c r="G194" i="7"/>
  <c r="J194" i="7" s="1"/>
  <c r="G195" i="7"/>
  <c r="J195" i="7" s="1"/>
  <c r="G196" i="7"/>
  <c r="J196" i="7" s="1"/>
  <c r="G197" i="7"/>
  <c r="J197" i="7" s="1"/>
  <c r="G198" i="7"/>
  <c r="J198" i="7" s="1"/>
  <c r="G199" i="7"/>
  <c r="J199" i="7" s="1"/>
  <c r="G200" i="7"/>
  <c r="J200" i="7" s="1"/>
  <c r="G201" i="7"/>
  <c r="J201" i="7" s="1"/>
  <c r="G202" i="7"/>
  <c r="J202" i="7" s="1"/>
  <c r="G203" i="7"/>
  <c r="J203" i="7" s="1"/>
  <c r="G204" i="7"/>
  <c r="J204" i="7" s="1"/>
  <c r="G205" i="7"/>
  <c r="J205" i="7" s="1"/>
  <c r="G206" i="7"/>
  <c r="J206" i="7" s="1"/>
  <c r="G207" i="7"/>
  <c r="J207" i="7" s="1"/>
  <c r="G208" i="7"/>
  <c r="J208" i="7" s="1"/>
  <c r="G209" i="7"/>
  <c r="J209" i="7" s="1"/>
  <c r="G210" i="7"/>
  <c r="J210" i="7" s="1"/>
  <c r="G211" i="7"/>
  <c r="J211" i="7" s="1"/>
  <c r="G212" i="7"/>
  <c r="J212" i="7" s="1"/>
  <c r="G213" i="7"/>
  <c r="J213" i="7" s="1"/>
  <c r="G214" i="7"/>
  <c r="J214" i="7" s="1"/>
  <c r="G215" i="7"/>
  <c r="J215" i="7" s="1"/>
  <c r="G216" i="7"/>
  <c r="J216" i="7" s="1"/>
  <c r="G217" i="7"/>
  <c r="J217" i="7" s="1"/>
  <c r="G218" i="7"/>
  <c r="J218" i="7" s="1"/>
  <c r="G219" i="7"/>
  <c r="J219" i="7" s="1"/>
  <c r="G220" i="7"/>
  <c r="J220" i="7" s="1"/>
  <c r="G221" i="7"/>
  <c r="J221" i="7" s="1"/>
  <c r="G222" i="7"/>
  <c r="J222" i="7" s="1"/>
  <c r="G223" i="7"/>
  <c r="J223" i="7" s="1"/>
  <c r="G224" i="7"/>
  <c r="J224" i="7" s="1"/>
  <c r="G225" i="7"/>
  <c r="J225" i="7" s="1"/>
  <c r="G226" i="7"/>
  <c r="J226" i="7" s="1"/>
  <c r="G227" i="7"/>
  <c r="J227" i="7" s="1"/>
  <c r="G228" i="7"/>
  <c r="J228" i="7" s="1"/>
  <c r="G229" i="7"/>
  <c r="J229" i="7" s="1"/>
  <c r="G230" i="7"/>
  <c r="J230" i="7" s="1"/>
  <c r="G231" i="7"/>
  <c r="J231" i="7" s="1"/>
  <c r="G232" i="7"/>
  <c r="J232" i="7" s="1"/>
  <c r="G233" i="7"/>
  <c r="J233" i="7" s="1"/>
  <c r="G234" i="7"/>
  <c r="J234" i="7" s="1"/>
  <c r="G235" i="7"/>
  <c r="J235" i="7" s="1"/>
  <c r="G236" i="7"/>
  <c r="J236" i="7" s="1"/>
  <c r="G237" i="7"/>
  <c r="J237" i="7" s="1"/>
  <c r="G238" i="7"/>
  <c r="J238" i="7" s="1"/>
  <c r="G239" i="7"/>
  <c r="J239" i="7" s="1"/>
  <c r="G240" i="7"/>
  <c r="J240" i="7" s="1"/>
  <c r="G241" i="7"/>
  <c r="J241" i="7" s="1"/>
  <c r="G242" i="7"/>
  <c r="J242" i="7" s="1"/>
  <c r="G243" i="7"/>
  <c r="J243" i="7" s="1"/>
  <c r="G244" i="7"/>
  <c r="J244" i="7" s="1"/>
  <c r="G245" i="7"/>
  <c r="J245" i="7" s="1"/>
  <c r="G246" i="7"/>
  <c r="J246" i="7" s="1"/>
  <c r="G247" i="7"/>
  <c r="J247" i="7" s="1"/>
  <c r="G248" i="7"/>
  <c r="J248" i="7" s="1"/>
  <c r="G249" i="7"/>
  <c r="J249" i="7" s="1"/>
  <c r="G250" i="7"/>
  <c r="J250" i="7" s="1"/>
  <c r="G251" i="7"/>
  <c r="J251" i="7" s="1"/>
  <c r="G252" i="7"/>
  <c r="J252" i="7" s="1"/>
  <c r="G253" i="7"/>
  <c r="J253" i="7" s="1"/>
  <c r="G254" i="7"/>
  <c r="J254" i="7" s="1"/>
  <c r="G255" i="7"/>
  <c r="J255" i="7" s="1"/>
  <c r="G256" i="7"/>
  <c r="J256" i="7" s="1"/>
  <c r="G257" i="7"/>
  <c r="J257" i="7" s="1"/>
  <c r="G258" i="7"/>
  <c r="J258" i="7" s="1"/>
  <c r="G259" i="7"/>
  <c r="J259" i="7" s="1"/>
  <c r="G260" i="7"/>
  <c r="J260" i="7" s="1"/>
  <c r="G261" i="7"/>
  <c r="J261" i="7" s="1"/>
  <c r="G262" i="7"/>
  <c r="J262" i="7" s="1"/>
  <c r="G263" i="7"/>
  <c r="J263" i="7" s="1"/>
  <c r="G264" i="7"/>
  <c r="J264" i="7" s="1"/>
  <c r="G265" i="7"/>
  <c r="J265" i="7" s="1"/>
  <c r="G266" i="7"/>
  <c r="J266" i="7" s="1"/>
  <c r="G267" i="7"/>
  <c r="J267" i="7" s="1"/>
  <c r="G268" i="7"/>
  <c r="J268" i="7" s="1"/>
  <c r="G269" i="7"/>
  <c r="J269" i="7" s="1"/>
  <c r="G270" i="7"/>
  <c r="J270" i="7" s="1"/>
  <c r="G271" i="7"/>
  <c r="J271" i="7" s="1"/>
  <c r="G272" i="7"/>
  <c r="J272" i="7" s="1"/>
  <c r="G273" i="7"/>
  <c r="J273" i="7" s="1"/>
  <c r="G274" i="7"/>
  <c r="J274" i="7" s="1"/>
  <c r="G275" i="7"/>
  <c r="J275" i="7" s="1"/>
  <c r="G276" i="7"/>
  <c r="J276" i="7" s="1"/>
  <c r="G277" i="7"/>
  <c r="J277" i="7" s="1"/>
  <c r="G278" i="7"/>
  <c r="J278" i="7" s="1"/>
  <c r="G279" i="7"/>
  <c r="J279" i="7" s="1"/>
  <c r="G280" i="7"/>
  <c r="J280" i="7" s="1"/>
  <c r="G281" i="7"/>
  <c r="J281" i="7" s="1"/>
  <c r="G282" i="7"/>
  <c r="J282" i="7" s="1"/>
  <c r="G283" i="7"/>
  <c r="J283" i="7" s="1"/>
  <c r="G284" i="7"/>
  <c r="J284" i="7" s="1"/>
  <c r="G285" i="7"/>
  <c r="J285" i="7" s="1"/>
  <c r="G286" i="7"/>
  <c r="J286" i="7" s="1"/>
  <c r="G287" i="7"/>
  <c r="J287" i="7" s="1"/>
  <c r="G288" i="7"/>
  <c r="J288" i="7" s="1"/>
  <c r="G289" i="7"/>
  <c r="J289" i="7" s="1"/>
  <c r="G290" i="7"/>
  <c r="J290" i="7" s="1"/>
  <c r="G291" i="7"/>
  <c r="J291" i="7" s="1"/>
  <c r="G292" i="7"/>
  <c r="J292" i="7" s="1"/>
  <c r="G293" i="7"/>
  <c r="J293" i="7" s="1"/>
  <c r="G294" i="7"/>
  <c r="J294" i="7" s="1"/>
  <c r="G295" i="7"/>
  <c r="J295" i="7" s="1"/>
  <c r="G296" i="7"/>
  <c r="J296" i="7" s="1"/>
  <c r="G297" i="7"/>
  <c r="J297" i="7" s="1"/>
  <c r="G298" i="7"/>
  <c r="J298" i="7" s="1"/>
  <c r="G299" i="7"/>
  <c r="J299" i="7" s="1"/>
  <c r="G300" i="7"/>
  <c r="J300" i="7" s="1"/>
  <c r="G301" i="7"/>
  <c r="J301" i="7" s="1"/>
  <c r="G302" i="7"/>
  <c r="J302" i="7" s="1"/>
  <c r="G303" i="7"/>
  <c r="J303" i="7" s="1"/>
  <c r="G304" i="7"/>
  <c r="J304" i="7" s="1"/>
  <c r="G305" i="7"/>
  <c r="J305" i="7" s="1"/>
  <c r="G306" i="7"/>
  <c r="J306" i="7" s="1"/>
  <c r="G307" i="7"/>
  <c r="J307" i="7" s="1"/>
  <c r="G308" i="7"/>
  <c r="J308" i="7" s="1"/>
  <c r="G309" i="7"/>
  <c r="J309" i="7" s="1"/>
  <c r="G310" i="7"/>
  <c r="J310" i="7" s="1"/>
  <c r="G311" i="7"/>
  <c r="J311" i="7" s="1"/>
  <c r="G312" i="7"/>
  <c r="J312" i="7" s="1"/>
  <c r="G313" i="7"/>
  <c r="J313" i="7" s="1"/>
  <c r="G314" i="7"/>
  <c r="J314" i="7" s="1"/>
  <c r="G315" i="7"/>
  <c r="J315" i="7" s="1"/>
  <c r="G316" i="7"/>
  <c r="J316" i="7" s="1"/>
  <c r="G317" i="7"/>
  <c r="J317" i="7" s="1"/>
  <c r="G318" i="7"/>
  <c r="J318" i="7" s="1"/>
  <c r="G319" i="7"/>
  <c r="J319" i="7" s="1"/>
  <c r="G320" i="7"/>
  <c r="J320" i="7" s="1"/>
  <c r="G321" i="7"/>
  <c r="J321" i="7" s="1"/>
  <c r="G322" i="7"/>
  <c r="J322" i="7" s="1"/>
  <c r="G323" i="7"/>
  <c r="J323" i="7" s="1"/>
  <c r="G324" i="7"/>
  <c r="J324" i="7" s="1"/>
  <c r="G325" i="7"/>
  <c r="J325" i="7" s="1"/>
  <c r="G326" i="7"/>
  <c r="J326" i="7" s="1"/>
  <c r="G327" i="7"/>
  <c r="J327" i="7" s="1"/>
  <c r="G328" i="7"/>
  <c r="J328" i="7" s="1"/>
  <c r="G329" i="7"/>
  <c r="J329" i="7" s="1"/>
  <c r="G330" i="7"/>
  <c r="J330" i="7" s="1"/>
  <c r="G331" i="7"/>
  <c r="J331" i="7" s="1"/>
  <c r="G332" i="7"/>
  <c r="J332" i="7" s="1"/>
  <c r="G333" i="7"/>
  <c r="J333" i="7" s="1"/>
  <c r="G334" i="7"/>
  <c r="J334" i="7" s="1"/>
  <c r="G335" i="7"/>
  <c r="J335" i="7" s="1"/>
  <c r="G336" i="7"/>
  <c r="J336" i="7" s="1"/>
  <c r="G337" i="7"/>
  <c r="J337" i="7" s="1"/>
  <c r="G338" i="7"/>
  <c r="J338" i="7" s="1"/>
  <c r="G339" i="7"/>
  <c r="J339" i="7" s="1"/>
  <c r="G340" i="7"/>
  <c r="J340" i="7" s="1"/>
  <c r="G341" i="7"/>
  <c r="J341" i="7" s="1"/>
  <c r="G342" i="7"/>
  <c r="J342" i="7" s="1"/>
  <c r="G343" i="7"/>
  <c r="J343" i="7" s="1"/>
  <c r="G344" i="7"/>
  <c r="J344" i="7" s="1"/>
  <c r="G345" i="7"/>
  <c r="J345" i="7" s="1"/>
  <c r="G346" i="7"/>
  <c r="J346" i="7" s="1"/>
  <c r="G347" i="7"/>
  <c r="J347" i="7" s="1"/>
  <c r="G348" i="7"/>
  <c r="J348" i="7" s="1"/>
  <c r="G349" i="7"/>
  <c r="J349" i="7" s="1"/>
  <c r="G350" i="7"/>
  <c r="J350" i="7" s="1"/>
  <c r="G351" i="7"/>
  <c r="J351" i="7" s="1"/>
  <c r="G352" i="7"/>
  <c r="J352" i="7" s="1"/>
  <c r="G353" i="7"/>
  <c r="J353" i="7" s="1"/>
  <c r="G354" i="7"/>
  <c r="J354" i="7" s="1"/>
  <c r="G355" i="7"/>
  <c r="J355" i="7" s="1"/>
  <c r="G356" i="7"/>
  <c r="J356" i="7" s="1"/>
  <c r="G357" i="7"/>
  <c r="J357" i="7" s="1"/>
  <c r="G358" i="7"/>
  <c r="J358" i="7" s="1"/>
  <c r="G359" i="7"/>
  <c r="J359" i="7" s="1"/>
  <c r="G360" i="7"/>
  <c r="J360" i="7" s="1"/>
  <c r="G361" i="7"/>
  <c r="J361" i="7" s="1"/>
  <c r="G362" i="7"/>
  <c r="J362" i="7" s="1"/>
  <c r="G363" i="7"/>
  <c r="J363" i="7" s="1"/>
  <c r="G364" i="7"/>
  <c r="J364" i="7" s="1"/>
  <c r="G365" i="7"/>
  <c r="J365" i="7" s="1"/>
  <c r="G366" i="7"/>
  <c r="J366" i="7" s="1"/>
  <c r="G367" i="7"/>
  <c r="J367" i="7" s="1"/>
  <c r="G368" i="7"/>
  <c r="J368" i="7" s="1"/>
  <c r="G369" i="7"/>
  <c r="J369" i="7" s="1"/>
  <c r="G370" i="7"/>
  <c r="J370" i="7" s="1"/>
  <c r="G371" i="7"/>
  <c r="J371" i="7" s="1"/>
  <c r="G372" i="7"/>
  <c r="J372" i="7" s="1"/>
  <c r="G373" i="7"/>
  <c r="J373" i="7" s="1"/>
  <c r="G374" i="7"/>
  <c r="J374" i="7" s="1"/>
  <c r="G375" i="7"/>
  <c r="J375" i="7" s="1"/>
  <c r="G376" i="7"/>
  <c r="J376" i="7" s="1"/>
  <c r="G377" i="7"/>
  <c r="J377" i="7" s="1"/>
  <c r="G378" i="7"/>
  <c r="J378" i="7" s="1"/>
  <c r="G379" i="7"/>
  <c r="J379" i="7" s="1"/>
  <c r="G380" i="7"/>
  <c r="J380" i="7" s="1"/>
  <c r="G381" i="7"/>
  <c r="J381" i="7" s="1"/>
  <c r="G382" i="7"/>
  <c r="J382" i="7" s="1"/>
  <c r="G383" i="7"/>
  <c r="J383" i="7" s="1"/>
  <c r="G384" i="7"/>
  <c r="J384" i="7" s="1"/>
  <c r="G385" i="7"/>
  <c r="J385" i="7" s="1"/>
  <c r="G386" i="7"/>
  <c r="J386" i="7" s="1"/>
  <c r="G387" i="7"/>
  <c r="J387" i="7" s="1"/>
  <c r="G388" i="7"/>
  <c r="J388" i="7" s="1"/>
  <c r="G389" i="7"/>
  <c r="J389" i="7" s="1"/>
  <c r="G390" i="7"/>
  <c r="J390" i="7" s="1"/>
  <c r="G391" i="7"/>
  <c r="J391" i="7" s="1"/>
  <c r="G392" i="7"/>
  <c r="J392" i="7" s="1"/>
  <c r="G393" i="7"/>
  <c r="J393" i="7" s="1"/>
  <c r="G394" i="7"/>
  <c r="J394" i="7" s="1"/>
  <c r="G395" i="7"/>
  <c r="J395" i="7" s="1"/>
  <c r="G396" i="7"/>
  <c r="J396" i="7" s="1"/>
  <c r="G397" i="7"/>
  <c r="J397" i="7" s="1"/>
  <c r="G398" i="7"/>
  <c r="J398" i="7" s="1"/>
  <c r="G399" i="7"/>
  <c r="J399" i="7" s="1"/>
  <c r="G400" i="7"/>
  <c r="J400" i="7" s="1"/>
  <c r="G401" i="7"/>
  <c r="J401" i="7" s="1"/>
  <c r="G402" i="7"/>
  <c r="J402" i="7" s="1"/>
  <c r="G403" i="7"/>
  <c r="J403" i="7" s="1"/>
  <c r="G404" i="7"/>
  <c r="J404" i="7" s="1"/>
  <c r="G405" i="7"/>
  <c r="J405" i="7" s="1"/>
  <c r="G406" i="7"/>
  <c r="J406" i="7" s="1"/>
  <c r="G407" i="7"/>
  <c r="J407" i="7" s="1"/>
  <c r="G408" i="7"/>
  <c r="J408" i="7" s="1"/>
  <c r="G409" i="7"/>
  <c r="J409" i="7" s="1"/>
  <c r="G410" i="7"/>
  <c r="J410" i="7" s="1"/>
  <c r="G411" i="7"/>
  <c r="J411" i="7" s="1"/>
  <c r="G412" i="7"/>
  <c r="J412" i="7" s="1"/>
  <c r="G413" i="7"/>
  <c r="J413" i="7" s="1"/>
  <c r="G414" i="7"/>
  <c r="J414" i="7" s="1"/>
  <c r="G415" i="7"/>
  <c r="J415" i="7" s="1"/>
  <c r="G416" i="7"/>
  <c r="J416" i="7" s="1"/>
  <c r="G417" i="7"/>
  <c r="J417" i="7" s="1"/>
  <c r="G418" i="7"/>
  <c r="J418" i="7" s="1"/>
  <c r="G419" i="7"/>
  <c r="J419" i="7" s="1"/>
  <c r="G420" i="7"/>
  <c r="J420" i="7" s="1"/>
  <c r="G421" i="7"/>
  <c r="J421" i="7" s="1"/>
  <c r="G422" i="7"/>
  <c r="J422" i="7" s="1"/>
  <c r="G423" i="7"/>
  <c r="J423" i="7" s="1"/>
  <c r="G424" i="7"/>
  <c r="J424" i="7" s="1"/>
  <c r="G425" i="7"/>
  <c r="J425" i="7" s="1"/>
  <c r="G426" i="7"/>
  <c r="J426" i="7" s="1"/>
  <c r="G427" i="7"/>
  <c r="J427" i="7" s="1"/>
  <c r="G428" i="7"/>
  <c r="J428" i="7" s="1"/>
  <c r="G429" i="7"/>
  <c r="J429" i="7" s="1"/>
  <c r="G430" i="7"/>
  <c r="J430" i="7" s="1"/>
  <c r="G431" i="7"/>
  <c r="J431" i="7" s="1"/>
  <c r="G432" i="7"/>
  <c r="J432" i="7" s="1"/>
  <c r="G433" i="7"/>
  <c r="J433" i="7" s="1"/>
  <c r="G434" i="7"/>
  <c r="J434" i="7" s="1"/>
  <c r="G435" i="7"/>
  <c r="J435" i="7" s="1"/>
  <c r="G436" i="7"/>
  <c r="J436" i="7" s="1"/>
  <c r="G437" i="7"/>
  <c r="J437" i="7" s="1"/>
  <c r="G438" i="7"/>
  <c r="J438" i="7" s="1"/>
  <c r="G439" i="7"/>
  <c r="J439" i="7" s="1"/>
  <c r="G440" i="7"/>
  <c r="J440" i="7" s="1"/>
  <c r="G441" i="7"/>
  <c r="J441" i="7" s="1"/>
  <c r="G442" i="7"/>
  <c r="J442" i="7" s="1"/>
  <c r="G443" i="7"/>
  <c r="J443" i="7" s="1"/>
  <c r="G444" i="7"/>
  <c r="J444" i="7" s="1"/>
  <c r="G445" i="7"/>
  <c r="J445" i="7" s="1"/>
  <c r="G446" i="7"/>
  <c r="J446" i="7" s="1"/>
  <c r="G447" i="7"/>
  <c r="J447" i="7" s="1"/>
  <c r="G448" i="7"/>
  <c r="J448" i="7" s="1"/>
  <c r="G449" i="7"/>
  <c r="J449" i="7" s="1"/>
  <c r="G450" i="7"/>
  <c r="J450" i="7" s="1"/>
  <c r="G451" i="7"/>
  <c r="J451" i="7" s="1"/>
  <c r="G452" i="7"/>
  <c r="J452" i="7" s="1"/>
  <c r="G453" i="7"/>
  <c r="J453" i="7" s="1"/>
  <c r="G454" i="7"/>
  <c r="J454" i="7" s="1"/>
  <c r="G455" i="7"/>
  <c r="J455" i="7" s="1"/>
  <c r="G456" i="7"/>
  <c r="J456" i="7" s="1"/>
  <c r="G457" i="7"/>
  <c r="J457" i="7" s="1"/>
  <c r="G458" i="7"/>
  <c r="J458" i="7" s="1"/>
  <c r="G459" i="7"/>
  <c r="J459" i="7" s="1"/>
  <c r="G460" i="7"/>
  <c r="J460" i="7" s="1"/>
  <c r="G461" i="7"/>
  <c r="J461" i="7" s="1"/>
  <c r="G462" i="7"/>
  <c r="J462" i="7" s="1"/>
  <c r="G463" i="7"/>
  <c r="J463" i="7" s="1"/>
  <c r="G464" i="7"/>
  <c r="J464" i="7" s="1"/>
  <c r="G465" i="7"/>
  <c r="J465" i="7" s="1"/>
  <c r="G466" i="7"/>
  <c r="J466" i="7" s="1"/>
  <c r="G467" i="7"/>
  <c r="J467" i="7" s="1"/>
  <c r="G468" i="7"/>
  <c r="J468" i="7" s="1"/>
  <c r="G469" i="7"/>
  <c r="J469" i="7" s="1"/>
  <c r="G470" i="7"/>
  <c r="J470" i="7" s="1"/>
  <c r="G471" i="7"/>
  <c r="J471" i="7" s="1"/>
  <c r="G472" i="7"/>
  <c r="J472" i="7" s="1"/>
  <c r="G473" i="7"/>
  <c r="J473" i="7" s="1"/>
  <c r="G474" i="7"/>
  <c r="J474" i="7" s="1"/>
  <c r="G475" i="7"/>
  <c r="J475" i="7" s="1"/>
  <c r="G476" i="7"/>
  <c r="J476" i="7" s="1"/>
  <c r="G477" i="7"/>
  <c r="J477" i="7" s="1"/>
  <c r="G478" i="7"/>
  <c r="J478" i="7" s="1"/>
  <c r="G479" i="7"/>
  <c r="J479" i="7" s="1"/>
  <c r="G480" i="7"/>
  <c r="J480" i="7" s="1"/>
  <c r="G481" i="7"/>
  <c r="J481" i="7" s="1"/>
  <c r="G482" i="7"/>
  <c r="J482" i="7" s="1"/>
  <c r="G483" i="7"/>
  <c r="J483" i="7" s="1"/>
  <c r="G484" i="7"/>
  <c r="J484" i="7" s="1"/>
  <c r="G485" i="7"/>
  <c r="J485" i="7" s="1"/>
  <c r="G486" i="7"/>
  <c r="J486" i="7" s="1"/>
  <c r="G487" i="7"/>
  <c r="J487" i="7" s="1"/>
  <c r="G488" i="7"/>
  <c r="J488" i="7" s="1"/>
  <c r="G489" i="7"/>
  <c r="J489" i="7" s="1"/>
  <c r="G490" i="7"/>
  <c r="J490" i="7" s="1"/>
  <c r="G491" i="7"/>
  <c r="J491" i="7" s="1"/>
  <c r="G492" i="7"/>
  <c r="J492" i="7" s="1"/>
  <c r="G493" i="7"/>
  <c r="J493" i="7" s="1"/>
  <c r="G494" i="7"/>
  <c r="J494" i="7" s="1"/>
  <c r="G495" i="7"/>
  <c r="J495" i="7" s="1"/>
  <c r="G496" i="7"/>
  <c r="J496" i="7" s="1"/>
  <c r="G497" i="7"/>
  <c r="J497" i="7" s="1"/>
  <c r="G498" i="7"/>
  <c r="J498" i="7" s="1"/>
  <c r="G499" i="7"/>
  <c r="J499" i="7" s="1"/>
  <c r="G500" i="7"/>
  <c r="J500" i="7" s="1"/>
  <c r="G501" i="7"/>
  <c r="J501" i="7" s="1"/>
  <c r="G502" i="7"/>
  <c r="J502" i="7" s="1"/>
  <c r="G503" i="7"/>
  <c r="J503" i="7" s="1"/>
  <c r="G504" i="7"/>
  <c r="J504" i="7" s="1"/>
  <c r="G505" i="7"/>
  <c r="J505" i="7" s="1"/>
  <c r="G506" i="7"/>
  <c r="J506" i="7" s="1"/>
  <c r="G507" i="7"/>
  <c r="J507" i="7" s="1"/>
  <c r="G508" i="7"/>
  <c r="J508" i="7" s="1"/>
  <c r="G509" i="7"/>
  <c r="J509" i="7" s="1"/>
  <c r="G510" i="7"/>
  <c r="J510" i="7" s="1"/>
  <c r="G511" i="7"/>
  <c r="J511" i="7" s="1"/>
  <c r="G512" i="7"/>
  <c r="J512" i="7" s="1"/>
  <c r="G513" i="7"/>
  <c r="J513" i="7" s="1"/>
  <c r="G514" i="7"/>
  <c r="J514" i="7" s="1"/>
  <c r="G515" i="7"/>
  <c r="J515" i="7" s="1"/>
  <c r="G516" i="7"/>
  <c r="J516" i="7" s="1"/>
  <c r="G517" i="7"/>
  <c r="J517" i="7" s="1"/>
  <c r="G518" i="7"/>
  <c r="J518" i="7" s="1"/>
  <c r="G519" i="7"/>
  <c r="J519" i="7" s="1"/>
  <c r="G520" i="7"/>
  <c r="J520" i="7" s="1"/>
  <c r="G521" i="7"/>
  <c r="J521" i="7" s="1"/>
  <c r="G522" i="7"/>
  <c r="J522" i="7" s="1"/>
  <c r="G523" i="7"/>
  <c r="J523" i="7" s="1"/>
  <c r="G524" i="7"/>
  <c r="J524" i="7" s="1"/>
  <c r="G525" i="7"/>
  <c r="J525" i="7" s="1"/>
  <c r="G526" i="7"/>
  <c r="J526" i="7" s="1"/>
  <c r="G527" i="7"/>
  <c r="J527" i="7" s="1"/>
  <c r="G528" i="7"/>
  <c r="J528" i="7" s="1"/>
  <c r="G529" i="7"/>
  <c r="J529" i="7" s="1"/>
  <c r="G530" i="7"/>
  <c r="J530" i="7" s="1"/>
  <c r="G531" i="7"/>
  <c r="J531" i="7" s="1"/>
  <c r="G532" i="7"/>
  <c r="J532" i="7" s="1"/>
  <c r="G533" i="7"/>
  <c r="J533" i="7" s="1"/>
  <c r="G534" i="7"/>
  <c r="J534" i="7" s="1"/>
  <c r="G535" i="7"/>
  <c r="J535" i="7" s="1"/>
  <c r="G536" i="7"/>
  <c r="J536" i="7" s="1"/>
  <c r="G537" i="7"/>
  <c r="J537" i="7" s="1"/>
  <c r="G538" i="7"/>
  <c r="J538" i="7" s="1"/>
  <c r="G539" i="7"/>
  <c r="J539" i="7" s="1"/>
  <c r="G540" i="7"/>
  <c r="J540" i="7" s="1"/>
  <c r="G541" i="7"/>
  <c r="J541" i="7" s="1"/>
  <c r="G542" i="7"/>
  <c r="J542" i="7" s="1"/>
  <c r="G543" i="7"/>
  <c r="J543" i="7" s="1"/>
  <c r="G544" i="7"/>
  <c r="J544" i="7" s="1"/>
  <c r="G545" i="7"/>
  <c r="J545" i="7" s="1"/>
  <c r="G546" i="7"/>
  <c r="J546" i="7" s="1"/>
  <c r="G547" i="7"/>
  <c r="J547" i="7" s="1"/>
  <c r="G548" i="7"/>
  <c r="J548" i="7" s="1"/>
  <c r="G549" i="7"/>
  <c r="J549" i="7" s="1"/>
  <c r="G550" i="7"/>
  <c r="J550" i="7" s="1"/>
  <c r="G551" i="7"/>
  <c r="J551" i="7" s="1"/>
  <c r="G552" i="7"/>
  <c r="J552" i="7" s="1"/>
  <c r="G553" i="7"/>
  <c r="J553" i="7" s="1"/>
  <c r="G554" i="7"/>
  <c r="J554" i="7" s="1"/>
  <c r="G555" i="7"/>
  <c r="J555" i="7" s="1"/>
  <c r="G556" i="7"/>
  <c r="J556" i="7" s="1"/>
  <c r="G557" i="7"/>
  <c r="J557" i="7" s="1"/>
  <c r="G558" i="7"/>
  <c r="J558" i="7" s="1"/>
  <c r="G559" i="7"/>
  <c r="J559" i="7" s="1"/>
  <c r="G560" i="7"/>
  <c r="J560" i="7" s="1"/>
  <c r="G561" i="7"/>
  <c r="J561" i="7" s="1"/>
  <c r="G562" i="7"/>
  <c r="J562" i="7" s="1"/>
  <c r="G563" i="7"/>
  <c r="J563" i="7" s="1"/>
  <c r="G564" i="7"/>
  <c r="J564" i="7" s="1"/>
  <c r="G565" i="7"/>
  <c r="J565" i="7" s="1"/>
  <c r="G566" i="7"/>
  <c r="J566" i="7" s="1"/>
  <c r="G567" i="7"/>
  <c r="J567" i="7" s="1"/>
  <c r="G568" i="7"/>
  <c r="J568" i="7" s="1"/>
  <c r="G569" i="7"/>
  <c r="J569" i="7" s="1"/>
  <c r="G570" i="7"/>
  <c r="J570" i="7" s="1"/>
  <c r="G571" i="7"/>
  <c r="J571" i="7" s="1"/>
  <c r="G572" i="7"/>
  <c r="J572" i="7" s="1"/>
  <c r="G573" i="7"/>
  <c r="J573" i="7" s="1"/>
  <c r="G574" i="7"/>
  <c r="J574" i="7" s="1"/>
  <c r="G575" i="7"/>
  <c r="J575" i="7" s="1"/>
  <c r="G576" i="7"/>
  <c r="J576" i="7" s="1"/>
  <c r="G577" i="7"/>
  <c r="J577" i="7" s="1"/>
  <c r="G578" i="7"/>
  <c r="J578" i="7" s="1"/>
  <c r="G579" i="7"/>
  <c r="J579" i="7" s="1"/>
  <c r="G580" i="7"/>
  <c r="J580" i="7" s="1"/>
  <c r="G581" i="7"/>
  <c r="J581" i="7" s="1"/>
  <c r="G582" i="7"/>
  <c r="J582" i="7" s="1"/>
  <c r="G583" i="7"/>
  <c r="J583" i="7" s="1"/>
  <c r="G584" i="7"/>
  <c r="J584" i="7" s="1"/>
  <c r="G585" i="7"/>
  <c r="J585" i="7" s="1"/>
  <c r="G586" i="7"/>
  <c r="J586" i="7" s="1"/>
  <c r="G587" i="7"/>
  <c r="J587" i="7" s="1"/>
  <c r="G588" i="7"/>
  <c r="J588" i="7" s="1"/>
  <c r="G589" i="7"/>
  <c r="J589" i="7" s="1"/>
  <c r="G590" i="7"/>
  <c r="J590" i="7" s="1"/>
  <c r="G591" i="7"/>
  <c r="J591" i="7" s="1"/>
  <c r="G592" i="7"/>
  <c r="J592" i="7" s="1"/>
  <c r="G593" i="7"/>
  <c r="J593" i="7" s="1"/>
  <c r="G594" i="7"/>
  <c r="J594" i="7" s="1"/>
  <c r="G595" i="7"/>
  <c r="J595" i="7" s="1"/>
  <c r="G596" i="7"/>
  <c r="J596" i="7" s="1"/>
  <c r="G597" i="7"/>
  <c r="J597" i="7" s="1"/>
  <c r="G598" i="7"/>
  <c r="J598" i="7" s="1"/>
  <c r="G599" i="7"/>
  <c r="J599" i="7" s="1"/>
  <c r="G600" i="7"/>
  <c r="J600" i="7" s="1"/>
  <c r="G601" i="7"/>
  <c r="J601" i="7" s="1"/>
  <c r="G602" i="7"/>
  <c r="J602" i="7" s="1"/>
  <c r="G603" i="7"/>
  <c r="J603" i="7" s="1"/>
  <c r="G604" i="7"/>
  <c r="J604" i="7" s="1"/>
  <c r="G605" i="7"/>
  <c r="J605" i="7" s="1"/>
  <c r="G606" i="7"/>
  <c r="J606" i="7" s="1"/>
  <c r="G607" i="7"/>
  <c r="J607" i="7" s="1"/>
  <c r="G608" i="7"/>
  <c r="J608" i="7" s="1"/>
  <c r="G609" i="7"/>
  <c r="J609" i="7" s="1"/>
  <c r="G610" i="7"/>
  <c r="J610" i="7" s="1"/>
  <c r="G611" i="7"/>
  <c r="J611" i="7" s="1"/>
  <c r="G612" i="7"/>
  <c r="J612" i="7" s="1"/>
  <c r="G613" i="7"/>
  <c r="J613" i="7" s="1"/>
  <c r="G614" i="7"/>
  <c r="J614" i="7" s="1"/>
  <c r="G615" i="7"/>
  <c r="J615" i="7" s="1"/>
  <c r="G616" i="7"/>
  <c r="J616" i="7" s="1"/>
  <c r="G617" i="7"/>
  <c r="J617" i="7" s="1"/>
  <c r="G618" i="7"/>
  <c r="J618" i="7" s="1"/>
  <c r="G619" i="7"/>
  <c r="J619" i="7" s="1"/>
  <c r="G620" i="7"/>
  <c r="J620" i="7" s="1"/>
  <c r="G621" i="7"/>
  <c r="J621" i="7" s="1"/>
  <c r="G622" i="7"/>
  <c r="J622" i="7" s="1"/>
  <c r="G623" i="7"/>
  <c r="J623" i="7" s="1"/>
  <c r="G624" i="7"/>
  <c r="J624" i="7" s="1"/>
  <c r="G625" i="7"/>
  <c r="J625" i="7" s="1"/>
  <c r="G626" i="7"/>
  <c r="J626" i="7" s="1"/>
  <c r="G627" i="7"/>
  <c r="J627" i="7" s="1"/>
  <c r="G628" i="7"/>
  <c r="J628" i="7" s="1"/>
  <c r="G629" i="7"/>
  <c r="J629" i="7" s="1"/>
  <c r="G630" i="7"/>
  <c r="J630" i="7" s="1"/>
  <c r="G631" i="7"/>
  <c r="J631" i="7" s="1"/>
  <c r="G632" i="7"/>
  <c r="J632" i="7" s="1"/>
  <c r="G633" i="7"/>
  <c r="J633" i="7" s="1"/>
  <c r="G634" i="7"/>
  <c r="J634" i="7" s="1"/>
  <c r="G635" i="7"/>
  <c r="J635" i="7" s="1"/>
  <c r="G636" i="7"/>
  <c r="J636" i="7" s="1"/>
  <c r="G637" i="7"/>
  <c r="J637" i="7" s="1"/>
  <c r="G638" i="7"/>
  <c r="J638" i="7" s="1"/>
  <c r="G639" i="7"/>
  <c r="J639" i="7" s="1"/>
  <c r="G640" i="7"/>
  <c r="J640" i="7" s="1"/>
  <c r="G641" i="7"/>
  <c r="J641" i="7" s="1"/>
  <c r="G642" i="7"/>
  <c r="J642" i="7" s="1"/>
  <c r="G643" i="7"/>
  <c r="J643" i="7" s="1"/>
  <c r="G644" i="7"/>
  <c r="J644" i="7" s="1"/>
  <c r="G645" i="7"/>
  <c r="J645" i="7" s="1"/>
  <c r="G646" i="7"/>
  <c r="J646" i="7" s="1"/>
  <c r="G647" i="7"/>
  <c r="J647" i="7" s="1"/>
  <c r="G648" i="7"/>
  <c r="J648" i="7" s="1"/>
  <c r="G649" i="7"/>
  <c r="J649" i="7" s="1"/>
  <c r="G650" i="7"/>
  <c r="J650" i="7" s="1"/>
  <c r="G651" i="7"/>
  <c r="J651" i="7" s="1"/>
  <c r="G652" i="7"/>
  <c r="J652" i="7" s="1"/>
  <c r="G653" i="7"/>
  <c r="J653" i="7" s="1"/>
  <c r="G654" i="7"/>
  <c r="J654" i="7" s="1"/>
  <c r="G655" i="7"/>
  <c r="J655" i="7" s="1"/>
  <c r="G656" i="7"/>
  <c r="J656" i="7" s="1"/>
  <c r="G657" i="7"/>
  <c r="J657" i="7" s="1"/>
  <c r="G658" i="7"/>
  <c r="J658" i="7" s="1"/>
  <c r="G659" i="7"/>
  <c r="J659" i="7" s="1"/>
  <c r="G660" i="7"/>
  <c r="J660" i="7" s="1"/>
  <c r="G661" i="7"/>
  <c r="J661" i="7" s="1"/>
  <c r="G662" i="7"/>
  <c r="J662" i="7" s="1"/>
  <c r="G663" i="7"/>
  <c r="J663" i="7" s="1"/>
  <c r="G664" i="7"/>
  <c r="J664" i="7" s="1"/>
  <c r="G665" i="7"/>
  <c r="J665" i="7" s="1"/>
  <c r="G666" i="7"/>
  <c r="J666" i="7" s="1"/>
  <c r="G667" i="7"/>
  <c r="J667" i="7" s="1"/>
  <c r="G668" i="7"/>
  <c r="J668" i="7" s="1"/>
  <c r="G669" i="7"/>
  <c r="J669" i="7" s="1"/>
  <c r="G670" i="7"/>
  <c r="J670" i="7" s="1"/>
  <c r="G671" i="7"/>
  <c r="J671" i="7" s="1"/>
  <c r="G672" i="7"/>
  <c r="J672" i="7" s="1"/>
  <c r="G673" i="7"/>
  <c r="J673" i="7" s="1"/>
  <c r="G674" i="7"/>
  <c r="J674" i="7" s="1"/>
  <c r="G675" i="7"/>
  <c r="J675" i="7" s="1"/>
  <c r="G676" i="7"/>
  <c r="J676" i="7" s="1"/>
  <c r="G677" i="7"/>
  <c r="J677" i="7" s="1"/>
  <c r="G678" i="7"/>
  <c r="J678" i="7" s="1"/>
  <c r="G679" i="7"/>
  <c r="J679" i="7" s="1"/>
  <c r="G680" i="7"/>
  <c r="J680" i="7" s="1"/>
  <c r="G681" i="7"/>
  <c r="J681" i="7" s="1"/>
  <c r="G682" i="7"/>
  <c r="J682" i="7" s="1"/>
  <c r="G683" i="7"/>
  <c r="J683" i="7" s="1"/>
  <c r="G684" i="7"/>
  <c r="J684" i="7" s="1"/>
  <c r="G685" i="7"/>
  <c r="J685" i="7" s="1"/>
  <c r="G686" i="7"/>
  <c r="J686" i="7" s="1"/>
  <c r="G687" i="7"/>
  <c r="J687" i="7" s="1"/>
  <c r="G688" i="7"/>
  <c r="J688" i="7" s="1"/>
  <c r="G689" i="7"/>
  <c r="J689" i="7" s="1"/>
  <c r="G690" i="7"/>
  <c r="J690" i="7" s="1"/>
  <c r="G691" i="7"/>
  <c r="J691" i="7" s="1"/>
  <c r="G692" i="7"/>
  <c r="J692" i="7" s="1"/>
  <c r="G693" i="7"/>
  <c r="J693" i="7" s="1"/>
  <c r="G694" i="7"/>
  <c r="J694" i="7" s="1"/>
  <c r="G695" i="7"/>
  <c r="J695" i="7" s="1"/>
  <c r="G696" i="7"/>
  <c r="J696" i="7" s="1"/>
  <c r="G697" i="7"/>
  <c r="J697" i="7" s="1"/>
  <c r="G698" i="7"/>
  <c r="J698" i="7" s="1"/>
  <c r="G699" i="7"/>
  <c r="J699" i="7" s="1"/>
  <c r="G700" i="7"/>
  <c r="J700" i="7" s="1"/>
  <c r="G701" i="7"/>
  <c r="J701" i="7" s="1"/>
  <c r="G702" i="7"/>
  <c r="J702" i="7" s="1"/>
  <c r="G703" i="7"/>
  <c r="J703" i="7" s="1"/>
  <c r="G704" i="7"/>
  <c r="J704" i="7" s="1"/>
  <c r="G705" i="7"/>
  <c r="J705" i="7" s="1"/>
  <c r="G706" i="7"/>
  <c r="J706" i="7" s="1"/>
  <c r="G707" i="7"/>
  <c r="J707" i="7" s="1"/>
  <c r="G708" i="7"/>
  <c r="J708" i="7" s="1"/>
  <c r="G709" i="7"/>
  <c r="J709" i="7" s="1"/>
  <c r="G710" i="7"/>
  <c r="J710" i="7" s="1"/>
  <c r="G711" i="7"/>
  <c r="J711" i="7" s="1"/>
  <c r="G712" i="7"/>
  <c r="J712" i="7" s="1"/>
  <c r="G713" i="7"/>
  <c r="J713" i="7" s="1"/>
  <c r="G714" i="7"/>
  <c r="J714" i="7" s="1"/>
  <c r="G715" i="7"/>
  <c r="J715" i="7" s="1"/>
  <c r="G716" i="7"/>
  <c r="J716" i="7" s="1"/>
  <c r="G717" i="7"/>
  <c r="J717" i="7" s="1"/>
  <c r="G718" i="7"/>
  <c r="J718" i="7" s="1"/>
  <c r="G719" i="7"/>
  <c r="J719" i="7" s="1"/>
  <c r="G720" i="7"/>
  <c r="J720" i="7" s="1"/>
  <c r="G721" i="7"/>
  <c r="J721" i="7" s="1"/>
  <c r="G722" i="7"/>
  <c r="J722" i="7" s="1"/>
  <c r="G723" i="7"/>
  <c r="J723" i="7" s="1"/>
  <c r="G724" i="7"/>
  <c r="J724" i="7" s="1"/>
  <c r="G725" i="7"/>
  <c r="J725" i="7" s="1"/>
  <c r="G726" i="7"/>
  <c r="J726" i="7" s="1"/>
  <c r="G727" i="7"/>
  <c r="J727" i="7" s="1"/>
  <c r="G728" i="7"/>
  <c r="J728" i="7" s="1"/>
  <c r="G729" i="7"/>
  <c r="J729" i="7" s="1"/>
  <c r="G730" i="7"/>
  <c r="J730" i="7" s="1"/>
  <c r="G731" i="7"/>
  <c r="J731" i="7" s="1"/>
  <c r="G732" i="7"/>
  <c r="J732" i="7" s="1"/>
  <c r="G733" i="7"/>
  <c r="J733" i="7" s="1"/>
  <c r="G734" i="7"/>
  <c r="J734" i="7" s="1"/>
  <c r="G735" i="7"/>
  <c r="J735" i="7" s="1"/>
  <c r="G736" i="7"/>
  <c r="J736" i="7" s="1"/>
  <c r="G737" i="7"/>
  <c r="J737" i="7" s="1"/>
  <c r="G738" i="7"/>
  <c r="J738" i="7" s="1"/>
  <c r="G739" i="7"/>
  <c r="J739" i="7" s="1"/>
  <c r="G740" i="7"/>
  <c r="J740" i="7" s="1"/>
  <c r="G741" i="7"/>
  <c r="J741" i="7" s="1"/>
  <c r="G742" i="7"/>
  <c r="J742" i="7" s="1"/>
  <c r="G743" i="7"/>
  <c r="J743" i="7" s="1"/>
  <c r="G744" i="7"/>
  <c r="J744" i="7" s="1"/>
  <c r="G745" i="7"/>
  <c r="J745" i="7" s="1"/>
  <c r="G746" i="7"/>
  <c r="J746" i="7" s="1"/>
  <c r="G747" i="7"/>
  <c r="J747" i="7" s="1"/>
  <c r="G748" i="7"/>
  <c r="J748" i="7" s="1"/>
  <c r="G749" i="7"/>
  <c r="J749" i="7" s="1"/>
  <c r="G750" i="7"/>
  <c r="J750" i="7" s="1"/>
  <c r="G751" i="7"/>
  <c r="J751" i="7" s="1"/>
  <c r="G752" i="7"/>
  <c r="J752" i="7" s="1"/>
  <c r="G753" i="7"/>
  <c r="J753" i="7" s="1"/>
  <c r="G754" i="7"/>
  <c r="J754" i="7" s="1"/>
  <c r="G755" i="7"/>
  <c r="J755" i="7" s="1"/>
  <c r="G756" i="7"/>
  <c r="J756" i="7" s="1"/>
  <c r="G757" i="7"/>
  <c r="J757" i="7" s="1"/>
  <c r="G758" i="7"/>
  <c r="J758" i="7" s="1"/>
  <c r="G759" i="7"/>
  <c r="J759" i="7" s="1"/>
  <c r="G760" i="7"/>
  <c r="J760" i="7" s="1"/>
  <c r="G761" i="7"/>
  <c r="J761" i="7" s="1"/>
  <c r="G762" i="7"/>
  <c r="J762" i="7" s="1"/>
  <c r="G763" i="7"/>
  <c r="J763" i="7" s="1"/>
  <c r="G764" i="7"/>
  <c r="J764" i="7" s="1"/>
  <c r="G765" i="7"/>
  <c r="J765" i="7" s="1"/>
  <c r="G766" i="7"/>
  <c r="J766" i="7" s="1"/>
  <c r="G767" i="7"/>
  <c r="J767" i="7" s="1"/>
  <c r="G768" i="7"/>
  <c r="J768" i="7" s="1"/>
  <c r="G769" i="7"/>
  <c r="J769" i="7" s="1"/>
  <c r="G770" i="7"/>
  <c r="J770" i="7" s="1"/>
  <c r="G771" i="7"/>
  <c r="J771" i="7" s="1"/>
  <c r="G772" i="7"/>
  <c r="J772" i="7" s="1"/>
  <c r="G773" i="7"/>
  <c r="J773" i="7" s="1"/>
  <c r="G774" i="7"/>
  <c r="J774" i="7" s="1"/>
  <c r="G775" i="7"/>
  <c r="J775" i="7" s="1"/>
  <c r="G776" i="7"/>
  <c r="J776" i="7" s="1"/>
  <c r="G777" i="7"/>
  <c r="J777" i="7" s="1"/>
  <c r="G778" i="7"/>
  <c r="J778" i="7" s="1"/>
  <c r="G779" i="7"/>
  <c r="J779" i="7" s="1"/>
  <c r="G780" i="7"/>
  <c r="J780" i="7" s="1"/>
  <c r="G781" i="7"/>
  <c r="J781" i="7" s="1"/>
  <c r="G782" i="7"/>
  <c r="J782" i="7" s="1"/>
  <c r="G783" i="7"/>
  <c r="J783" i="7" s="1"/>
  <c r="G784" i="7"/>
  <c r="J784" i="7" s="1"/>
  <c r="G785" i="7"/>
  <c r="J785" i="7" s="1"/>
  <c r="G786" i="7"/>
  <c r="J786" i="7" s="1"/>
  <c r="G787" i="7"/>
  <c r="J787" i="7" s="1"/>
  <c r="G788" i="7"/>
  <c r="J788" i="7" s="1"/>
  <c r="G789" i="7"/>
  <c r="J789" i="7" s="1"/>
  <c r="G790" i="7"/>
  <c r="J790" i="7" s="1"/>
  <c r="G791" i="7"/>
  <c r="J791" i="7" s="1"/>
  <c r="G792" i="7"/>
  <c r="J792" i="7" s="1"/>
  <c r="G793" i="7"/>
  <c r="J793" i="7" s="1"/>
  <c r="G794" i="7"/>
  <c r="J794" i="7" s="1"/>
  <c r="G795" i="7"/>
  <c r="J795" i="7" s="1"/>
  <c r="G796" i="7"/>
  <c r="J796" i="7" s="1"/>
  <c r="G797" i="7"/>
  <c r="J797" i="7" s="1"/>
  <c r="G798" i="7"/>
  <c r="J798" i="7" s="1"/>
  <c r="G799" i="7"/>
  <c r="J799" i="7" s="1"/>
  <c r="G800" i="7"/>
  <c r="J800" i="7" s="1"/>
  <c r="G801" i="7"/>
  <c r="J801" i="7" s="1"/>
  <c r="G802" i="7"/>
  <c r="J802" i="7" s="1"/>
  <c r="G803" i="7"/>
  <c r="J803" i="7" s="1"/>
  <c r="G804" i="7"/>
  <c r="J804" i="7" s="1"/>
  <c r="G805" i="7"/>
  <c r="J805" i="7" s="1"/>
  <c r="G806" i="7"/>
  <c r="J806" i="7" s="1"/>
  <c r="G807" i="7"/>
  <c r="J807" i="7" s="1"/>
  <c r="G808" i="7"/>
  <c r="J808" i="7" s="1"/>
  <c r="G809" i="7"/>
  <c r="J809" i="7" s="1"/>
  <c r="G810" i="7"/>
  <c r="J810" i="7" s="1"/>
  <c r="G811" i="7"/>
  <c r="J811" i="7" s="1"/>
  <c r="G812" i="7"/>
  <c r="J812" i="7" s="1"/>
  <c r="G813" i="7"/>
  <c r="J813" i="7" s="1"/>
  <c r="G814" i="7"/>
  <c r="J814" i="7" s="1"/>
  <c r="G815" i="7"/>
  <c r="J815" i="7" s="1"/>
  <c r="G816" i="7"/>
  <c r="J816" i="7" s="1"/>
  <c r="G817" i="7"/>
  <c r="J817" i="7" s="1"/>
  <c r="G818" i="7"/>
  <c r="J818" i="7" s="1"/>
  <c r="G819" i="7"/>
  <c r="J819" i="7" s="1"/>
  <c r="G820" i="7"/>
  <c r="J820" i="7" s="1"/>
  <c r="G821" i="7"/>
  <c r="J821" i="7" s="1"/>
  <c r="G822" i="7"/>
  <c r="J822" i="7" s="1"/>
  <c r="G823" i="7"/>
  <c r="J823" i="7" s="1"/>
  <c r="G824" i="7"/>
  <c r="J824" i="7" s="1"/>
  <c r="G825" i="7"/>
  <c r="J825" i="7" s="1"/>
  <c r="G826" i="7"/>
  <c r="J826" i="7" s="1"/>
  <c r="G827" i="7"/>
  <c r="J827" i="7" s="1"/>
  <c r="G828" i="7"/>
  <c r="J828" i="7" s="1"/>
  <c r="G829" i="7"/>
  <c r="J829" i="7" s="1"/>
  <c r="G830" i="7"/>
  <c r="J830" i="7" s="1"/>
  <c r="G831" i="7"/>
  <c r="J831" i="7" s="1"/>
  <c r="G832" i="7"/>
  <c r="J832" i="7" s="1"/>
  <c r="G833" i="7"/>
  <c r="J833" i="7" s="1"/>
  <c r="G834" i="7"/>
  <c r="J834" i="7" s="1"/>
  <c r="G835" i="7"/>
  <c r="J835" i="7" s="1"/>
  <c r="G836" i="7"/>
  <c r="J836" i="7" s="1"/>
  <c r="G837" i="7"/>
  <c r="J837" i="7" s="1"/>
  <c r="G838" i="7"/>
  <c r="J838" i="7" s="1"/>
  <c r="G839" i="7"/>
  <c r="J839" i="7" s="1"/>
  <c r="G840" i="7"/>
  <c r="J840" i="7" s="1"/>
  <c r="G841" i="7"/>
  <c r="J841" i="7" s="1"/>
  <c r="G842" i="7"/>
  <c r="J842" i="7" s="1"/>
  <c r="G843" i="7"/>
  <c r="J843" i="7" s="1"/>
  <c r="G844" i="7"/>
  <c r="J844" i="7" s="1"/>
  <c r="G845" i="7"/>
  <c r="J845" i="7" s="1"/>
  <c r="G846" i="7"/>
  <c r="J846" i="7" s="1"/>
  <c r="G847" i="7"/>
  <c r="J847" i="7" s="1"/>
  <c r="G848" i="7"/>
  <c r="J848" i="7" s="1"/>
  <c r="G849" i="7"/>
  <c r="J849" i="7" s="1"/>
  <c r="G850" i="7"/>
  <c r="J850" i="7" s="1"/>
  <c r="G851" i="7"/>
  <c r="J851" i="7" s="1"/>
  <c r="G852" i="7"/>
  <c r="J852" i="7" s="1"/>
  <c r="G853" i="7"/>
  <c r="J853" i="7" s="1"/>
  <c r="G854" i="7"/>
  <c r="J854" i="7" s="1"/>
  <c r="G855" i="7"/>
  <c r="J855" i="7" s="1"/>
  <c r="G856" i="7"/>
  <c r="J856" i="7" s="1"/>
  <c r="G857" i="7"/>
  <c r="J857" i="7" s="1"/>
  <c r="G858" i="7"/>
  <c r="J858" i="7" s="1"/>
  <c r="G859" i="7"/>
  <c r="J859" i="7" s="1"/>
  <c r="G860" i="7"/>
  <c r="J860" i="7" s="1"/>
  <c r="G861" i="7"/>
  <c r="J861" i="7" s="1"/>
  <c r="G862" i="7"/>
  <c r="J862" i="7" s="1"/>
  <c r="G863" i="7"/>
  <c r="J863" i="7" s="1"/>
  <c r="G864" i="7"/>
  <c r="J864" i="7" s="1"/>
  <c r="G865" i="7"/>
  <c r="J865" i="7" s="1"/>
  <c r="G866" i="7"/>
  <c r="J866" i="7" s="1"/>
  <c r="G867" i="7"/>
  <c r="J867" i="7" s="1"/>
  <c r="G868" i="7"/>
  <c r="J868" i="7" s="1"/>
  <c r="G869" i="7"/>
  <c r="J869" i="7" s="1"/>
  <c r="G870" i="7"/>
  <c r="J870" i="7" s="1"/>
  <c r="G871" i="7"/>
  <c r="J871" i="7" s="1"/>
  <c r="G872" i="7"/>
  <c r="J872" i="7" s="1"/>
  <c r="G873" i="7"/>
  <c r="J873" i="7" s="1"/>
  <c r="G874" i="7"/>
  <c r="J874" i="7" s="1"/>
  <c r="G875" i="7"/>
  <c r="J875" i="7" s="1"/>
  <c r="G876" i="7"/>
  <c r="J876" i="7" s="1"/>
  <c r="G877" i="7"/>
  <c r="J877" i="7" s="1"/>
  <c r="G878" i="7"/>
  <c r="J878" i="7" s="1"/>
  <c r="G879" i="7"/>
  <c r="J879" i="7" s="1"/>
  <c r="G880" i="7"/>
  <c r="J880" i="7" s="1"/>
  <c r="G881" i="7"/>
  <c r="J881" i="7" s="1"/>
  <c r="G882" i="7"/>
  <c r="J882" i="7" s="1"/>
  <c r="G883" i="7"/>
  <c r="J883" i="7" s="1"/>
  <c r="G884" i="7"/>
  <c r="J884" i="7" s="1"/>
  <c r="G885" i="7"/>
  <c r="J885" i="7" s="1"/>
  <c r="G886" i="7"/>
  <c r="J886" i="7" s="1"/>
  <c r="G887" i="7"/>
  <c r="J887" i="7" s="1"/>
  <c r="G888" i="7"/>
  <c r="J888" i="7" s="1"/>
  <c r="G889" i="7"/>
  <c r="J889" i="7" s="1"/>
  <c r="G890" i="7"/>
  <c r="J890" i="7" s="1"/>
  <c r="G891" i="7"/>
  <c r="J891" i="7" s="1"/>
  <c r="G892" i="7"/>
  <c r="J892" i="7" s="1"/>
  <c r="G893" i="7"/>
  <c r="J893" i="7" s="1"/>
  <c r="G894" i="7"/>
  <c r="J894" i="7" s="1"/>
  <c r="G895" i="7"/>
  <c r="J895" i="7" s="1"/>
  <c r="G896" i="7"/>
  <c r="J896" i="7" s="1"/>
  <c r="G897" i="7"/>
  <c r="J897" i="7" s="1"/>
  <c r="G898" i="7"/>
  <c r="J898" i="7" s="1"/>
  <c r="G899" i="7"/>
  <c r="J899" i="7" s="1"/>
  <c r="G900" i="7"/>
  <c r="J900" i="7" s="1"/>
  <c r="G901" i="7"/>
  <c r="J901" i="7" s="1"/>
  <c r="G902" i="7"/>
  <c r="J902" i="7" s="1"/>
  <c r="G903" i="7"/>
  <c r="J903" i="7" s="1"/>
  <c r="G904" i="7"/>
  <c r="J904" i="7" s="1"/>
  <c r="G905" i="7"/>
  <c r="J905" i="7" s="1"/>
  <c r="G906" i="7"/>
  <c r="J906" i="7" s="1"/>
  <c r="G907" i="7"/>
  <c r="J907" i="7" s="1"/>
  <c r="G908" i="7"/>
  <c r="J908" i="7" s="1"/>
  <c r="G909" i="7"/>
  <c r="J909" i="7" s="1"/>
  <c r="G910" i="7"/>
  <c r="J910" i="7" s="1"/>
  <c r="G911" i="7"/>
  <c r="J911" i="7" s="1"/>
  <c r="G912" i="7"/>
  <c r="J912" i="7" s="1"/>
  <c r="G913" i="7"/>
  <c r="J913" i="7" s="1"/>
  <c r="G914" i="7"/>
  <c r="J914" i="7" s="1"/>
  <c r="G915" i="7"/>
  <c r="J915" i="7" s="1"/>
  <c r="G916" i="7"/>
  <c r="J916" i="7" s="1"/>
  <c r="G917" i="7"/>
  <c r="J917" i="7" s="1"/>
  <c r="G918" i="7"/>
  <c r="J918" i="7" s="1"/>
  <c r="G919" i="7"/>
  <c r="J919" i="7" s="1"/>
  <c r="G920" i="7"/>
  <c r="J920" i="7" s="1"/>
  <c r="G921" i="7"/>
  <c r="J921" i="7" s="1"/>
  <c r="G922" i="7"/>
  <c r="J922" i="7" s="1"/>
  <c r="G923" i="7"/>
  <c r="J923" i="7" s="1"/>
  <c r="G924" i="7"/>
  <c r="J924" i="7" s="1"/>
  <c r="G925" i="7"/>
  <c r="J925" i="7" s="1"/>
  <c r="G926" i="7"/>
  <c r="J926" i="7" s="1"/>
  <c r="G927" i="7"/>
  <c r="J927" i="7" s="1"/>
  <c r="G928" i="7"/>
  <c r="J928" i="7" s="1"/>
  <c r="G929" i="7"/>
  <c r="J929" i="7" s="1"/>
  <c r="G930" i="7"/>
  <c r="J930" i="7" s="1"/>
  <c r="G931" i="7"/>
  <c r="J931" i="7" s="1"/>
  <c r="G932" i="7"/>
  <c r="J932" i="7" s="1"/>
  <c r="G933" i="7"/>
  <c r="J933" i="7" s="1"/>
  <c r="G934" i="7"/>
  <c r="J934" i="7" s="1"/>
  <c r="G935" i="7"/>
  <c r="J935" i="7" s="1"/>
  <c r="G936" i="7"/>
  <c r="J936" i="7" s="1"/>
  <c r="G937" i="7"/>
  <c r="J937" i="7" s="1"/>
  <c r="G938" i="7"/>
  <c r="J938" i="7" s="1"/>
  <c r="G939" i="7"/>
  <c r="J939" i="7" s="1"/>
  <c r="G940" i="7"/>
  <c r="J940" i="7" s="1"/>
  <c r="G941" i="7"/>
  <c r="J941" i="7" s="1"/>
  <c r="G942" i="7"/>
  <c r="J942" i="7" s="1"/>
  <c r="G943" i="7"/>
  <c r="J943" i="7" s="1"/>
  <c r="G944" i="7"/>
  <c r="J944" i="7" s="1"/>
  <c r="G945" i="7"/>
  <c r="J945" i="7" s="1"/>
  <c r="G946" i="7"/>
  <c r="J946" i="7" s="1"/>
  <c r="G947" i="7"/>
  <c r="J947" i="7" s="1"/>
  <c r="G948" i="7"/>
  <c r="J948" i="7" s="1"/>
  <c r="G949" i="7"/>
  <c r="J949" i="7" s="1"/>
  <c r="G950" i="7"/>
  <c r="J950" i="7" s="1"/>
  <c r="G951" i="7"/>
  <c r="J951" i="7" s="1"/>
  <c r="G952" i="7"/>
  <c r="J952" i="7" s="1"/>
  <c r="G953" i="7"/>
  <c r="J953" i="7" s="1"/>
  <c r="G954" i="7"/>
  <c r="J954" i="7" s="1"/>
  <c r="G955" i="7"/>
  <c r="J955" i="7" s="1"/>
  <c r="G956" i="7"/>
  <c r="J956" i="7" s="1"/>
  <c r="G957" i="7"/>
  <c r="J957" i="7" s="1"/>
  <c r="G958" i="7"/>
  <c r="J958" i="7" s="1"/>
  <c r="G959" i="7"/>
  <c r="J959" i="7" s="1"/>
  <c r="G960" i="7"/>
  <c r="J960" i="7" s="1"/>
  <c r="G961" i="7"/>
  <c r="J961" i="7" s="1"/>
  <c r="G962" i="7"/>
  <c r="J962" i="7" s="1"/>
  <c r="G963" i="7"/>
  <c r="J963" i="7" s="1"/>
  <c r="G964" i="7"/>
  <c r="J964" i="7" s="1"/>
  <c r="G965" i="7"/>
  <c r="J965" i="7" s="1"/>
  <c r="G966" i="7"/>
  <c r="J966" i="7" s="1"/>
  <c r="G967" i="7"/>
  <c r="J967" i="7" s="1"/>
  <c r="G968" i="7"/>
  <c r="J968" i="7" s="1"/>
  <c r="G969" i="7"/>
  <c r="J969" i="7" s="1"/>
  <c r="G970" i="7"/>
  <c r="J970" i="7" s="1"/>
  <c r="G971" i="7"/>
  <c r="J971" i="7" s="1"/>
  <c r="G972" i="7"/>
  <c r="J972" i="7" s="1"/>
  <c r="G973" i="7"/>
  <c r="J973" i="7" s="1"/>
  <c r="G974" i="7"/>
  <c r="J974" i="7" s="1"/>
  <c r="G975" i="7"/>
  <c r="J975" i="7" s="1"/>
  <c r="G976" i="7"/>
  <c r="J976" i="7" s="1"/>
  <c r="G977" i="7"/>
  <c r="J977" i="7" s="1"/>
  <c r="G978" i="7"/>
  <c r="J978" i="7" s="1"/>
  <c r="G979" i="7"/>
  <c r="J979" i="7" s="1"/>
  <c r="G980" i="7"/>
  <c r="J980" i="7" s="1"/>
  <c r="G981" i="7"/>
  <c r="J981" i="7" s="1"/>
  <c r="G982" i="7"/>
  <c r="J982" i="7" s="1"/>
  <c r="G983" i="7"/>
  <c r="J983" i="7" s="1"/>
  <c r="G984" i="7"/>
  <c r="J984" i="7" s="1"/>
  <c r="G985" i="7"/>
  <c r="J985" i="7" s="1"/>
  <c r="G986" i="7"/>
  <c r="J986" i="7" s="1"/>
  <c r="G987" i="7"/>
  <c r="J987" i="7" s="1"/>
  <c r="G988" i="7"/>
  <c r="J988" i="7" s="1"/>
  <c r="G989" i="7"/>
  <c r="J989" i="7" s="1"/>
  <c r="G990" i="7"/>
  <c r="J990" i="7" s="1"/>
  <c r="G991" i="7"/>
  <c r="J991" i="7" s="1"/>
  <c r="G992" i="7"/>
  <c r="J992" i="7" s="1"/>
  <c r="G993" i="7"/>
  <c r="J993" i="7" s="1"/>
  <c r="G994" i="7"/>
  <c r="J994" i="7" s="1"/>
  <c r="G995" i="7"/>
  <c r="J995" i="7" s="1"/>
  <c r="G996" i="7"/>
  <c r="J996" i="7" s="1"/>
  <c r="G997" i="7"/>
  <c r="J997" i="7" s="1"/>
  <c r="G998" i="7"/>
  <c r="J998" i="7" s="1"/>
  <c r="G999" i="7"/>
  <c r="J999" i="7" s="1"/>
  <c r="G1000" i="7"/>
  <c r="J1000" i="7" s="1"/>
  <c r="G1001" i="7"/>
  <c r="J1001" i="7" s="1"/>
  <c r="E2" i="12"/>
  <c r="J11" i="12" l="1"/>
  <c r="J17" i="12"/>
  <c r="J15" i="12"/>
  <c r="J5" i="12"/>
  <c r="L2" i="12"/>
  <c r="L32" i="12"/>
  <c r="K32" i="12"/>
  <c r="F32" i="12"/>
  <c r="I32" i="12"/>
  <c r="M39" i="12"/>
  <c r="G39" i="12"/>
  <c r="J39" i="12"/>
  <c r="G27" i="12"/>
  <c r="J27" i="12"/>
  <c r="M27" i="12"/>
  <c r="L26" i="12"/>
  <c r="I26" i="12"/>
  <c r="K26" i="12"/>
  <c r="F26" i="12"/>
  <c r="F31" i="12"/>
  <c r="I31" i="12"/>
  <c r="L31" i="12"/>
  <c r="K31" i="12"/>
  <c r="G38" i="12"/>
  <c r="J38" i="12"/>
  <c r="M38" i="12"/>
  <c r="I42" i="12"/>
  <c r="F42" i="12"/>
  <c r="K42" i="12"/>
  <c r="L42" i="12"/>
  <c r="K30" i="12"/>
  <c r="L30" i="12"/>
  <c r="I30" i="12"/>
  <c r="F30" i="12"/>
  <c r="M37" i="12"/>
  <c r="J37" i="12"/>
  <c r="G37" i="12"/>
  <c r="I41" i="12"/>
  <c r="F41" i="12"/>
  <c r="L41" i="12"/>
  <c r="K41" i="12"/>
  <c r="I29" i="12"/>
  <c r="L29" i="12"/>
  <c r="K29" i="12"/>
  <c r="F29" i="12"/>
  <c r="J36" i="12"/>
  <c r="G36" i="12"/>
  <c r="M36" i="12"/>
  <c r="I40" i="12"/>
  <c r="F40" i="12"/>
  <c r="L40" i="12"/>
  <c r="K40" i="12"/>
  <c r="I28" i="12"/>
  <c r="F28" i="12"/>
  <c r="L28" i="12"/>
  <c r="K28" i="12"/>
  <c r="J35" i="12"/>
  <c r="G35" i="12"/>
  <c r="M35" i="12"/>
  <c r="F39" i="12"/>
  <c r="I39" i="12"/>
  <c r="K39" i="12"/>
  <c r="L39" i="12"/>
  <c r="F27" i="12"/>
  <c r="L27" i="12"/>
  <c r="I27" i="12"/>
  <c r="K27" i="12"/>
  <c r="M34" i="12"/>
  <c r="J34" i="12"/>
  <c r="G34" i="12"/>
  <c r="I38" i="12"/>
  <c r="F38" i="12"/>
  <c r="L38" i="12"/>
  <c r="K38" i="12"/>
  <c r="J25" i="12"/>
  <c r="G25" i="12"/>
  <c r="M25" i="12"/>
  <c r="G33" i="12"/>
  <c r="M33" i="12"/>
  <c r="J33" i="12"/>
  <c r="I37" i="12"/>
  <c r="F37" i="12"/>
  <c r="L37" i="12"/>
  <c r="K37" i="12"/>
  <c r="L25" i="12"/>
  <c r="I25" i="12"/>
  <c r="K25" i="12"/>
  <c r="F25" i="12"/>
  <c r="M32" i="12"/>
  <c r="J32" i="12"/>
  <c r="G32" i="12"/>
  <c r="B3" i="13"/>
  <c r="C2" i="12"/>
  <c r="I36" i="12"/>
  <c r="F36" i="12"/>
  <c r="K36" i="12"/>
  <c r="L36" i="12"/>
  <c r="G26" i="12"/>
  <c r="M26" i="12"/>
  <c r="J26" i="12"/>
  <c r="J31" i="12"/>
  <c r="G31" i="12"/>
  <c r="M31" i="12"/>
  <c r="I35" i="12"/>
  <c r="F35" i="12"/>
  <c r="L35" i="12"/>
  <c r="K35" i="12"/>
  <c r="J42" i="12"/>
  <c r="G42" i="12"/>
  <c r="M42" i="12"/>
  <c r="J30" i="12"/>
  <c r="M30" i="12"/>
  <c r="G30" i="12"/>
  <c r="F34" i="12"/>
  <c r="L34" i="12"/>
  <c r="I34" i="12"/>
  <c r="K34" i="12"/>
  <c r="J41" i="12"/>
  <c r="G41" i="12"/>
  <c r="M41" i="12"/>
  <c r="J29" i="12"/>
  <c r="M29" i="12"/>
  <c r="G29" i="12"/>
  <c r="J4" i="12"/>
  <c r="J16" i="12"/>
  <c r="H2" i="12"/>
  <c r="M2" i="12" s="1"/>
  <c r="L33" i="12"/>
  <c r="F33" i="12"/>
  <c r="K33" i="12"/>
  <c r="I33" i="12"/>
  <c r="G40" i="12"/>
  <c r="J40" i="12"/>
  <c r="M40" i="12"/>
  <c r="G28" i="12"/>
  <c r="J28" i="12"/>
  <c r="M28" i="12"/>
  <c r="J22" i="14" a="1"/>
  <c r="J22" i="14" s="1"/>
  <c r="J20" i="14" a="1"/>
  <c r="J20" i="14" s="1"/>
  <c r="J25" i="14" a="1"/>
  <c r="J25" i="14" s="1"/>
  <c r="J24" i="14" a="1"/>
  <c r="J24" i="14" s="1"/>
  <c r="J23" i="14" a="1"/>
  <c r="J23" i="14" s="1"/>
  <c r="J16" i="14" a="1"/>
  <c r="J16" i="14" s="1"/>
  <c r="J26" i="14" a="1"/>
  <c r="J26" i="14" s="1"/>
  <c r="J19" i="14" a="1"/>
  <c r="J19" i="14" s="1"/>
  <c r="J27" i="14" a="1"/>
  <c r="J27" i="14" s="1"/>
  <c r="J18" i="14" a="1"/>
  <c r="J18" i="14" s="1"/>
  <c r="J17" i="14" a="1"/>
  <c r="J17" i="14" s="1"/>
  <c r="F16" i="14"/>
  <c r="G16" i="14" s="1"/>
  <c r="I16" i="14" s="1"/>
  <c r="J18" i="12"/>
  <c r="E10" i="12"/>
  <c r="E13" i="12"/>
  <c r="J6" i="12"/>
  <c r="E9" i="12"/>
  <c r="F9" i="12" s="1"/>
  <c r="E12" i="12"/>
  <c r="E8" i="12"/>
  <c r="E7" i="12"/>
  <c r="E19" i="12"/>
  <c r="E18" i="12"/>
  <c r="H16" i="12"/>
  <c r="E6" i="12"/>
  <c r="M6" i="12" s="1"/>
  <c r="H14" i="12"/>
  <c r="J10" i="12"/>
  <c r="E5" i="12"/>
  <c r="H9" i="12"/>
  <c r="E17" i="12"/>
  <c r="J3" i="12"/>
  <c r="E11" i="12"/>
  <c r="E16" i="12"/>
  <c r="E4" i="12"/>
  <c r="E15" i="12"/>
  <c r="J9" i="12"/>
  <c r="J2" i="7"/>
  <c r="J19" i="12"/>
  <c r="E3" i="12"/>
  <c r="E14" i="12"/>
  <c r="J8" i="12"/>
  <c r="H8" i="12"/>
  <c r="J14" i="12"/>
  <c r="H19" i="12"/>
  <c r="H7" i="12"/>
  <c r="J13" i="12"/>
  <c r="H18" i="12"/>
  <c r="H6" i="12"/>
  <c r="J12" i="12"/>
  <c r="H17" i="12"/>
  <c r="H5" i="12"/>
  <c r="H4" i="12"/>
  <c r="H15" i="12"/>
  <c r="H3" i="12"/>
  <c r="H13" i="12"/>
  <c r="J7" i="12"/>
  <c r="H12" i="12"/>
  <c r="H11" i="12"/>
  <c r="H10" i="12"/>
  <c r="F14" i="12" l="1"/>
  <c r="I14" i="12" s="1"/>
  <c r="L14" i="12" s="1"/>
  <c r="M14" i="12"/>
  <c r="F13" i="12"/>
  <c r="I13" i="12" s="1"/>
  <c r="L13" i="12" s="1"/>
  <c r="M13" i="12"/>
  <c r="F10" i="12"/>
  <c r="M10" i="12"/>
  <c r="F15" i="12"/>
  <c r="M15" i="12"/>
  <c r="F3" i="12"/>
  <c r="M3" i="12"/>
  <c r="K18" i="12"/>
  <c r="M18" i="12"/>
  <c r="M44" i="12"/>
  <c r="G44" i="12"/>
  <c r="F4" i="12"/>
  <c r="I4" i="12" s="1"/>
  <c r="L4" i="12" s="1"/>
  <c r="M4" i="12"/>
  <c r="K3" i="12"/>
  <c r="F5" i="12"/>
  <c r="I5" i="12" s="1"/>
  <c r="L5" i="12" s="1"/>
  <c r="M5" i="12"/>
  <c r="F19" i="12"/>
  <c r="I19" i="12" s="1"/>
  <c r="L19" i="12" s="1"/>
  <c r="M19" i="12"/>
  <c r="I44" i="12"/>
  <c r="F6" i="12"/>
  <c r="I6" i="12" s="1"/>
  <c r="L6" i="12" s="1"/>
  <c r="F11" i="12"/>
  <c r="I11" i="12" s="1"/>
  <c r="L11" i="12" s="1"/>
  <c r="M11" i="12"/>
  <c r="K6" i="12"/>
  <c r="F44" i="12"/>
  <c r="F16" i="12"/>
  <c r="I16" i="12" s="1"/>
  <c r="L16" i="12" s="1"/>
  <c r="M16" i="12"/>
  <c r="F7" i="12"/>
  <c r="I7" i="12" s="1"/>
  <c r="L7" i="12" s="1"/>
  <c r="M7" i="12"/>
  <c r="J44" i="12"/>
  <c r="F8" i="12"/>
  <c r="M8" i="12"/>
  <c r="F17" i="12"/>
  <c r="I17" i="12" s="1"/>
  <c r="L17" i="12" s="1"/>
  <c r="M17" i="12"/>
  <c r="M9" i="12"/>
  <c r="F12" i="12"/>
  <c r="I12" i="12" s="1"/>
  <c r="L12" i="12" s="1"/>
  <c r="M12" i="12"/>
  <c r="K44" i="12"/>
  <c r="L44" i="12"/>
  <c r="K16" i="14"/>
  <c r="K9" i="12"/>
  <c r="K12" i="12"/>
  <c r="K19" i="12"/>
  <c r="K11" i="12"/>
  <c r="F18" i="12"/>
  <c r="I18" i="12" s="1"/>
  <c r="L18" i="12" s="1"/>
  <c r="K15" i="12"/>
  <c r="I8" i="12"/>
  <c r="L8" i="12" s="1"/>
  <c r="K16" i="12"/>
  <c r="I15" i="12"/>
  <c r="L15" i="12" s="1"/>
  <c r="K13" i="12"/>
  <c r="K14" i="12"/>
  <c r="K7" i="12"/>
  <c r="I9" i="12"/>
  <c r="L9" i="12" s="1"/>
  <c r="K10" i="12"/>
  <c r="K8" i="12"/>
  <c r="K17" i="12"/>
  <c r="K4" i="12"/>
  <c r="L10" i="12"/>
  <c r="K5" i="12"/>
  <c r="I3" i="12"/>
  <c r="F3" i="13" l="1"/>
  <c r="L3" i="12"/>
  <c r="H3" i="13"/>
  <c r="F17" i="14"/>
  <c r="G17" i="14" s="1"/>
  <c r="I17" i="14" l="1"/>
  <c r="K17" i="14" s="1"/>
  <c r="B18" i="14"/>
  <c r="F18" i="14" l="1"/>
  <c r="G18" i="14" s="1"/>
  <c r="B19" i="14" s="1"/>
  <c r="I18" i="14" l="1"/>
  <c r="K18" i="14" s="1"/>
  <c r="F19" i="14" l="1"/>
  <c r="G19" i="14" s="1"/>
  <c r="I19" i="14" l="1"/>
  <c r="K19" i="14" s="1"/>
  <c r="B20" i="14"/>
  <c r="F20" i="14" l="1"/>
  <c r="G20" i="14" s="1"/>
  <c r="I20" i="14" l="1"/>
  <c r="K20" i="14" s="1"/>
  <c r="B21" i="14"/>
  <c r="F21" i="14" l="1"/>
  <c r="G21" i="14" s="1"/>
  <c r="I21" i="14" s="1"/>
  <c r="K21" i="14" s="1"/>
  <c r="B22" i="14" l="1"/>
  <c r="F22" i="14" l="1"/>
  <c r="G22" i="14" s="1"/>
  <c r="I22" i="14" l="1"/>
  <c r="K22" i="14" s="1"/>
  <c r="B23" i="14"/>
  <c r="F23" i="14" l="1"/>
  <c r="G23" i="14" s="1"/>
  <c r="I23" i="14" l="1"/>
  <c r="K23" i="14" s="1"/>
  <c r="B24" i="14"/>
  <c r="F24" i="14" l="1"/>
  <c r="G24" i="14" s="1"/>
  <c r="B25" i="14" l="1"/>
  <c r="I24" i="14"/>
  <c r="K24" i="14" s="1"/>
  <c r="F25" i="14" l="1"/>
  <c r="G25" i="14" s="1"/>
  <c r="B26" i="14" l="1"/>
  <c r="I25" i="14"/>
  <c r="K25" i="14" s="1"/>
  <c r="F26" i="14" l="1"/>
  <c r="G26" i="14" s="1"/>
  <c r="I26" i="14" l="1"/>
  <c r="K26" i="14" s="1"/>
  <c r="B27" i="14"/>
  <c r="F27" i="14" l="1"/>
  <c r="G27" i="14" l="1"/>
  <c r="I27" i="14" l="1"/>
  <c r="K27" i="14" s="1"/>
  <c r="B28" i="14"/>
  <c r="F28" i="14" l="1"/>
  <c r="G28" i="14" s="1"/>
  <c r="I28" i="14" s="1"/>
  <c r="K28" i="14" s="1"/>
  <c r="C44" i="12"/>
  <c r="D4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alpizar</author>
    <author>tc={1D4696F7-D96D-4629-898A-FCAE40779B1C}</author>
  </authors>
  <commentList>
    <comment ref="B1" authorId="0" shapeId="0" xr:uid="{75FB149D-DCEC-4D0B-ADD7-1B410BEA3FB6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Monthly Recurring Revenue</t>
        </r>
      </text>
    </comment>
    <comment ref="C1" authorId="0" shapeId="0" xr:uid="{C190E99B-A179-49E6-BA1A-B9C2C7025F3B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Annual Recurring Revenue
</t>
        </r>
      </text>
    </comment>
    <comment ref="E1" authorId="0" shapeId="0" xr:uid="{44ABFB98-F13B-4C1F-B059-D7DE635D7C67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# Cust who canceled their subscription
</t>
        </r>
      </text>
    </comment>
    <comment ref="F1" authorId="0" shapeId="0" xr:uid="{EA45D7F9-CDB7-43ED-BBF2-90463F849241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% of cust who cancelled their subscription</t>
        </r>
      </text>
    </comment>
    <comment ref="G1" authorId="0" shapeId="0" xr:uid="{F4890532-937C-47B4-8865-B7E1125C3DFA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Customer Acquisition Cost
</t>
        </r>
      </text>
    </comment>
    <comment ref="H1" authorId="1" shapeId="0" xr:uid="{1D4696F7-D96D-4629-898A-FCAE40779B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Avg revenue per user </t>
      </text>
    </comment>
    <comment ref="I1" authorId="0" shapeId="0" xr:uid="{5C5C1E67-F272-4E03-BB73-8D2B0F5D0443}">
      <text>
        <r>
          <rPr>
            <b/>
            <sz val="9"/>
            <color indexed="81"/>
            <rFont val="Tahoma"/>
            <family val="2"/>
          </rPr>
          <t>wendy alpizar:</t>
        </r>
        <r>
          <rPr>
            <sz val="9"/>
            <color indexed="81"/>
            <rFont val="Tahoma"/>
            <family val="2"/>
          </rPr>
          <t xml:space="preserve">
Life-time Value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<sst xmlns="http://schemas.openxmlformats.org/spreadsheetml/2006/main" count="10014" uniqueCount="1088">
  <si>
    <t>Latest MRR</t>
  </si>
  <si>
    <t>Latest Customer</t>
  </si>
  <si>
    <t>Avg Churn %</t>
  </si>
  <si>
    <t>Avg LTV</t>
  </si>
  <si>
    <t xml:space="preserve">Assumptions </t>
  </si>
  <si>
    <t>Starting Customers</t>
  </si>
  <si>
    <t>Scenario</t>
  </si>
  <si>
    <t>New Cust</t>
  </si>
  <si>
    <t>Churn</t>
  </si>
  <si>
    <t>APRU</t>
  </si>
  <si>
    <t>Tier</t>
  </si>
  <si>
    <t>CAC</t>
  </si>
  <si>
    <t>MRR</t>
  </si>
  <si>
    <t>Starting MRR</t>
  </si>
  <si>
    <t>Base</t>
  </si>
  <si>
    <t xml:space="preserve">Basic </t>
  </si>
  <si>
    <t>ARPU</t>
  </si>
  <si>
    <t>Best</t>
  </si>
  <si>
    <t>Pro</t>
  </si>
  <si>
    <t>Tot new cust</t>
  </si>
  <si>
    <t>Worst</t>
  </si>
  <si>
    <t>Enterprise</t>
  </si>
  <si>
    <t xml:space="preserve">Monthly New Basic Customers </t>
  </si>
  <si>
    <t>Monthly new Pro Customer</t>
  </si>
  <si>
    <t>Monthly New Enterprise Cust.</t>
  </si>
  <si>
    <t xml:space="preserve">Monthly Churn Rate </t>
  </si>
  <si>
    <t>Monthly CAC</t>
  </si>
  <si>
    <t xml:space="preserve">Forecast Months </t>
  </si>
  <si>
    <t>Month</t>
  </si>
  <si>
    <t>Start Cust</t>
  </si>
  <si>
    <t>New Basic</t>
  </si>
  <si>
    <t>New Pro</t>
  </si>
  <si>
    <t xml:space="preserve">New Enterprise </t>
  </si>
  <si>
    <t>Churned Cust</t>
  </si>
  <si>
    <t>End Cust</t>
  </si>
  <si>
    <t>CAC Spend</t>
  </si>
  <si>
    <t>Net Rev Growth</t>
  </si>
  <si>
    <t>Base MRR</t>
  </si>
  <si>
    <t>Best MRR</t>
  </si>
  <si>
    <t>Worst MRR</t>
  </si>
  <si>
    <t>Selected MRR</t>
  </si>
  <si>
    <t>Scenarios</t>
  </si>
  <si>
    <t>month_date</t>
  </si>
  <si>
    <t>ARR</t>
  </si>
  <si>
    <t>Active_Customers</t>
  </si>
  <si>
    <t># Churn</t>
  </si>
  <si>
    <t>Churn %</t>
  </si>
  <si>
    <t>AVG CAC</t>
  </si>
  <si>
    <t>LTV</t>
  </si>
  <si>
    <t>Growrth_Rate</t>
  </si>
  <si>
    <t>New customer</t>
  </si>
  <si>
    <t>LTV/CAC</t>
  </si>
  <si>
    <t>Revenue Loss from Churn</t>
  </si>
  <si>
    <t># Pro</t>
  </si>
  <si>
    <t>#Basic</t>
  </si>
  <si>
    <t xml:space="preserve">#Enterprise </t>
  </si>
  <si>
    <t>Pro Rev</t>
  </si>
  <si>
    <t>Basic Rev</t>
  </si>
  <si>
    <t>Ent Rev</t>
  </si>
  <si>
    <t>CAC Pro</t>
  </si>
  <si>
    <t>CAC Basic</t>
  </si>
  <si>
    <t>CAC Entr</t>
  </si>
  <si>
    <t>% Pro</t>
  </si>
  <si>
    <t>%Basic</t>
  </si>
  <si>
    <t>%Entrp.</t>
  </si>
  <si>
    <t>Total</t>
  </si>
  <si>
    <t>customer_id</t>
  </si>
  <si>
    <t>signup_date</t>
  </si>
  <si>
    <t>plan_type</t>
  </si>
  <si>
    <t>monthly_fee</t>
  </si>
  <si>
    <t>acquisition_cost</t>
  </si>
  <si>
    <t>churn_date</t>
  </si>
  <si>
    <t>status</t>
  </si>
  <si>
    <t>Churn_Month</t>
  </si>
  <si>
    <t xml:space="preserve">Churned </t>
  </si>
  <si>
    <t>Basic</t>
  </si>
  <si>
    <t>subscription_raw</t>
  </si>
  <si>
    <t>Plan_Type</t>
  </si>
  <si>
    <t>S-1020-202410</t>
  </si>
  <si>
    <t>S-1020-202411</t>
  </si>
  <si>
    <t>S-1020-202412</t>
  </si>
  <si>
    <t>S-1020-202501</t>
  </si>
  <si>
    <t>S-1020-202502</t>
  </si>
  <si>
    <t>S-1020-202503</t>
  </si>
  <si>
    <t>S-1020-202504</t>
  </si>
  <si>
    <t>S-1021-202404</t>
  </si>
  <si>
    <t>S-1021-202405</t>
  </si>
  <si>
    <t>S-1023-202412</t>
  </si>
  <si>
    <t>S-1023-202501</t>
  </si>
  <si>
    <t>S-1023-202502</t>
  </si>
  <si>
    <t>S-1023-202503</t>
  </si>
  <si>
    <t>S-1023-202504</t>
  </si>
  <si>
    <t>S-1023-202505</t>
  </si>
  <si>
    <t>S-1023-202506</t>
  </si>
  <si>
    <t>S-1026-202503</t>
  </si>
  <si>
    <t>S-1026-202504</t>
  </si>
  <si>
    <t>S-1026-202505</t>
  </si>
  <si>
    <t>S-1031-202404</t>
  </si>
  <si>
    <t>S-1031-202405</t>
  </si>
  <si>
    <t>S-1031-202406</t>
  </si>
  <si>
    <t>S-1031-202407</t>
  </si>
  <si>
    <t>S-1031-202408</t>
  </si>
  <si>
    <t>S-1031-202409</t>
  </si>
  <si>
    <t>S-1031-202410</t>
  </si>
  <si>
    <t>S-1031-202411</t>
  </si>
  <si>
    <t>S-1031-202412</t>
  </si>
  <si>
    <t>S-1034-202404</t>
  </si>
  <si>
    <t>S-1034-202405</t>
  </si>
  <si>
    <t>S-1034-202406</t>
  </si>
  <si>
    <t>S-1034-202407</t>
  </si>
  <si>
    <t>S-1034-202408</t>
  </si>
  <si>
    <t>S-1034-202409</t>
  </si>
  <si>
    <t>S-1034-202410</t>
  </si>
  <si>
    <t>S-1034-202411</t>
  </si>
  <si>
    <t>S-1034-202412</t>
  </si>
  <si>
    <t>S-1034-202501</t>
  </si>
  <si>
    <t>S-1034-202502</t>
  </si>
  <si>
    <t>S-1034-202503</t>
  </si>
  <si>
    <t>S-1034-202504</t>
  </si>
  <si>
    <t>S-1035-202407</t>
  </si>
  <si>
    <t>S-1035-202408</t>
  </si>
  <si>
    <t>S-1035-202409</t>
  </si>
  <si>
    <t>S-1035-202410</t>
  </si>
  <si>
    <t>S-1035-202411</t>
  </si>
  <si>
    <t>S-1035-202412</t>
  </si>
  <si>
    <t>S-1035-202501</t>
  </si>
  <si>
    <t>S-1035-202502</t>
  </si>
  <si>
    <t>S-1035-202503</t>
  </si>
  <si>
    <t>S-1035-202504</t>
  </si>
  <si>
    <t>S-1042-202404</t>
  </si>
  <si>
    <t>S-1042-202405</t>
  </si>
  <si>
    <t>S-1042-202406</t>
  </si>
  <si>
    <t>S-1042-202407</t>
  </si>
  <si>
    <t>S-1042-202408</t>
  </si>
  <si>
    <t>S-1042-202409</t>
  </si>
  <si>
    <t>S-1042-202410</t>
  </si>
  <si>
    <t>S-1042-202411</t>
  </si>
  <si>
    <t>S-1042-202412</t>
  </si>
  <si>
    <t>S-1042-202501</t>
  </si>
  <si>
    <t>S-1042-202502</t>
  </si>
  <si>
    <t>S-1042-202503</t>
  </si>
  <si>
    <t>S-1043-202501</t>
  </si>
  <si>
    <t>S-1043-202502</t>
  </si>
  <si>
    <t>S-1047-202501</t>
  </si>
  <si>
    <t>S-1047-202502</t>
  </si>
  <si>
    <t>S-1047-202503</t>
  </si>
  <si>
    <t>S-1047-202504</t>
  </si>
  <si>
    <t>S-1056-202410</t>
  </si>
  <si>
    <t>S-1056-202411</t>
  </si>
  <si>
    <t>S-1056-202412</t>
  </si>
  <si>
    <t>S-1060-202503</t>
  </si>
  <si>
    <t>S-1060-202504</t>
  </si>
  <si>
    <t>S-1060-202505</t>
  </si>
  <si>
    <t>S-1062-202505</t>
  </si>
  <si>
    <t>S-1074-202408</t>
  </si>
  <si>
    <t>S-1074-202409</t>
  </si>
  <si>
    <t>S-1074-202410</t>
  </si>
  <si>
    <t>S-1074-202411</t>
  </si>
  <si>
    <t>S-1074-202412</t>
  </si>
  <si>
    <t>S-1074-202501</t>
  </si>
  <si>
    <t>S-1074-202502</t>
  </si>
  <si>
    <t>S-1074-202503</t>
  </si>
  <si>
    <t>S-1074-202504</t>
  </si>
  <si>
    <t>S-1074-202505</t>
  </si>
  <si>
    <t>S-1075-202410</t>
  </si>
  <si>
    <t>S-1075-202411</t>
  </si>
  <si>
    <t>S-1075-202412</t>
  </si>
  <si>
    <t>S-1075-202501</t>
  </si>
  <si>
    <t>S-1075-202502</t>
  </si>
  <si>
    <t>S-1075-202503</t>
  </si>
  <si>
    <t>S-1075-202504</t>
  </si>
  <si>
    <t>S-1075-202505</t>
  </si>
  <si>
    <t>S-1075-202506</t>
  </si>
  <si>
    <t>S-1085-202410</t>
  </si>
  <si>
    <t>S-1085-202411</t>
  </si>
  <si>
    <t>S-1085-202412</t>
  </si>
  <si>
    <t>S-1085-202501</t>
  </si>
  <si>
    <t>S-1085-202502</t>
  </si>
  <si>
    <t>S-1085-202503</t>
  </si>
  <si>
    <t>S-1085-202504</t>
  </si>
  <si>
    <t>S-1095-202405</t>
  </si>
  <si>
    <t>S-1095-202406</t>
  </si>
  <si>
    <t>S-1095-202407</t>
  </si>
  <si>
    <t>S-1095-202408</t>
  </si>
  <si>
    <t>S-1119-202407</t>
  </si>
  <si>
    <t>S-1119-202408</t>
  </si>
  <si>
    <t>S-1119-202409</t>
  </si>
  <si>
    <t>S-1119-202410</t>
  </si>
  <si>
    <t>S-1119-202411</t>
  </si>
  <si>
    <t>S-1119-202412</t>
  </si>
  <si>
    <t>S-1119-202501</t>
  </si>
  <si>
    <t>S-1119-202502</t>
  </si>
  <si>
    <t>S-1119-202503</t>
  </si>
  <si>
    <t>S-1120-202408</t>
  </si>
  <si>
    <t>S-1120-202409</t>
  </si>
  <si>
    <t>S-1120-202410</t>
  </si>
  <si>
    <t>S-1120-202411</t>
  </si>
  <si>
    <t>S-1120-202412</t>
  </si>
  <si>
    <t>S-1120-202501</t>
  </si>
  <si>
    <t>S-1120-202502</t>
  </si>
  <si>
    <t>S-1125-202408</t>
  </si>
  <si>
    <t>S-1125-202409</t>
  </si>
  <si>
    <t>S-1125-202410</t>
  </si>
  <si>
    <t>S-1125-202411</t>
  </si>
  <si>
    <t>S-1125-202412</t>
  </si>
  <si>
    <t>S-1132-202411</t>
  </si>
  <si>
    <t>S-1132-202412</t>
  </si>
  <si>
    <t>S-1132-202501</t>
  </si>
  <si>
    <t>S-1132-202502</t>
  </si>
  <si>
    <t>S-1132-202503</t>
  </si>
  <si>
    <t>S-1132-202504</t>
  </si>
  <si>
    <t>S-1137-202401</t>
  </si>
  <si>
    <t>S-1143-202404</t>
  </si>
  <si>
    <t>S-1143-202405</t>
  </si>
  <si>
    <t>S-1143-202406</t>
  </si>
  <si>
    <t>S-1143-202407</t>
  </si>
  <si>
    <t>S-1143-202408</t>
  </si>
  <si>
    <t>S-1143-202409</t>
  </si>
  <si>
    <t>S-1143-202410</t>
  </si>
  <si>
    <t>S-1143-202411</t>
  </si>
  <si>
    <t>S-1143-202412</t>
  </si>
  <si>
    <t>S-1143-202501</t>
  </si>
  <si>
    <t>S-1151-202407</t>
  </si>
  <si>
    <t>S-1151-202408</t>
  </si>
  <si>
    <t>S-1151-202409</t>
  </si>
  <si>
    <t>S-1151-202410</t>
  </si>
  <si>
    <t>S-1151-202411</t>
  </si>
  <si>
    <t>S-1151-202412</t>
  </si>
  <si>
    <t>S-1151-202501</t>
  </si>
  <si>
    <t>S-1151-202502</t>
  </si>
  <si>
    <t>S-1151-202503</t>
  </si>
  <si>
    <t>S-1151-202504</t>
  </si>
  <si>
    <t>S-1154-202506</t>
  </si>
  <si>
    <t>S-1167-202401</t>
  </si>
  <si>
    <t>S-1167-202402</t>
  </si>
  <si>
    <t>S-1167-202403</t>
  </si>
  <si>
    <t>S-1167-202404</t>
  </si>
  <si>
    <t>S-1167-202405</t>
  </si>
  <si>
    <t>S-1167-202406</t>
  </si>
  <si>
    <t>S-1167-202407</t>
  </si>
  <si>
    <t>S-1167-202408</t>
  </si>
  <si>
    <t>S-1167-202409</t>
  </si>
  <si>
    <t>S-1167-202410</t>
  </si>
  <si>
    <t>S-1167-202411</t>
  </si>
  <si>
    <t>S-1167-202412</t>
  </si>
  <si>
    <t>S-1167-202501</t>
  </si>
  <si>
    <t>S-1175-202407</t>
  </si>
  <si>
    <t>S-1175-202408</t>
  </si>
  <si>
    <t>S-1178-202501</t>
  </si>
  <si>
    <t>S-1178-202502</t>
  </si>
  <si>
    <t>S-1181-202401</t>
  </si>
  <si>
    <t>S-1181-202402</t>
  </si>
  <si>
    <t>S-1181-202403</t>
  </si>
  <si>
    <t>S-1181-202404</t>
  </si>
  <si>
    <t>S-1181-202405</t>
  </si>
  <si>
    <t>S-1185-202412</t>
  </si>
  <si>
    <t>S-1185-202501</t>
  </si>
  <si>
    <t>S-1185-202502</t>
  </si>
  <si>
    <t>S-1185-202503</t>
  </si>
  <si>
    <t>S-1185-202504</t>
  </si>
  <si>
    <t>S-1185-202505</t>
  </si>
  <si>
    <t>S-1185-202506</t>
  </si>
  <si>
    <t>S-1188-202407</t>
  </si>
  <si>
    <t>S-1188-202408</t>
  </si>
  <si>
    <t>S-1188-202409</t>
  </si>
  <si>
    <t>S-1193-202401</t>
  </si>
  <si>
    <t>S-1193-202402</t>
  </si>
  <si>
    <t>S-1193-202403</t>
  </si>
  <si>
    <t>S-1193-202404</t>
  </si>
  <si>
    <t>S-1193-202405</t>
  </si>
  <si>
    <t>S-1193-202406</t>
  </si>
  <si>
    <t>S-1193-202407</t>
  </si>
  <si>
    <t>S-1193-202408</t>
  </si>
  <si>
    <t>S-1193-202409</t>
  </si>
  <si>
    <t>S-1193-202410</t>
  </si>
  <si>
    <t>S-1193-202411</t>
  </si>
  <si>
    <t>S-1193-202412</t>
  </si>
  <si>
    <t>S-1193-202501</t>
  </si>
  <si>
    <t>S-1193-202502</t>
  </si>
  <si>
    <t>S-1193-202503</t>
  </si>
  <si>
    <t>S-1197-202503</t>
  </si>
  <si>
    <t>S-1197-202504</t>
  </si>
  <si>
    <t>S-1197-202505</t>
  </si>
  <si>
    <t>S-1197-202506</t>
  </si>
  <si>
    <t>S-1200-202403</t>
  </si>
  <si>
    <t>S-1200-202404</t>
  </si>
  <si>
    <t>S-1200-202405</t>
  </si>
  <si>
    <t>S-1200-202406</t>
  </si>
  <si>
    <t>S-1200-202407</t>
  </si>
  <si>
    <t>S-1200-202408</t>
  </si>
  <si>
    <t>S-1200-202409</t>
  </si>
  <si>
    <t>S-1200-202410</t>
  </si>
  <si>
    <t>S-1200-202411</t>
  </si>
  <si>
    <t>S-1200-202412</t>
  </si>
  <si>
    <t>S-1200-202501</t>
  </si>
  <si>
    <t>S-1200-202502</t>
  </si>
  <si>
    <t>S-1200-202503</t>
  </si>
  <si>
    <t>S-1200-202504</t>
  </si>
  <si>
    <t>S-1200-202505</t>
  </si>
  <si>
    <t>S-1210-202408</t>
  </si>
  <si>
    <t>S-1210-202409</t>
  </si>
  <si>
    <t>S-1210-202410</t>
  </si>
  <si>
    <t>S-1210-202411</t>
  </si>
  <si>
    <t>S-1210-202412</t>
  </si>
  <si>
    <t>S-1210-202501</t>
  </si>
  <si>
    <t>S-1210-202502</t>
  </si>
  <si>
    <t>S-1214-202403</t>
  </si>
  <si>
    <t>S-1214-202404</t>
  </si>
  <si>
    <t>S-1214-202405</t>
  </si>
  <si>
    <t>S-1214-202406</t>
  </si>
  <si>
    <t>S-1214-202407</t>
  </si>
  <si>
    <t>S-1214-202408</t>
  </si>
  <si>
    <t>S-1214-202409</t>
  </si>
  <si>
    <t>S-1214-202410</t>
  </si>
  <si>
    <t>S-1214-202411</t>
  </si>
  <si>
    <t>S-1220-202403</t>
  </si>
  <si>
    <t>S-1220-202404</t>
  </si>
  <si>
    <t>S-1220-202405</t>
  </si>
  <si>
    <t>S-1220-202406</t>
  </si>
  <si>
    <t>S-1220-202407</t>
  </si>
  <si>
    <t>S-1220-202408</t>
  </si>
  <si>
    <t>S-1220-202409</t>
  </si>
  <si>
    <t>S-1220-202410</t>
  </si>
  <si>
    <t>S-1222-202402</t>
  </si>
  <si>
    <t>S-1222-202403</t>
  </si>
  <si>
    <t>S-1222-202404</t>
  </si>
  <si>
    <t>S-1222-202405</t>
  </si>
  <si>
    <t>S-1222-202406</t>
  </si>
  <si>
    <t>S-1222-202407</t>
  </si>
  <si>
    <t>S-1222-202408</t>
  </si>
  <si>
    <t>S-1222-202409</t>
  </si>
  <si>
    <t>S-1222-202410</t>
  </si>
  <si>
    <t>S-1222-202411</t>
  </si>
  <si>
    <t>S-1222-202412</t>
  </si>
  <si>
    <t>S-1222-202501</t>
  </si>
  <si>
    <t>S-1222-202502</t>
  </si>
  <si>
    <t>S-1222-202503</t>
  </si>
  <si>
    <t>S-1223-202502</t>
  </si>
  <si>
    <t>S-1223-202503</t>
  </si>
  <si>
    <t>S-1223-202504</t>
  </si>
  <si>
    <t>S-1225-202506</t>
  </si>
  <si>
    <t>S-1226-202410</t>
  </si>
  <si>
    <t>S-1226-202411</t>
  </si>
  <si>
    <t>S-1226-202412</t>
  </si>
  <si>
    <t>S-1226-202501</t>
  </si>
  <si>
    <t>S-1226-202502</t>
  </si>
  <si>
    <t>S-1226-202503</t>
  </si>
  <si>
    <t>S-1229-202501</t>
  </si>
  <si>
    <t>S-1229-202502</t>
  </si>
  <si>
    <t>S-1229-202503</t>
  </si>
  <si>
    <t>S-1229-202504</t>
  </si>
  <si>
    <t>S-1234-202410</t>
  </si>
  <si>
    <t>S-1234-202411</t>
  </si>
  <si>
    <t>S-1234-202412</t>
  </si>
  <si>
    <t>S-1234-202501</t>
  </si>
  <si>
    <t>S-1234-202502</t>
  </si>
  <si>
    <t>S-1235-202502</t>
  </si>
  <si>
    <t>S-1235-202503</t>
  </si>
  <si>
    <t>S-1239-202405</t>
  </si>
  <si>
    <t>S-1239-202406</t>
  </si>
  <si>
    <t>S-1239-202407</t>
  </si>
  <si>
    <t>S-1239-202408</t>
  </si>
  <si>
    <t>S-1239-202409</t>
  </si>
  <si>
    <t>S-1239-202410</t>
  </si>
  <si>
    <t>S-1239-202411</t>
  </si>
  <si>
    <t>S-1239-202412</t>
  </si>
  <si>
    <t>S-1239-202501</t>
  </si>
  <si>
    <t>S-1239-202502</t>
  </si>
  <si>
    <t>S-1239-202503</t>
  </si>
  <si>
    <t>S-1239-202504</t>
  </si>
  <si>
    <t>S-1239-202505</t>
  </si>
  <si>
    <t>S-1241-202409</t>
  </si>
  <si>
    <t>S-1241-202410</t>
  </si>
  <si>
    <t>S-1241-202411</t>
  </si>
  <si>
    <t>S-1241-202412</t>
  </si>
  <si>
    <t>S-1241-202501</t>
  </si>
  <si>
    <t>S-1241-202502</t>
  </si>
  <si>
    <t>S-1241-202503</t>
  </si>
  <si>
    <t>S-1242-202503</t>
  </si>
  <si>
    <t>S-1242-202504</t>
  </si>
  <si>
    <t>S-1242-202505</t>
  </si>
  <si>
    <t>S-1242-202506</t>
  </si>
  <si>
    <t>S-1247-202405</t>
  </si>
  <si>
    <t>S-1247-202406</t>
  </si>
  <si>
    <t>S-1247-202407</t>
  </si>
  <si>
    <t>S-1257-202403</t>
  </si>
  <si>
    <t>S-1257-202404</t>
  </si>
  <si>
    <t>S-1257-202405</t>
  </si>
  <si>
    <t>S-1263-202501</t>
  </si>
  <si>
    <t>S-1263-202502</t>
  </si>
  <si>
    <t>S-1263-202503</t>
  </si>
  <si>
    <t>S-1263-202504</t>
  </si>
  <si>
    <t>S-1263-202505</t>
  </si>
  <si>
    <t>S-1263-202506</t>
  </si>
  <si>
    <t>S-1265-202403</t>
  </si>
  <si>
    <t>S-1265-202404</t>
  </si>
  <si>
    <t>S-1265-202405</t>
  </si>
  <si>
    <t>S-1265-202406</t>
  </si>
  <si>
    <t>S-1268-202405</t>
  </si>
  <si>
    <t>S-1268-202406</t>
  </si>
  <si>
    <t>S-1268-202407</t>
  </si>
  <si>
    <t>S-1268-202408</t>
  </si>
  <si>
    <t>S-1268-202409</t>
  </si>
  <si>
    <t>S-1268-202410</t>
  </si>
  <si>
    <t>S-1268-202411</t>
  </si>
  <si>
    <t>S-1268-202412</t>
  </si>
  <si>
    <t>S-1268-202501</t>
  </si>
  <si>
    <t>S-1268-202502</t>
  </si>
  <si>
    <t>S-1268-202503</t>
  </si>
  <si>
    <t>S-1268-202504</t>
  </si>
  <si>
    <t>S-1268-202505</t>
  </si>
  <si>
    <t>S-1273-202410</t>
  </si>
  <si>
    <t>S-1273-202411</t>
  </si>
  <si>
    <t>S-1273-202412</t>
  </si>
  <si>
    <t>S-1273-202501</t>
  </si>
  <si>
    <t>S-1273-202502</t>
  </si>
  <si>
    <t>S-1273-202503</t>
  </si>
  <si>
    <t>S-1273-202504</t>
  </si>
  <si>
    <t>S-1276-202502</t>
  </si>
  <si>
    <t>S-1276-202503</t>
  </si>
  <si>
    <t>S-1277-202506</t>
  </si>
  <si>
    <t>S-1278-202504</t>
  </si>
  <si>
    <t>S-1278-202505</t>
  </si>
  <si>
    <t>S-1282-202403</t>
  </si>
  <si>
    <t>S-1282-202404</t>
  </si>
  <si>
    <t>S-1282-202405</t>
  </si>
  <si>
    <t>S-1282-202406</t>
  </si>
  <si>
    <t>S-1282-202407</t>
  </si>
  <si>
    <t>S-1282-202408</t>
  </si>
  <si>
    <t>S-1282-202409</t>
  </si>
  <si>
    <t>S-1282-202410</t>
  </si>
  <si>
    <t>S-1282-202411</t>
  </si>
  <si>
    <t>S-1282-202412</t>
  </si>
  <si>
    <t>S-1282-202501</t>
  </si>
  <si>
    <t>S-1282-202502</t>
  </si>
  <si>
    <t>S-1282-202503</t>
  </si>
  <si>
    <t>S-1282-202504</t>
  </si>
  <si>
    <t>S-1282-202505</t>
  </si>
  <si>
    <t>S-1282-202506</t>
  </si>
  <si>
    <t>S-1287-202502</t>
  </si>
  <si>
    <t>S-1287-202503</t>
  </si>
  <si>
    <t>S-1287-202504</t>
  </si>
  <si>
    <t>S-1291-202407</t>
  </si>
  <si>
    <t>S-1291-202408</t>
  </si>
  <si>
    <t>S-1292-202404</t>
  </si>
  <si>
    <t>S-1292-202405</t>
  </si>
  <si>
    <t>S-1292-202406</t>
  </si>
  <si>
    <t>S-1292-202407</t>
  </si>
  <si>
    <t>S-1294-202403</t>
  </si>
  <si>
    <t>S-1294-202404</t>
  </si>
  <si>
    <t>S-1294-202405</t>
  </si>
  <si>
    <t>S-1294-202406</t>
  </si>
  <si>
    <t>S-1294-202407</t>
  </si>
  <si>
    <t>S-1294-202408</t>
  </si>
  <si>
    <t>S-1294-202409</t>
  </si>
  <si>
    <t>S-1294-202410</t>
  </si>
  <si>
    <t>S-1294-202411</t>
  </si>
  <si>
    <t>S-1294-202412</t>
  </si>
  <si>
    <t>S-1294-202501</t>
  </si>
  <si>
    <t>S-1294-202502</t>
  </si>
  <si>
    <t>S-1294-202503</t>
  </si>
  <si>
    <t>S-1294-202504</t>
  </si>
  <si>
    <t>S-1294-202505</t>
  </si>
  <si>
    <t>S-1308-202405</t>
  </si>
  <si>
    <t>S-1308-202406</t>
  </si>
  <si>
    <t>S-1308-202407</t>
  </si>
  <si>
    <t>S-1308-202408</t>
  </si>
  <si>
    <t>S-1308-202409</t>
  </si>
  <si>
    <t>S-1308-202410</t>
  </si>
  <si>
    <t>S-1308-202411</t>
  </si>
  <si>
    <t>S-1308-202412</t>
  </si>
  <si>
    <t>S-1308-202501</t>
  </si>
  <si>
    <t>S-1308-202502</t>
  </si>
  <si>
    <t>S-1308-202503</t>
  </si>
  <si>
    <t>S-1309-202408</t>
  </si>
  <si>
    <t>S-1309-202409</t>
  </si>
  <si>
    <t>S-1309-202410</t>
  </si>
  <si>
    <t>S-1312-202411</t>
  </si>
  <si>
    <t>S-1312-202412</t>
  </si>
  <si>
    <t>S-1312-202501</t>
  </si>
  <si>
    <t>S-1312-202502</t>
  </si>
  <si>
    <t>S-1313-202402</t>
  </si>
  <si>
    <t>S-1313-202403</t>
  </si>
  <si>
    <t>S-1313-202404</t>
  </si>
  <si>
    <t>S-1313-202405</t>
  </si>
  <si>
    <t>S-1313-202406</t>
  </si>
  <si>
    <t>S-1313-202407</t>
  </si>
  <si>
    <t>S-1313-202408</t>
  </si>
  <si>
    <t>S-1313-202409</t>
  </si>
  <si>
    <t>S-1313-202410</t>
  </si>
  <si>
    <t>S-1313-202411</t>
  </si>
  <si>
    <t>S-1313-202412</t>
  </si>
  <si>
    <t>S-1313-202501</t>
  </si>
  <si>
    <t>S-1313-202502</t>
  </si>
  <si>
    <t>S-1332-202501</t>
  </si>
  <si>
    <t>S-1332-202502</t>
  </si>
  <si>
    <t>S-1332-202503</t>
  </si>
  <si>
    <t>S-1337-202408</t>
  </si>
  <si>
    <t>S-1337-202409</t>
  </si>
  <si>
    <t>S-1337-202410</t>
  </si>
  <si>
    <t>S-1337-202411</t>
  </si>
  <si>
    <t>S-1346-202403</t>
  </si>
  <si>
    <t>S-1346-202404</t>
  </si>
  <si>
    <t>S-1346-202405</t>
  </si>
  <si>
    <t>S-1346-202406</t>
  </si>
  <si>
    <t>S-1347-202411</t>
  </si>
  <si>
    <t>S-1347-202412</t>
  </si>
  <si>
    <t>S-1347-202501</t>
  </si>
  <si>
    <t>S-1347-202502</t>
  </si>
  <si>
    <t>S-1347-202503</t>
  </si>
  <si>
    <t>S-1347-202504</t>
  </si>
  <si>
    <t>S-1352-202402</t>
  </si>
  <si>
    <t>S-1352-202403</t>
  </si>
  <si>
    <t>S-1352-202404</t>
  </si>
  <si>
    <t>S-1352-202405</t>
  </si>
  <si>
    <t>S-1352-202406</t>
  </si>
  <si>
    <t>S-1352-202407</t>
  </si>
  <si>
    <t>S-1352-202408</t>
  </si>
  <si>
    <t>S-1352-202409</t>
  </si>
  <si>
    <t>S-1352-202410</t>
  </si>
  <si>
    <t>S-1355-202412</t>
  </si>
  <si>
    <t>S-1355-202501</t>
  </si>
  <si>
    <t>S-1355-202502</t>
  </si>
  <si>
    <t>S-1355-202503</t>
  </si>
  <si>
    <t>S-1358-202406</t>
  </si>
  <si>
    <t>S-1358-202407</t>
  </si>
  <si>
    <t>S-1358-202408</t>
  </si>
  <si>
    <t>S-1358-202409</t>
  </si>
  <si>
    <t>S-1358-202410</t>
  </si>
  <si>
    <t>S-1358-202411</t>
  </si>
  <si>
    <t>S-1358-202412</t>
  </si>
  <si>
    <t>S-1358-202501</t>
  </si>
  <si>
    <t>S-1358-202502</t>
  </si>
  <si>
    <t>S-1358-202503</t>
  </si>
  <si>
    <t>S-1359-202504</t>
  </si>
  <si>
    <t>S-1359-202505</t>
  </si>
  <si>
    <t>S-1359-202506</t>
  </si>
  <si>
    <t>S-1379-202409</t>
  </si>
  <si>
    <t>S-1379-202410</t>
  </si>
  <si>
    <t>S-1379-202411</t>
  </si>
  <si>
    <t>S-1379-202412</t>
  </si>
  <si>
    <t>S-1379-202501</t>
  </si>
  <si>
    <t>S-1379-202502</t>
  </si>
  <si>
    <t>S-1380-202403</t>
  </si>
  <si>
    <t>S-1380-202404</t>
  </si>
  <si>
    <t>S-1380-202405</t>
  </si>
  <si>
    <t>S-1380-202406</t>
  </si>
  <si>
    <t>S-1380-202407</t>
  </si>
  <si>
    <t>S-1380-202408</t>
  </si>
  <si>
    <t>S-1380-202409</t>
  </si>
  <si>
    <t>S-1380-202410</t>
  </si>
  <si>
    <t>S-1380-202411</t>
  </si>
  <si>
    <t>S-1380-202412</t>
  </si>
  <si>
    <t>S-1380-202501</t>
  </si>
  <si>
    <t>S-1380-202502</t>
  </si>
  <si>
    <t>S-1380-202503</t>
  </si>
  <si>
    <t>S-1380-202504</t>
  </si>
  <si>
    <t>S-1380-202505</t>
  </si>
  <si>
    <t>S-1382-202504</t>
  </si>
  <si>
    <t>S-1382-202505</t>
  </si>
  <si>
    <t>S-1386-202404</t>
  </si>
  <si>
    <t>S-1386-202405</t>
  </si>
  <si>
    <t>S-1386-202406</t>
  </si>
  <si>
    <t>S-1386-202407</t>
  </si>
  <si>
    <t>S-1386-202408</t>
  </si>
  <si>
    <t>S-1386-202409</t>
  </si>
  <si>
    <t>S-1386-202410</t>
  </si>
  <si>
    <t>S-1393-202409</t>
  </si>
  <si>
    <t>S-1393-202410</t>
  </si>
  <si>
    <t>S-1393-202411</t>
  </si>
  <si>
    <t>S-1393-202412</t>
  </si>
  <si>
    <t>S-1393-202501</t>
  </si>
  <si>
    <t>S-1393-202502</t>
  </si>
  <si>
    <t>S-1393-202503</t>
  </si>
  <si>
    <t>S-1393-202504</t>
  </si>
  <si>
    <t>S-1397-202405</t>
  </si>
  <si>
    <t>S-1397-202406</t>
  </si>
  <si>
    <t>S-1397-202407</t>
  </si>
  <si>
    <t>S-1397-202408</t>
  </si>
  <si>
    <t>S-1397-202409</t>
  </si>
  <si>
    <t>S-1397-202410</t>
  </si>
  <si>
    <t>S-1397-202411</t>
  </si>
  <si>
    <t>S-1397-202412</t>
  </si>
  <si>
    <t>S-1397-202501</t>
  </si>
  <si>
    <t>S-1397-202502</t>
  </si>
  <si>
    <t>S-1397-202503</t>
  </si>
  <si>
    <t>S-1397-202504</t>
  </si>
  <si>
    <t>S-1401-202501</t>
  </si>
  <si>
    <t>S-1401-202502</t>
  </si>
  <si>
    <t>S-1401-202503</t>
  </si>
  <si>
    <t>S-1401-202504</t>
  </si>
  <si>
    <t>S-1401-202505</t>
  </si>
  <si>
    <t>S-1403-202503</t>
  </si>
  <si>
    <t>S-1403-202504</t>
  </si>
  <si>
    <t>S-1404-202504</t>
  </si>
  <si>
    <t>S-1404-202505</t>
  </si>
  <si>
    <t>S-1414-202502</t>
  </si>
  <si>
    <t>S-1414-202503</t>
  </si>
  <si>
    <t>S-1414-202504</t>
  </si>
  <si>
    <t>S-1414-202505</t>
  </si>
  <si>
    <t>S-1419-202501</t>
  </si>
  <si>
    <t>S-1419-202502</t>
  </si>
  <si>
    <t>S-1419-202503</t>
  </si>
  <si>
    <t>S-1424-202504</t>
  </si>
  <si>
    <t>S-1424-202505</t>
  </si>
  <si>
    <t>S-1428-202406</t>
  </si>
  <si>
    <t>S-1428-202407</t>
  </si>
  <si>
    <t>S-1428-202408</t>
  </si>
  <si>
    <t>S-1428-202409</t>
  </si>
  <si>
    <t>S-1428-202410</t>
  </si>
  <si>
    <t>S-1428-202411</t>
  </si>
  <si>
    <t>S-1428-202412</t>
  </si>
  <si>
    <t>S-1428-202501</t>
  </si>
  <si>
    <t>S-1428-202502</t>
  </si>
  <si>
    <t>S-1438-202503</t>
  </si>
  <si>
    <t>S-1438-202504</t>
  </si>
  <si>
    <t>S-1442-202501</t>
  </si>
  <si>
    <t>S-1442-202502</t>
  </si>
  <si>
    <t>S-1442-202503</t>
  </si>
  <si>
    <t>S-1443-202502</t>
  </si>
  <si>
    <t>S-1443-202503</t>
  </si>
  <si>
    <t>S-1443-202504</t>
  </si>
  <si>
    <t>S-1443-202505</t>
  </si>
  <si>
    <t>S-1443-202506</t>
  </si>
  <si>
    <t>S-1448-202406</t>
  </si>
  <si>
    <t>S-1448-202407</t>
  </si>
  <si>
    <t>S-1448-202408</t>
  </si>
  <si>
    <t>S-1450-202403</t>
  </si>
  <si>
    <t>S-1450-202404</t>
  </si>
  <si>
    <t>S-1450-202405</t>
  </si>
  <si>
    <t>S-1450-202406</t>
  </si>
  <si>
    <t>S-1450-202407</t>
  </si>
  <si>
    <t>S-1450-202408</t>
  </si>
  <si>
    <t>S-1450-202409</t>
  </si>
  <si>
    <t>S-1450-202410</t>
  </si>
  <si>
    <t>S-1450-202411</t>
  </si>
  <si>
    <t>S-1450-202412</t>
  </si>
  <si>
    <t>S-1450-202501</t>
  </si>
  <si>
    <t>S-1450-202502</t>
  </si>
  <si>
    <t>S-1450-202503</t>
  </si>
  <si>
    <t>S-1450-202504</t>
  </si>
  <si>
    <t>S-1453-202504</t>
  </si>
  <si>
    <t>S-1453-202505</t>
  </si>
  <si>
    <t>S-1457-202501</t>
  </si>
  <si>
    <t>S-1457-202502</t>
  </si>
  <si>
    <t>S-1457-202503</t>
  </si>
  <si>
    <t>S-1457-202504</t>
  </si>
  <si>
    <t>S-1457-202505</t>
  </si>
  <si>
    <t>S-1465-202409</t>
  </si>
  <si>
    <t>S-1465-202410</t>
  </si>
  <si>
    <t>S-1465-202411</t>
  </si>
  <si>
    <t>S-1471-202401</t>
  </si>
  <si>
    <t>S-1471-202402</t>
  </si>
  <si>
    <t>S-1471-202403</t>
  </si>
  <si>
    <t>S-1471-202404</t>
  </si>
  <si>
    <t>S-1471-202405</t>
  </si>
  <si>
    <t>S-1475-202408</t>
  </si>
  <si>
    <t>S-1475-202409</t>
  </si>
  <si>
    <t>S-1475-202410</t>
  </si>
  <si>
    <t>S-1475-202411</t>
  </si>
  <si>
    <t>S-1475-202412</t>
  </si>
  <si>
    <t>S-1475-202501</t>
  </si>
  <si>
    <t>S-1475-202502</t>
  </si>
  <si>
    <t>S-1475-202503</t>
  </si>
  <si>
    <t>S-1478-202403</t>
  </si>
  <si>
    <t>S-1478-202404</t>
  </si>
  <si>
    <t>S-1478-202405</t>
  </si>
  <si>
    <t>S-1478-202406</t>
  </si>
  <si>
    <t>S-1478-202407</t>
  </si>
  <si>
    <t>S-1478-202408</t>
  </si>
  <si>
    <t>S-1478-202409</t>
  </si>
  <si>
    <t>S-1501-202503</t>
  </si>
  <si>
    <t>S-1501-202504</t>
  </si>
  <si>
    <t>S-1501-202505</t>
  </si>
  <si>
    <t>S-1510-202401</t>
  </si>
  <si>
    <t>S-1510-202402</t>
  </si>
  <si>
    <t>S-1510-202403</t>
  </si>
  <si>
    <t>S-1510-202404</t>
  </si>
  <si>
    <t>S-1510-202405</t>
  </si>
  <si>
    <t>S-1510-202406</t>
  </si>
  <si>
    <t>S-1510-202407</t>
  </si>
  <si>
    <t>S-1510-202408</t>
  </si>
  <si>
    <t>S-1510-202409</t>
  </si>
  <si>
    <t>S-1510-202410</t>
  </si>
  <si>
    <t>S-1510-202411</t>
  </si>
  <si>
    <t>S-1519-202402</t>
  </si>
  <si>
    <t>S-1519-202403</t>
  </si>
  <si>
    <t>S-1519-202404</t>
  </si>
  <si>
    <t>S-1519-202405</t>
  </si>
  <si>
    <t>S-1519-202406</t>
  </si>
  <si>
    <t>S-1519-202407</t>
  </si>
  <si>
    <t>S-1519-202408</t>
  </si>
  <si>
    <t>S-1519-202409</t>
  </si>
  <si>
    <t>S-1519-202410</t>
  </si>
  <si>
    <t>S-1519-202411</t>
  </si>
  <si>
    <t>S-1519-202412</t>
  </si>
  <si>
    <t>S-1519-202501</t>
  </si>
  <si>
    <t>S-1519-202502</t>
  </si>
  <si>
    <t>S-1519-202503</t>
  </si>
  <si>
    <t>S-1519-202504</t>
  </si>
  <si>
    <t>S-1519-202505</t>
  </si>
  <si>
    <t>S-1525-202502</t>
  </si>
  <si>
    <t>S-1525-202503</t>
  </si>
  <si>
    <t>S-1525-202504</t>
  </si>
  <si>
    <t>S-1544-202411</t>
  </si>
  <si>
    <t>S-1544-202412</t>
  </si>
  <si>
    <t>S-1544-202501</t>
  </si>
  <si>
    <t>S-1544-202502</t>
  </si>
  <si>
    <t>S-1544-202503</t>
  </si>
  <si>
    <t>S-1544-202504</t>
  </si>
  <si>
    <t>S-1552-202407</t>
  </si>
  <si>
    <t>S-1552-202408</t>
  </si>
  <si>
    <t>S-1552-202409</t>
  </si>
  <si>
    <t>S-1552-202410</t>
  </si>
  <si>
    <t>S-1552-202411</t>
  </si>
  <si>
    <t>S-1552-202412</t>
  </si>
  <si>
    <t>S-1552-202501</t>
  </si>
  <si>
    <t>S-1552-202502</t>
  </si>
  <si>
    <t>S-1552-202503</t>
  </si>
  <si>
    <t>S-1557-202503</t>
  </si>
  <si>
    <t>S-1557-202504</t>
  </si>
  <si>
    <t>S-1558-202402</t>
  </si>
  <si>
    <t>S-1558-202403</t>
  </si>
  <si>
    <t>S-1565-202403</t>
  </si>
  <si>
    <t>S-1565-202404</t>
  </si>
  <si>
    <t>S-1565-202405</t>
  </si>
  <si>
    <t>S-1570-202402</t>
  </si>
  <si>
    <t>S-1570-202403</t>
  </si>
  <si>
    <t>S-1570-202404</t>
  </si>
  <si>
    <t>S-1570-202405</t>
  </si>
  <si>
    <t>S-1570-202406</t>
  </si>
  <si>
    <t>S-1570-202407</t>
  </si>
  <si>
    <t>S-1570-202408</t>
  </si>
  <si>
    <t>S-1570-202409</t>
  </si>
  <si>
    <t>S-1570-202410</t>
  </si>
  <si>
    <t>S-1570-202411</t>
  </si>
  <si>
    <t>S-1570-202412</t>
  </si>
  <si>
    <t>S-1570-202501</t>
  </si>
  <si>
    <t>S-1570-202502</t>
  </si>
  <si>
    <t>S-1570-202503</t>
  </si>
  <si>
    <t>S-1576-202406</t>
  </si>
  <si>
    <t>S-1576-202407</t>
  </si>
  <si>
    <t>S-1576-202408</t>
  </si>
  <si>
    <t>S-1576-202409</t>
  </si>
  <si>
    <t>S-1576-202410</t>
  </si>
  <si>
    <t>S-1576-202411</t>
  </si>
  <si>
    <t>S-1576-202412</t>
  </si>
  <si>
    <t>S-1576-202501</t>
  </si>
  <si>
    <t>S-1576-202502</t>
  </si>
  <si>
    <t>S-1576-202503</t>
  </si>
  <si>
    <t>S-1579-202502</t>
  </si>
  <si>
    <t>S-1579-202503</t>
  </si>
  <si>
    <t>S-1579-202504</t>
  </si>
  <si>
    <t>S-1586-202502</t>
  </si>
  <si>
    <t>S-1586-202503</t>
  </si>
  <si>
    <t>S-1586-202504</t>
  </si>
  <si>
    <t>S-1586-202505</t>
  </si>
  <si>
    <t>S-1586-202506</t>
  </si>
  <si>
    <t>S-1593-202505</t>
  </si>
  <si>
    <t>S-1595-202405</t>
  </si>
  <si>
    <t>S-1595-202406</t>
  </si>
  <si>
    <t>S-1595-202407</t>
  </si>
  <si>
    <t>S-1595-202408</t>
  </si>
  <si>
    <t>S-1599-202406</t>
  </si>
  <si>
    <t>S-1599-202407</t>
  </si>
  <si>
    <t>S-1599-202408</t>
  </si>
  <si>
    <t>S-1599-202409</t>
  </si>
  <si>
    <t>S-1599-202410</t>
  </si>
  <si>
    <t>S-1599-202411</t>
  </si>
  <si>
    <t>S-1599-202412</t>
  </si>
  <si>
    <t>S-1599-202501</t>
  </si>
  <si>
    <t>S-1599-202502</t>
  </si>
  <si>
    <t>S-1602-202506</t>
  </si>
  <si>
    <t>S-1607-202503</t>
  </si>
  <si>
    <t>S-1607-202504</t>
  </si>
  <si>
    <t>S-1607-202505</t>
  </si>
  <si>
    <t>S-1616-202404</t>
  </si>
  <si>
    <t>S-1616-202405</t>
  </si>
  <si>
    <t>S-1616-202406</t>
  </si>
  <si>
    <t>S-1616-202407</t>
  </si>
  <si>
    <t>S-1616-202408</t>
  </si>
  <si>
    <t>S-1616-202409</t>
  </si>
  <si>
    <t>S-1616-202410</t>
  </si>
  <si>
    <t>S-1616-202411</t>
  </si>
  <si>
    <t>S-1616-202412</t>
  </si>
  <si>
    <t>S-1616-202501</t>
  </si>
  <si>
    <t>S-1616-202502</t>
  </si>
  <si>
    <t>S-1616-202503</t>
  </si>
  <si>
    <t>S-1617-202401</t>
  </si>
  <si>
    <t>S-1617-202402</t>
  </si>
  <si>
    <t>S-1617-202403</t>
  </si>
  <si>
    <t>S-1617-202404</t>
  </si>
  <si>
    <t>S-1617-202405</t>
  </si>
  <si>
    <t>S-1617-202406</t>
  </si>
  <si>
    <t>S-1617-202407</t>
  </si>
  <si>
    <t>S-1617-202408</t>
  </si>
  <si>
    <t>S-1617-202409</t>
  </si>
  <si>
    <t>S-1617-202410</t>
  </si>
  <si>
    <t>S-1617-202411</t>
  </si>
  <si>
    <t>S-1617-202412</t>
  </si>
  <si>
    <t>S-1617-202501</t>
  </si>
  <si>
    <t>S-1617-202502</t>
  </si>
  <si>
    <t>S-1624-202407</t>
  </si>
  <si>
    <t>S-1624-202408</t>
  </si>
  <si>
    <t>S-1629-202411</t>
  </si>
  <si>
    <t>S-1629-202412</t>
  </si>
  <si>
    <t>S-1629-202501</t>
  </si>
  <si>
    <t>S-1629-202502</t>
  </si>
  <si>
    <t>S-1629-202503</t>
  </si>
  <si>
    <t>S-1629-202504</t>
  </si>
  <si>
    <t>S-1656-202410</t>
  </si>
  <si>
    <t>S-1656-202411</t>
  </si>
  <si>
    <t>S-1656-202412</t>
  </si>
  <si>
    <t>S-1656-202501</t>
  </si>
  <si>
    <t>S-1672-202408</t>
  </si>
  <si>
    <t>S-1672-202409</t>
  </si>
  <si>
    <t>S-1683-202403</t>
  </si>
  <si>
    <t>S-1683-202404</t>
  </si>
  <si>
    <t>S-1683-202405</t>
  </si>
  <si>
    <t>S-1683-202406</t>
  </si>
  <si>
    <t>S-1683-202407</t>
  </si>
  <si>
    <t>S-1683-202408</t>
  </si>
  <si>
    <t>S-1683-202409</t>
  </si>
  <si>
    <t>S-1683-202410</t>
  </si>
  <si>
    <t>S-1683-202411</t>
  </si>
  <si>
    <t>S-1683-202412</t>
  </si>
  <si>
    <t>S-1683-202501</t>
  </si>
  <si>
    <t>S-1683-202502</t>
  </si>
  <si>
    <t>S-1683-202503</t>
  </si>
  <si>
    <t>S-1683-202504</t>
  </si>
  <si>
    <t>S-1683-202505</t>
  </si>
  <si>
    <t>S-1683-202506</t>
  </si>
  <si>
    <t>S-1686-202404</t>
  </si>
  <si>
    <t>S-1686-202405</t>
  </si>
  <si>
    <t>S-1686-202406</t>
  </si>
  <si>
    <t>S-1686-202407</t>
  </si>
  <si>
    <t>S-1686-202408</t>
  </si>
  <si>
    <t>S-1686-202409</t>
  </si>
  <si>
    <t>S-1686-202410</t>
  </si>
  <si>
    <t>S-1686-202411</t>
  </si>
  <si>
    <t>S-1686-202412</t>
  </si>
  <si>
    <t>S-1686-202501</t>
  </si>
  <si>
    <t>S-1686-202502</t>
  </si>
  <si>
    <t>S-1686-202503</t>
  </si>
  <si>
    <t>S-1686-202504</t>
  </si>
  <si>
    <t>S-1697-202504</t>
  </si>
  <si>
    <t>S-1697-202505</t>
  </si>
  <si>
    <t>S-1709-202407</t>
  </si>
  <si>
    <t>S-1709-202408</t>
  </si>
  <si>
    <t>S-1709-202409</t>
  </si>
  <si>
    <t>S-1709-202410</t>
  </si>
  <si>
    <t>S-1709-202411</t>
  </si>
  <si>
    <t>S-1709-202412</t>
  </si>
  <si>
    <t>S-1709-202501</t>
  </si>
  <si>
    <t>S-1709-202502</t>
  </si>
  <si>
    <t>S-1713-202409</t>
  </si>
  <si>
    <t>S-1713-202410</t>
  </si>
  <si>
    <t>S-1714-202407</t>
  </si>
  <si>
    <t>S-1714-202408</t>
  </si>
  <si>
    <t>S-1717-202506</t>
  </si>
  <si>
    <t>S-1721-202410</t>
  </si>
  <si>
    <t>S-1721-202411</t>
  </si>
  <si>
    <t>S-1721-202412</t>
  </si>
  <si>
    <t>S-1721-202501</t>
  </si>
  <si>
    <t>S-1721-202502</t>
  </si>
  <si>
    <t>S-1721-202503</t>
  </si>
  <si>
    <t>S-1724-202411</t>
  </si>
  <si>
    <t>S-1724-202412</t>
  </si>
  <si>
    <t>S-1724-202501</t>
  </si>
  <si>
    <t>S-1724-202502</t>
  </si>
  <si>
    <t>S-1724-202503</t>
  </si>
  <si>
    <t>S-1726-202503</t>
  </si>
  <si>
    <t>S-1726-202504</t>
  </si>
  <si>
    <t>S-1727-202501</t>
  </si>
  <si>
    <t>S-1727-202502</t>
  </si>
  <si>
    <t>S-1727-202503</t>
  </si>
  <si>
    <t>S-1727-202504</t>
  </si>
  <si>
    <t>S-1727-202505</t>
  </si>
  <si>
    <t>S-1727-202506</t>
  </si>
  <si>
    <t>S-1736-202412</t>
  </si>
  <si>
    <t>S-1736-202501</t>
  </si>
  <si>
    <t>S-1736-202502</t>
  </si>
  <si>
    <t>S-1737-202406</t>
  </si>
  <si>
    <t>S-1737-202407</t>
  </si>
  <si>
    <t>S-1737-202408</t>
  </si>
  <si>
    <t>S-1737-202409</t>
  </si>
  <si>
    <t>S-1737-202410</t>
  </si>
  <si>
    <t>S-1747-202405</t>
  </si>
  <si>
    <t>S-1747-202406</t>
  </si>
  <si>
    <t>S-1747-202407</t>
  </si>
  <si>
    <t>S-1750-202410</t>
  </si>
  <si>
    <t>S-1750-202411</t>
  </si>
  <si>
    <t>S-1750-202412</t>
  </si>
  <si>
    <t>S-1750-202501</t>
  </si>
  <si>
    <t>S-1750-202502</t>
  </si>
  <si>
    <t>S-1750-202503</t>
  </si>
  <si>
    <t>S-1750-202504</t>
  </si>
  <si>
    <t>S-1759-202405</t>
  </si>
  <si>
    <t>S-1759-202406</t>
  </si>
  <si>
    <t>S-1759-202407</t>
  </si>
  <si>
    <t>S-1759-202408</t>
  </si>
  <si>
    <t>S-1759-202409</t>
  </si>
  <si>
    <t>S-1759-202410</t>
  </si>
  <si>
    <t>S-1759-202411</t>
  </si>
  <si>
    <t>S-1759-202412</t>
  </si>
  <si>
    <t>S-1764-202412</t>
  </si>
  <si>
    <t>S-1764-202501</t>
  </si>
  <si>
    <t>S-1765-202406</t>
  </si>
  <si>
    <t>S-1765-202407</t>
  </si>
  <si>
    <t>S-1765-202408</t>
  </si>
  <si>
    <t>S-1765-202409</t>
  </si>
  <si>
    <t>S-1765-202410</t>
  </si>
  <si>
    <t>S-1765-202411</t>
  </si>
  <si>
    <t>S-1767-202412</t>
  </si>
  <si>
    <t>S-1767-202501</t>
  </si>
  <si>
    <t>S-1767-202502</t>
  </si>
  <si>
    <t>S-1767-202503</t>
  </si>
  <si>
    <t>S-1768-202506</t>
  </si>
  <si>
    <t>S-1791-202505</t>
  </si>
  <si>
    <t>S-1806-202412</t>
  </si>
  <si>
    <t>S-1806-202501</t>
  </si>
  <si>
    <t>S-1806-202502</t>
  </si>
  <si>
    <t>S-1806-202503</t>
  </si>
  <si>
    <t>S-1807-202412</t>
  </si>
  <si>
    <t>S-1807-202501</t>
  </si>
  <si>
    <t>S-1807-202502</t>
  </si>
  <si>
    <t>S-1807-202503</t>
  </si>
  <si>
    <t>S-1810-202412</t>
  </si>
  <si>
    <t>S-1810-202501</t>
  </si>
  <si>
    <t>S-1810-202502</t>
  </si>
  <si>
    <t>S-1810-202503</t>
  </si>
  <si>
    <t>S-1817-202404</t>
  </si>
  <si>
    <t>S-1817-202405</t>
  </si>
  <si>
    <t>S-1822-202502</t>
  </si>
  <si>
    <t>S-1822-202503</t>
  </si>
  <si>
    <t>S-1824-202505</t>
  </si>
  <si>
    <t>S-1834-202503</t>
  </si>
  <si>
    <t>S-1834-202504</t>
  </si>
  <si>
    <t>S-1834-202505</t>
  </si>
  <si>
    <t>S-1844-202402</t>
  </si>
  <si>
    <t>S-1844-202403</t>
  </si>
  <si>
    <t>S-1844-202404</t>
  </si>
  <si>
    <t>S-1844-202405</t>
  </si>
  <si>
    <t>S-1844-202406</t>
  </si>
  <si>
    <t>S-1844-202407</t>
  </si>
  <si>
    <t>S-1844-202408</t>
  </si>
  <si>
    <t>S-1844-202409</t>
  </si>
  <si>
    <t>S-1844-202410</t>
  </si>
  <si>
    <t>S-1844-202411</t>
  </si>
  <si>
    <t>S-1844-202412</t>
  </si>
  <si>
    <t>S-1844-202501</t>
  </si>
  <si>
    <t>S-1844-202502</t>
  </si>
  <si>
    <t>S-1844-202503</t>
  </si>
  <si>
    <t>S-1876-202412</t>
  </si>
  <si>
    <t>S-1876-202501</t>
  </si>
  <si>
    <t>S-1876-202502</t>
  </si>
  <si>
    <t>S-1876-202503</t>
  </si>
  <si>
    <t>S-1876-202504</t>
  </si>
  <si>
    <t>S-1876-202505</t>
  </si>
  <si>
    <t>S-1883-202502</t>
  </si>
  <si>
    <t>S-1883-202503</t>
  </si>
  <si>
    <t>S-1889-202401</t>
  </si>
  <si>
    <t>S-1889-202402</t>
  </si>
  <si>
    <t>S-1889-202403</t>
  </si>
  <si>
    <t>S-1889-202404</t>
  </si>
  <si>
    <t>S-1889-202405</t>
  </si>
  <si>
    <t>S-1889-202406</t>
  </si>
  <si>
    <t>S-1889-202407</t>
  </si>
  <si>
    <t>S-1889-202408</t>
  </si>
  <si>
    <t>S-1889-202409</t>
  </si>
  <si>
    <t>S-1889-202410</t>
  </si>
  <si>
    <t>S-1896-202503</t>
  </si>
  <si>
    <t>S-1896-202504</t>
  </si>
  <si>
    <t>S-1896-202505</t>
  </si>
  <si>
    <t>S-1896-202506</t>
  </si>
  <si>
    <t>S-1899-202401</t>
  </si>
  <si>
    <t>S-1899-202402</t>
  </si>
  <si>
    <t>S-1899-202403</t>
  </si>
  <si>
    <t>S-1899-202404</t>
  </si>
  <si>
    <t>S-1899-202405</t>
  </si>
  <si>
    <t>S-1899-202406</t>
  </si>
  <si>
    <t>S-1899-202407</t>
  </si>
  <si>
    <t>S-1899-202408</t>
  </si>
  <si>
    <t>S-1899-202409</t>
  </si>
  <si>
    <t>S-1899-202410</t>
  </si>
  <si>
    <t>S-1899-202411</t>
  </si>
  <si>
    <t>S-1899-202412</t>
  </si>
  <si>
    <t>S-1900-202503</t>
  </si>
  <si>
    <t>S-1900-202504</t>
  </si>
  <si>
    <t>S-1918-202406</t>
  </si>
  <si>
    <t>S-1918-202407</t>
  </si>
  <si>
    <t>S-1918-202408</t>
  </si>
  <si>
    <t>S-1918-202409</t>
  </si>
  <si>
    <t>S-1918-202410</t>
  </si>
  <si>
    <t>S-1918-202411</t>
  </si>
  <si>
    <t>S-1924-202410</t>
  </si>
  <si>
    <t>S-1924-202411</t>
  </si>
  <si>
    <t>S-1924-202412</t>
  </si>
  <si>
    <t>S-1924-202501</t>
  </si>
  <si>
    <t>S-1924-202502</t>
  </si>
  <si>
    <t>S-1924-202503</t>
  </si>
  <si>
    <t>S-1924-202504</t>
  </si>
  <si>
    <t>S-1924-202505</t>
  </si>
  <si>
    <t>S-1929-202409</t>
  </si>
  <si>
    <t>S-1929-202410</t>
  </si>
  <si>
    <t>S-1929-202411</t>
  </si>
  <si>
    <t>S-1951-202405</t>
  </si>
  <si>
    <t>S-1951-202406</t>
  </si>
  <si>
    <t>S-1951-202407</t>
  </si>
  <si>
    <t>S-1951-202408</t>
  </si>
  <si>
    <t>S-1951-202409</t>
  </si>
  <si>
    <t>S-1951-202410</t>
  </si>
  <si>
    <t>S-1953-202506</t>
  </si>
  <si>
    <t>S-1965-202401</t>
  </si>
  <si>
    <t>S-1965-202402</t>
  </si>
  <si>
    <t>S-1965-202403</t>
  </si>
  <si>
    <t>S-1965-202404</t>
  </si>
  <si>
    <t>S-1965-202405</t>
  </si>
  <si>
    <t>S-1965-202406</t>
  </si>
  <si>
    <t>S-1965-202407</t>
  </si>
  <si>
    <t>S-1965-202408</t>
  </si>
  <si>
    <t>S-1965-202409</t>
  </si>
  <si>
    <t>S-1965-202410</t>
  </si>
  <si>
    <t>S-1965-202411</t>
  </si>
  <si>
    <t>S-1965-202412</t>
  </si>
  <si>
    <t>S-1965-202501</t>
  </si>
  <si>
    <t>S-1965-202502</t>
  </si>
  <si>
    <t>S-1965-202503</t>
  </si>
  <si>
    <t>S-1965-202504</t>
  </si>
  <si>
    <t>S-1965-202505</t>
  </si>
  <si>
    <t>S-1970-202412</t>
  </si>
  <si>
    <t>S-1970-202501</t>
  </si>
  <si>
    <t>S-1970-202502</t>
  </si>
  <si>
    <t>S-1970-202503</t>
  </si>
  <si>
    <t>S-1970-202504</t>
  </si>
  <si>
    <t>S-1970-202505</t>
  </si>
  <si>
    <t>S-1970-202506</t>
  </si>
  <si>
    <t>S-1975-202402</t>
  </si>
  <si>
    <t>S-1975-202403</t>
  </si>
  <si>
    <t>S-1975-202404</t>
  </si>
  <si>
    <t>S-1975-202405</t>
  </si>
  <si>
    <t>S-1975-202406</t>
  </si>
  <si>
    <t>S-1982-202406</t>
  </si>
  <si>
    <t>S-1982-202407</t>
  </si>
  <si>
    <t>S-1982-202408</t>
  </si>
  <si>
    <t>S-1982-202409</t>
  </si>
  <si>
    <t>S-1982-202410</t>
  </si>
  <si>
    <t>S-1982-202411</t>
  </si>
  <si>
    <t>S-1982-202412</t>
  </si>
  <si>
    <t>S-1982-202501</t>
  </si>
  <si>
    <t>S-1982-202502</t>
  </si>
  <si>
    <t>S-1982-202503</t>
  </si>
  <si>
    <t>S-1982-202504</t>
  </si>
  <si>
    <t>S-1982-202505</t>
  </si>
  <si>
    <t>S-1986-202406</t>
  </si>
  <si>
    <t>S-1986-202407</t>
  </si>
  <si>
    <t>S-1986-202408</t>
  </si>
  <si>
    <t>S-1986-202409</t>
  </si>
  <si>
    <t>S-1986-202410</t>
  </si>
  <si>
    <t>S-1988-202411</t>
  </si>
  <si>
    <t>S-1988-202412</t>
  </si>
  <si>
    <t>S-1988-202501</t>
  </si>
  <si>
    <t>S-1988-202502</t>
  </si>
  <si>
    <t>S-1988-202503</t>
  </si>
  <si>
    <t>S-1999-202504</t>
  </si>
  <si>
    <t>S-1999-202505</t>
  </si>
  <si>
    <t>subscription_id</t>
  </si>
  <si>
    <t>revenue_type</t>
  </si>
  <si>
    <t>amount</t>
  </si>
  <si>
    <t>month</t>
  </si>
  <si>
    <t>2024-10</t>
  </si>
  <si>
    <t>2024-11</t>
  </si>
  <si>
    <t>2024-12</t>
  </si>
  <si>
    <t>2025-01</t>
  </si>
  <si>
    <t>2025-02</t>
  </si>
  <si>
    <t>2025-03</t>
  </si>
  <si>
    <t>2025-04</t>
  </si>
  <si>
    <t>2024-04</t>
  </si>
  <si>
    <t>2024-05</t>
  </si>
  <si>
    <t>2025-05</t>
  </si>
  <si>
    <t>2025-06</t>
  </si>
  <si>
    <t>2024-06</t>
  </si>
  <si>
    <t>2024-08</t>
  </si>
  <si>
    <t>2024-09</t>
  </si>
  <si>
    <t>2024-07</t>
  </si>
  <si>
    <t>2024-01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</si>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</sst>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mmm\-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8" tint="-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164" fontId="18" fillId="33" borderId="11" xfId="0" applyNumberFormat="1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10" fontId="18" fillId="33" borderId="11" xfId="1" applyNumberFormat="1" applyFont="1" applyFill="1" applyBorder="1" applyAlignment="1">
      <alignment horizontal="center" vertical="center"/>
    </xf>
    <xf numFmtId="0" fontId="16" fillId="0" borderId="0" xfId="0" applyFont="1"/>
    <xf numFmtId="0" fontId="0" fillId="34" borderId="15" xfId="0" applyFill="1" applyBorder="1"/>
    <xf numFmtId="0" fontId="0" fillId="34" borderId="17" xfId="0" applyFill="1" applyBorder="1"/>
    <xf numFmtId="9" fontId="0" fillId="34" borderId="15" xfId="1" applyFont="1" applyFill="1" applyBorder="1"/>
    <xf numFmtId="44" fontId="0" fillId="34" borderId="15" xfId="43" applyFont="1" applyFill="1" applyBorder="1"/>
    <xf numFmtId="9" fontId="0" fillId="0" borderId="0" xfId="0" applyNumberFormat="1"/>
    <xf numFmtId="44" fontId="0" fillId="0" borderId="0" xfId="0" applyNumberFormat="1"/>
    <xf numFmtId="165" fontId="0" fillId="0" borderId="0" xfId="0" applyNumberFormat="1"/>
    <xf numFmtId="0" fontId="0" fillId="34" borderId="15" xfId="43" applyNumberFormat="1" applyFont="1" applyFill="1" applyBorder="1"/>
    <xf numFmtId="9" fontId="0" fillId="0" borderId="0" xfId="1" applyFont="1" applyBorder="1"/>
    <xf numFmtId="0" fontId="0" fillId="0" borderId="15" xfId="0" applyBorder="1"/>
    <xf numFmtId="0" fontId="0" fillId="0" borderId="21" xfId="0" applyBorder="1"/>
    <xf numFmtId="9" fontId="0" fillId="0" borderId="21" xfId="1" applyFont="1" applyBorder="1"/>
    <xf numFmtId="0" fontId="0" fillId="0" borderId="17" xfId="0" applyBorder="1"/>
    <xf numFmtId="0" fontId="16" fillId="0" borderId="23" xfId="0" applyFont="1" applyBorder="1"/>
    <xf numFmtId="0" fontId="16" fillId="0" borderId="24" xfId="0" applyFont="1" applyBorder="1"/>
    <xf numFmtId="0" fontId="16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6" fillId="0" borderId="14" xfId="0" applyFont="1" applyBorder="1"/>
    <xf numFmtId="0" fontId="16" fillId="0" borderId="16" xfId="0" applyFont="1" applyBorder="1"/>
    <xf numFmtId="0" fontId="0" fillId="0" borderId="11" xfId="0" applyBorder="1"/>
    <xf numFmtId="0" fontId="0" fillId="0" borderId="0" xfId="0" applyAlignment="1">
      <alignment horizontal="center"/>
    </xf>
    <xf numFmtId="17" fontId="0" fillId="0" borderId="26" xfId="0" applyNumberFormat="1" applyBorder="1"/>
    <xf numFmtId="44" fontId="0" fillId="0" borderId="0" xfId="43" applyFont="1" applyBorder="1"/>
    <xf numFmtId="44" fontId="0" fillId="0" borderId="27" xfId="43" applyFont="1" applyBorder="1"/>
    <xf numFmtId="165" fontId="0" fillId="0" borderId="26" xfId="0" applyNumberFormat="1" applyBorder="1"/>
    <xf numFmtId="165" fontId="0" fillId="0" borderId="28" xfId="0" applyNumberFormat="1" applyBorder="1"/>
    <xf numFmtId="44" fontId="0" fillId="0" borderId="29" xfId="43" applyFont="1" applyBorder="1"/>
    <xf numFmtId="44" fontId="0" fillId="0" borderId="30" xfId="43" applyFont="1" applyBorder="1"/>
    <xf numFmtId="2" fontId="0" fillId="0" borderId="0" xfId="0" applyNumberFormat="1"/>
    <xf numFmtId="44" fontId="0" fillId="0" borderId="27" xfId="0" applyNumberFormat="1" applyBorder="1"/>
    <xf numFmtId="2" fontId="0" fillId="0" borderId="29" xfId="0" applyNumberFormat="1" applyBorder="1"/>
    <xf numFmtId="44" fontId="0" fillId="0" borderId="29" xfId="0" applyNumberFormat="1" applyBorder="1"/>
    <xf numFmtId="44" fontId="0" fillId="0" borderId="30" xfId="0" applyNumberFormat="1" applyBorder="1"/>
    <xf numFmtId="0" fontId="0" fillId="0" borderId="33" xfId="0" applyBorder="1"/>
    <xf numFmtId="0" fontId="0" fillId="0" borderId="39" xfId="0" applyBorder="1"/>
    <xf numFmtId="14" fontId="21" fillId="36" borderId="32" xfId="0" applyNumberFormat="1" applyFont="1" applyFill="1" applyBorder="1"/>
    <xf numFmtId="0" fontId="21" fillId="36" borderId="33" xfId="0" applyFont="1" applyFill="1" applyBorder="1"/>
    <xf numFmtId="0" fontId="21" fillId="36" borderId="34" xfId="0" applyFont="1" applyFill="1" applyBorder="1"/>
    <xf numFmtId="14" fontId="0" fillId="0" borderId="32" xfId="0" applyNumberFormat="1" applyBorder="1"/>
    <xf numFmtId="44" fontId="0" fillId="0" borderId="33" xfId="0" applyNumberFormat="1" applyBorder="1"/>
    <xf numFmtId="10" fontId="0" fillId="0" borderId="33" xfId="1" applyNumberFormat="1" applyFont="1" applyBorder="1"/>
    <xf numFmtId="44" fontId="0" fillId="0" borderId="34" xfId="0" applyNumberFormat="1" applyBorder="1"/>
    <xf numFmtId="14" fontId="0" fillId="0" borderId="35" xfId="0" applyNumberFormat="1" applyBorder="1"/>
    <xf numFmtId="44" fontId="0" fillId="0" borderId="36" xfId="0" applyNumberFormat="1" applyBorder="1"/>
    <xf numFmtId="0" fontId="0" fillId="0" borderId="36" xfId="0" applyBorder="1"/>
    <xf numFmtId="10" fontId="0" fillId="0" borderId="36" xfId="1" applyNumberFormat="1" applyFont="1" applyBorder="1"/>
    <xf numFmtId="44" fontId="0" fillId="0" borderId="37" xfId="0" applyNumberFormat="1" applyBorder="1"/>
    <xf numFmtId="9" fontId="0" fillId="0" borderId="33" xfId="1" applyFont="1" applyBorder="1"/>
    <xf numFmtId="9" fontId="0" fillId="0" borderId="34" xfId="1" applyFont="1" applyBorder="1"/>
    <xf numFmtId="14" fontId="0" fillId="0" borderId="38" xfId="0" applyNumberFormat="1" applyBorder="1"/>
    <xf numFmtId="9" fontId="0" fillId="0" borderId="39" xfId="1" applyFont="1" applyBorder="1"/>
    <xf numFmtId="9" fontId="0" fillId="0" borderId="40" xfId="1" applyFont="1" applyBorder="1"/>
    <xf numFmtId="0" fontId="17" fillId="37" borderId="23" xfId="0" applyFont="1" applyFill="1" applyBorder="1"/>
    <xf numFmtId="0" fontId="17" fillId="37" borderId="24" xfId="0" applyFont="1" applyFill="1" applyBorder="1"/>
    <xf numFmtId="0" fontId="17" fillId="37" borderId="25" xfId="0" applyFont="1" applyFill="1" applyBorder="1"/>
    <xf numFmtId="0" fontId="13" fillId="37" borderId="23" xfId="0" applyFont="1" applyFill="1" applyBorder="1"/>
    <xf numFmtId="0" fontId="13" fillId="37" borderId="24" xfId="0" applyFont="1" applyFill="1" applyBorder="1"/>
    <xf numFmtId="0" fontId="13" fillId="37" borderId="25" xfId="0" applyFont="1" applyFill="1" applyBorder="1"/>
    <xf numFmtId="0" fontId="17" fillId="37" borderId="31" xfId="0" applyFont="1" applyFill="1" applyBorder="1"/>
    <xf numFmtId="0" fontId="16" fillId="35" borderId="20" xfId="0" applyFont="1" applyFill="1" applyBorder="1"/>
    <xf numFmtId="0" fontId="16" fillId="35" borderId="12" xfId="0" applyFont="1" applyFill="1" applyBorder="1"/>
    <xf numFmtId="0" fontId="16" fillId="35" borderId="13" xfId="0" applyFont="1" applyFill="1" applyBorder="1"/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22" xfId="0" applyFont="1" applyFill="1" applyBorder="1" applyAlignment="1">
      <alignment horizontal="center"/>
    </xf>
    <xf numFmtId="0" fontId="16" fillId="35" borderId="1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KPIs!$B$1</c:f>
              <c:strCache>
                <c:ptCount val="1"/>
                <c:pt idx="0">
                  <c:v>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KPIs!$A$2:$A$19</c:f>
              <c:numCache>
                <c:formatCode>m/d/yyyy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KPIs!$B$2:$B$19</c:f>
              <c:numCache>
                <c:formatCode>_("$"* #,##0.00_);_("$"* \(#,##0.00\);_("$"* "-"??_);_(@_)</c:formatCode>
                <c:ptCount val="18"/>
                <c:pt idx="0">
                  <c:v>1850</c:v>
                </c:pt>
                <c:pt idx="1">
                  <c:v>4600</c:v>
                </c:pt>
                <c:pt idx="2">
                  <c:v>7650</c:v>
                </c:pt>
                <c:pt idx="3">
                  <c:v>9600</c:v>
                </c:pt>
                <c:pt idx="4">
                  <c:v>11750</c:v>
                </c:pt>
                <c:pt idx="5">
                  <c:v>12700</c:v>
                </c:pt>
                <c:pt idx="6">
                  <c:v>15900</c:v>
                </c:pt>
                <c:pt idx="7">
                  <c:v>17800</c:v>
                </c:pt>
                <c:pt idx="8">
                  <c:v>17150</c:v>
                </c:pt>
                <c:pt idx="9">
                  <c:v>18750</c:v>
                </c:pt>
                <c:pt idx="10">
                  <c:v>17900</c:v>
                </c:pt>
                <c:pt idx="11">
                  <c:v>19300</c:v>
                </c:pt>
                <c:pt idx="12">
                  <c:v>20800</c:v>
                </c:pt>
                <c:pt idx="13">
                  <c:v>22500</c:v>
                </c:pt>
                <c:pt idx="14">
                  <c:v>21150</c:v>
                </c:pt>
                <c:pt idx="15">
                  <c:v>15600</c:v>
                </c:pt>
                <c:pt idx="16">
                  <c:v>10900</c:v>
                </c:pt>
                <c:pt idx="17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5-44CF-9AC5-3DEF8250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875552"/>
        <c:axId val="1281876032"/>
      </c:lineChart>
      <c:dateAx>
        <c:axId val="12818755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76032"/>
        <c:crosses val="autoZero"/>
        <c:auto val="1"/>
        <c:lblOffset val="100"/>
        <c:baseTimeUnit val="months"/>
      </c:dateAx>
      <c:valAx>
        <c:axId val="12818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87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Active Customers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214707553458414E-2"/>
          <c:y val="0.27107697470825654"/>
          <c:w val="0.86514575875408961"/>
          <c:h val="0.30999572981901197"/>
        </c:manualLayout>
      </c:layout>
      <c:lineChart>
        <c:grouping val="standard"/>
        <c:varyColors val="0"/>
        <c:ser>
          <c:idx val="0"/>
          <c:order val="0"/>
          <c:tx>
            <c:strRef>
              <c:f>KPIs!$D$1</c:f>
              <c:strCache>
                <c:ptCount val="1"/>
                <c:pt idx="0">
                  <c:v>Active_Customers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KPIs!$A$2:$A$19</c:f>
              <c:numCache>
                <c:formatCode>m/d/yyyy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KPIs!$D$2:$D$19</c:f>
              <c:numCache>
                <c:formatCode>General</c:formatCode>
                <c:ptCount val="18"/>
                <c:pt idx="0">
                  <c:v>10</c:v>
                </c:pt>
                <c:pt idx="1">
                  <c:v>17</c:v>
                </c:pt>
                <c:pt idx="2">
                  <c:v>30</c:v>
                </c:pt>
                <c:pt idx="3">
                  <c:v>39</c:v>
                </c:pt>
                <c:pt idx="4">
                  <c:v>49</c:v>
                </c:pt>
                <c:pt idx="5">
                  <c:v>53</c:v>
                </c:pt>
                <c:pt idx="6">
                  <c:v>60</c:v>
                </c:pt>
                <c:pt idx="7">
                  <c:v>65</c:v>
                </c:pt>
                <c:pt idx="8">
                  <c:v>64</c:v>
                </c:pt>
                <c:pt idx="9">
                  <c:v>72</c:v>
                </c:pt>
                <c:pt idx="10">
                  <c:v>70</c:v>
                </c:pt>
                <c:pt idx="11">
                  <c:v>74</c:v>
                </c:pt>
                <c:pt idx="12">
                  <c:v>80</c:v>
                </c:pt>
                <c:pt idx="13">
                  <c:v>87</c:v>
                </c:pt>
                <c:pt idx="14">
                  <c:v>87</c:v>
                </c:pt>
                <c:pt idx="15">
                  <c:v>66</c:v>
                </c:pt>
                <c:pt idx="16">
                  <c:v>44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5C-4582-BA6E-0570BB9E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220160"/>
        <c:axId val="123326992"/>
      </c:lineChart>
      <c:dateAx>
        <c:axId val="11962201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26992"/>
        <c:crosses val="autoZero"/>
        <c:auto val="1"/>
        <c:lblOffset val="100"/>
        <c:baseTimeUnit val="months"/>
      </c:dateAx>
      <c:valAx>
        <c:axId val="1233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22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KPIs!$F$1</c:f>
              <c:strCache>
                <c:ptCount val="1"/>
                <c:pt idx="0">
                  <c:v>Churn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KPIs!$A$2:$A$19</c:f>
              <c:numCache>
                <c:formatCode>m/d/yyyy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KPIs!$F$2:$F$19</c:f>
              <c:numCache>
                <c:formatCode>0.00%</c:formatCode>
                <c:ptCount val="18"/>
                <c:pt idx="1">
                  <c:v>0.1</c:v>
                </c:pt>
                <c:pt idx="2">
                  <c:v>0</c:v>
                </c:pt>
                <c:pt idx="3">
                  <c:v>3.3333333333333333E-2</c:v>
                </c:pt>
                <c:pt idx="4">
                  <c:v>5.128205128205128E-2</c:v>
                </c:pt>
                <c:pt idx="5">
                  <c:v>0.10204081632653061</c:v>
                </c:pt>
                <c:pt idx="6">
                  <c:v>7.5471698113207544E-2</c:v>
                </c:pt>
                <c:pt idx="7">
                  <c:v>6.6666666666666666E-2</c:v>
                </c:pt>
                <c:pt idx="8">
                  <c:v>9.2307692307692313E-2</c:v>
                </c:pt>
                <c:pt idx="9">
                  <c:v>9.375E-2</c:v>
                </c:pt>
                <c:pt idx="10">
                  <c:v>0.1111111111111111</c:v>
                </c:pt>
                <c:pt idx="11">
                  <c:v>8.5714285714285715E-2</c:v>
                </c:pt>
                <c:pt idx="12">
                  <c:v>8.1081081081081086E-2</c:v>
                </c:pt>
                <c:pt idx="13">
                  <c:v>7.4999999999999997E-2</c:v>
                </c:pt>
                <c:pt idx="14">
                  <c:v>0.2988505747126437</c:v>
                </c:pt>
                <c:pt idx="15">
                  <c:v>0.26436781609195403</c:v>
                </c:pt>
                <c:pt idx="16">
                  <c:v>0.34848484848484851</c:v>
                </c:pt>
                <c:pt idx="17">
                  <c:v>0.93181818181818177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F-48BC-B57D-7E1EBEF5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67104"/>
        <c:axId val="605466624"/>
      </c:lineChart>
      <c:dateAx>
        <c:axId val="60546710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66624"/>
        <c:crosses val="autoZero"/>
        <c:auto val="1"/>
        <c:lblOffset val="100"/>
        <c:baseTimeUnit val="months"/>
      </c:dateAx>
      <c:valAx>
        <c:axId val="60546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MRR by Plan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KPIs!$E$24</c:f>
              <c:strCache>
                <c:ptCount val="1"/>
                <c:pt idx="0">
                  <c:v>Pro Rev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KPIs!$A$25:$A$43</c:f>
              <c:numCache>
                <c:formatCode>m/d/yyyy</c:formatCode>
                <c:ptCount val="19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KPIs!$E$25:$E$43</c:f>
              <c:numCache>
                <c:formatCode>General</c:formatCode>
                <c:ptCount val="19"/>
                <c:pt idx="0">
                  <c:v>600</c:v>
                </c:pt>
                <c:pt idx="1">
                  <c:v>800</c:v>
                </c:pt>
                <c:pt idx="2">
                  <c:v>2200</c:v>
                </c:pt>
                <c:pt idx="3">
                  <c:v>3000</c:v>
                </c:pt>
                <c:pt idx="4">
                  <c:v>4000</c:v>
                </c:pt>
                <c:pt idx="5">
                  <c:v>4400</c:v>
                </c:pt>
                <c:pt idx="6">
                  <c:v>4600</c:v>
                </c:pt>
                <c:pt idx="7">
                  <c:v>4400</c:v>
                </c:pt>
                <c:pt idx="8">
                  <c:v>4200</c:v>
                </c:pt>
                <c:pt idx="9">
                  <c:v>4600</c:v>
                </c:pt>
                <c:pt idx="10">
                  <c:v>4800</c:v>
                </c:pt>
                <c:pt idx="11">
                  <c:v>5200</c:v>
                </c:pt>
                <c:pt idx="12">
                  <c:v>5000</c:v>
                </c:pt>
                <c:pt idx="13">
                  <c:v>5000</c:v>
                </c:pt>
                <c:pt idx="14">
                  <c:v>5600</c:v>
                </c:pt>
                <c:pt idx="15">
                  <c:v>3800</c:v>
                </c:pt>
                <c:pt idx="16">
                  <c:v>3200</c:v>
                </c:pt>
                <c:pt idx="17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7-402F-94EF-1F74BF99FFF0}"/>
            </c:ext>
          </c:extLst>
        </c:ser>
        <c:ser>
          <c:idx val="1"/>
          <c:order val="1"/>
          <c:tx>
            <c:strRef>
              <c:f>KPIs!$F$24</c:f>
              <c:strCache>
                <c:ptCount val="1"/>
                <c:pt idx="0">
                  <c:v>Basic Rev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KPIs!$A$25:$A$43</c:f>
              <c:numCache>
                <c:formatCode>m/d/yyyy</c:formatCode>
                <c:ptCount val="19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KPIs!$F$25:$F$43</c:f>
              <c:numCache>
                <c:formatCode>General</c:formatCode>
                <c:ptCount val="19"/>
                <c:pt idx="0">
                  <c:v>100</c:v>
                </c:pt>
                <c:pt idx="1">
                  <c:v>300</c:v>
                </c:pt>
                <c:pt idx="2">
                  <c:v>450</c:v>
                </c:pt>
                <c:pt idx="3">
                  <c:v>600</c:v>
                </c:pt>
                <c:pt idx="4">
                  <c:v>750</c:v>
                </c:pt>
                <c:pt idx="5">
                  <c:v>800</c:v>
                </c:pt>
                <c:pt idx="6">
                  <c:v>800</c:v>
                </c:pt>
                <c:pt idx="7">
                  <c:v>900</c:v>
                </c:pt>
                <c:pt idx="8">
                  <c:v>950</c:v>
                </c:pt>
                <c:pt idx="9">
                  <c:v>1150</c:v>
                </c:pt>
                <c:pt idx="10">
                  <c:v>1100</c:v>
                </c:pt>
                <c:pt idx="11">
                  <c:v>1100</c:v>
                </c:pt>
                <c:pt idx="12">
                  <c:v>1300</c:v>
                </c:pt>
                <c:pt idx="13">
                  <c:v>1500</c:v>
                </c:pt>
                <c:pt idx="14">
                  <c:v>1550</c:v>
                </c:pt>
                <c:pt idx="15">
                  <c:v>1300</c:v>
                </c:pt>
                <c:pt idx="16">
                  <c:v>700</c:v>
                </c:pt>
                <c:pt idx="1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7-402F-94EF-1F74BF99FFF0}"/>
            </c:ext>
          </c:extLst>
        </c:ser>
        <c:ser>
          <c:idx val="2"/>
          <c:order val="2"/>
          <c:tx>
            <c:strRef>
              <c:f>KPIs!$G$24</c:f>
              <c:strCache>
                <c:ptCount val="1"/>
                <c:pt idx="0">
                  <c:v>Ent Rev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KPIs!$A$25:$A$43</c:f>
              <c:numCache>
                <c:formatCode>m/d/yyyy</c:formatCode>
                <c:ptCount val="19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KPIs!$G$25:$G$43</c:f>
              <c:numCache>
                <c:formatCode>General</c:formatCode>
                <c:ptCount val="19"/>
                <c:pt idx="0">
                  <c:v>2500</c:v>
                </c:pt>
                <c:pt idx="1">
                  <c:v>3000</c:v>
                </c:pt>
                <c:pt idx="2">
                  <c:v>4500</c:v>
                </c:pt>
                <c:pt idx="3">
                  <c:v>6000</c:v>
                </c:pt>
                <c:pt idx="4">
                  <c:v>7500</c:v>
                </c:pt>
                <c:pt idx="5">
                  <c:v>8000</c:v>
                </c:pt>
                <c:pt idx="6">
                  <c:v>8000</c:v>
                </c:pt>
                <c:pt idx="7">
                  <c:v>9000</c:v>
                </c:pt>
                <c:pt idx="8">
                  <c:v>9500</c:v>
                </c:pt>
                <c:pt idx="9">
                  <c:v>11500</c:v>
                </c:pt>
                <c:pt idx="10">
                  <c:v>11000</c:v>
                </c:pt>
                <c:pt idx="11">
                  <c:v>11000</c:v>
                </c:pt>
                <c:pt idx="12">
                  <c:v>13000</c:v>
                </c:pt>
                <c:pt idx="13">
                  <c:v>15000</c:v>
                </c:pt>
                <c:pt idx="14">
                  <c:v>15500</c:v>
                </c:pt>
                <c:pt idx="15">
                  <c:v>13000</c:v>
                </c:pt>
                <c:pt idx="16">
                  <c:v>7000</c:v>
                </c:pt>
                <c:pt idx="17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7-402F-94EF-1F74BF99F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523616"/>
        <c:axId val="131511616"/>
      </c:barChart>
      <c:dateAx>
        <c:axId val="131523616"/>
        <c:scaling>
          <c:orientation val="minMax"/>
        </c:scaling>
        <c:delete val="0"/>
        <c:axPos val="b"/>
        <c:numFmt formatCode="[$-409]m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1616"/>
        <c:crosses val="autoZero"/>
        <c:auto val="1"/>
        <c:lblOffset val="100"/>
        <c:baseTimeUnit val="months"/>
      </c:dateAx>
      <c:valAx>
        <c:axId val="1315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Forecast!$E$64</c:f>
          <c:strCache>
            <c:ptCount val="1"/>
            <c:pt idx="0">
              <c:v>Worst Case MRR Forecast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Forecast!$E$31</c:f>
              <c:strCache>
                <c:ptCount val="1"/>
                <c:pt idx="0">
                  <c:v>Selected MRR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Forecast!$A$32:$A$44</c:f>
              <c:numCache>
                <c:formatCode>[$-409]mmm\-yy;@</c:formatCode>
                <c:ptCount val="13"/>
                <c:pt idx="0" formatCode="mmm\-yy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</c:numCache>
            </c:numRef>
          </c:cat>
          <c:val>
            <c:numRef>
              <c:f>Forecast!$E$32:$E$44</c:f>
              <c:numCache>
                <c:formatCode>_("$"* #,##0.00_);_("$"* \(#,##0.00\);_("$"* "-"??_);_(@_)</c:formatCode>
                <c:ptCount val="13"/>
                <c:pt idx="0">
                  <c:v>3325</c:v>
                </c:pt>
                <c:pt idx="1">
                  <c:v>2975</c:v>
                </c:pt>
                <c:pt idx="2">
                  <c:v>2800</c:v>
                </c:pt>
                <c:pt idx="3">
                  <c:v>2625</c:v>
                </c:pt>
                <c:pt idx="4">
                  <c:v>2450</c:v>
                </c:pt>
                <c:pt idx="5">
                  <c:v>2275</c:v>
                </c:pt>
                <c:pt idx="6">
                  <c:v>2275</c:v>
                </c:pt>
                <c:pt idx="7">
                  <c:v>2275</c:v>
                </c:pt>
                <c:pt idx="8">
                  <c:v>2275</c:v>
                </c:pt>
                <c:pt idx="9">
                  <c:v>2275</c:v>
                </c:pt>
                <c:pt idx="10">
                  <c:v>2275</c:v>
                </c:pt>
                <c:pt idx="11">
                  <c:v>2275</c:v>
                </c:pt>
                <c:pt idx="12">
                  <c:v>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F-4297-A7C0-33C22B818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5163039"/>
        <c:axId val="1015163999"/>
      </c:lineChart>
      <c:dateAx>
        <c:axId val="10151630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63999"/>
        <c:crosses val="autoZero"/>
        <c:auto val="1"/>
        <c:lblOffset val="100"/>
        <c:baseTimeUnit val="months"/>
      </c:dateAx>
      <c:valAx>
        <c:axId val="101516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16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930302</xdr:colOff>
      <xdr:row>4</xdr:row>
      <xdr:rowOff>5766</xdr:rowOff>
    </xdr:from>
    <xdr:to>
      <xdr:col>3</xdr:col>
      <xdr:colOff>1318847</xdr:colOff>
      <xdr:row>14</xdr:row>
      <xdr:rowOff>177940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5A37DF2-8813-492E-A51E-CE44D5C98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1327707</xdr:colOff>
      <xdr:row>3</xdr:row>
      <xdr:rowOff>182903</xdr:rowOff>
    </xdr:from>
    <xdr:to>
      <xdr:col>7</xdr:col>
      <xdr:colOff>830705</xdr:colOff>
      <xdr:row>14</xdr:row>
      <xdr:rowOff>181916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311285FB-4984-4930-AB05-4B5476BDA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931565</xdr:colOff>
      <xdr:row>14</xdr:row>
      <xdr:rowOff>182881</xdr:rowOff>
    </xdr:from>
    <xdr:to>
      <xdr:col>3</xdr:col>
      <xdr:colOff>1318847</xdr:colOff>
      <xdr:row>26</xdr:row>
      <xdr:rowOff>36610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6AB4F3C8-1927-4505-99BD-595F0DD17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1325825</xdr:colOff>
      <xdr:row>14</xdr:row>
      <xdr:rowOff>185626</xdr:rowOff>
    </xdr:from>
    <xdr:to>
      <xdr:col>7</xdr:col>
      <xdr:colOff>832759</xdr:colOff>
      <xdr:row>26</xdr:row>
      <xdr:rowOff>19971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FB4B6DB9-F131-4080-9C00-A1F10D2E3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762607</xdr:colOff>
      <xdr:row>30</xdr:row>
      <xdr:rowOff>182253</xdr:rowOff>
    </xdr:from>
    <xdr:to>
      <xdr:col>13</xdr:col>
      <xdr:colOff>273824</xdr:colOff>
      <xdr:row>43</xdr:row>
      <xdr:rowOff>104897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B5996-98CE-B1E3-B1AE-5D09D818A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pizar, Wendy" id="{CA059881-6713-4383-87A5-7E7CC1A37683}" userId="S::walpi@uic.edu::340ee450-cd10-4798-bba9-64741c7c22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4-16T16:15:47.64" personId="{CA059881-6713-4383-87A5-7E7CC1A37683}" id="{1D4696F7-D96D-4629-898A-FCAE40779B1C}">
    <text xml:space="preserve">Avg revenue per user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2F11-51B9-4BB2-8645-A045CD9FE343}">
  <dimension ref="B1:H3"/>
  <sheetViews>
    <sheetView showGridLines="0" zoomScale="93" zoomScaleNormal="100" workbookViewId="0">
      <selection activeCell="P38" sqref="P38"/>
    </sheetView>
  </sheetViews>
  <sheetFormatPr defaultRowHeight="14.5" x14ac:dyDescent="0.35"/>
  <cols>
    <col min="1" max="1" width="14.54296875" customWidth="1"/>
    <col min="2" max="2" width="15.453125" customWidth="1"/>
    <col min="3" max="3" width="14.54296875" customWidth="1"/>
    <col min="4" max="4" width="21.26953125" bestFit="1" customWidth="1"/>
    <col min="5" max="5" width="14.54296875" customWidth="1"/>
    <col min="6" max="6" width="17.1796875" bestFit="1" customWidth="1"/>
    <col min="7" max="12" width="14.54296875" customWidth="1"/>
  </cols>
  <sheetData>
    <row r="1" spans="2:8" ht="15" thickBot="1" x14ac:dyDescent="0.4"/>
    <row r="2" spans="2:8" ht="21" x14ac:dyDescent="0.35">
      <c r="B2" s="2" t="s">
        <v>0</v>
      </c>
      <c r="D2" s="2" t="s">
        <v>1</v>
      </c>
      <c r="F2" s="2" t="s">
        <v>2</v>
      </c>
      <c r="H2" s="2" t="s">
        <v>3</v>
      </c>
    </row>
    <row r="3" spans="2:8" ht="21.5" thickBot="1" x14ac:dyDescent="0.4">
      <c r="B3" s="3">
        <f>KPIs!B19</f>
        <v>3900</v>
      </c>
      <c r="D3" s="4">
        <f>KPIs!D19</f>
        <v>21</v>
      </c>
      <c r="F3" s="5">
        <f>AVERAGE(KPIs!F3:F19)</f>
        <v>0.16536942100256397</v>
      </c>
      <c r="H3" s="3">
        <f>AVERAGE(KPIs!I3:I19)</f>
        <v>2648.9061287305008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BB7D-8163-420B-9DBB-CC51CF4F8FFB}">
  <dimension ref="A1:M64"/>
  <sheetViews>
    <sheetView zoomScale="64" workbookViewId="0">
      <selection activeCell="G32" sqref="G32"/>
    </sheetView>
  </sheetViews>
  <sheetFormatPr defaultRowHeight="14.5" x14ac:dyDescent="0.35"/>
  <cols>
    <col min="1" max="1" width="8.1796875" bestFit="1" customWidth="1"/>
    <col min="2" max="2" width="10.7265625" bestFit="1" customWidth="1"/>
    <col min="3" max="3" width="11.81640625" bestFit="1" customWidth="1"/>
    <col min="4" max="4" width="12.453125" customWidth="1"/>
    <col min="5" max="5" width="22" bestFit="1" customWidth="1"/>
    <col min="6" max="6" width="12.1796875" customWidth="1"/>
    <col min="7" max="7" width="11.1796875" customWidth="1"/>
    <col min="8" max="8" width="11.81640625" customWidth="1"/>
    <col min="9" max="9" width="11.453125" bestFit="1" customWidth="1"/>
    <col min="10" max="10" width="13.453125" customWidth="1"/>
    <col min="11" max="11" width="13.7265625" bestFit="1" customWidth="1"/>
  </cols>
  <sheetData>
    <row r="1" spans="1:13" ht="15" thickBot="1" x14ac:dyDescent="0.4">
      <c r="A1" s="75" t="s">
        <v>4</v>
      </c>
      <c r="B1" s="76"/>
      <c r="C1" s="76"/>
      <c r="D1" s="77"/>
    </row>
    <row r="2" spans="1:13" x14ac:dyDescent="0.35">
      <c r="A2" s="78" t="s">
        <v>5</v>
      </c>
      <c r="B2" s="79"/>
      <c r="C2" s="79"/>
      <c r="D2" s="7">
        <v>21</v>
      </c>
      <c r="F2" s="71" t="s">
        <v>6</v>
      </c>
      <c r="G2" s="70" t="s">
        <v>7</v>
      </c>
      <c r="H2" s="70" t="s">
        <v>8</v>
      </c>
      <c r="I2" s="72" t="s">
        <v>9</v>
      </c>
      <c r="K2" s="20" t="s">
        <v>10</v>
      </c>
      <c r="L2" s="21" t="s">
        <v>11</v>
      </c>
      <c r="M2" s="22" t="s">
        <v>12</v>
      </c>
    </row>
    <row r="3" spans="1:13" x14ac:dyDescent="0.35">
      <c r="A3" s="78" t="s">
        <v>13</v>
      </c>
      <c r="B3" s="79"/>
      <c r="C3" s="79"/>
      <c r="D3" s="7">
        <v>3900</v>
      </c>
      <c r="F3" s="28" t="s">
        <v>14</v>
      </c>
      <c r="G3">
        <v>9</v>
      </c>
      <c r="H3" s="15">
        <v>0.16539999999999999</v>
      </c>
      <c r="I3" s="16">
        <v>185.7</v>
      </c>
      <c r="K3" s="23" t="s">
        <v>15</v>
      </c>
      <c r="L3">
        <v>30</v>
      </c>
      <c r="M3" s="24">
        <v>50</v>
      </c>
    </row>
    <row r="4" spans="1:13" x14ac:dyDescent="0.35">
      <c r="A4" s="78" t="s">
        <v>16</v>
      </c>
      <c r="B4" s="79"/>
      <c r="C4" s="79"/>
      <c r="D4" s="10">
        <v>185</v>
      </c>
      <c r="F4" s="28" t="s">
        <v>17</v>
      </c>
      <c r="G4">
        <v>15</v>
      </c>
      <c r="H4" s="15">
        <v>0.1</v>
      </c>
      <c r="I4" s="16">
        <v>195</v>
      </c>
      <c r="K4" s="23" t="s">
        <v>18</v>
      </c>
      <c r="L4">
        <v>100</v>
      </c>
      <c r="M4" s="24">
        <v>200</v>
      </c>
    </row>
    <row r="5" spans="1:13" ht="15" thickBot="1" x14ac:dyDescent="0.4">
      <c r="A5" s="78" t="s">
        <v>19</v>
      </c>
      <c r="B5" s="79"/>
      <c r="C5" s="79"/>
      <c r="D5" s="14">
        <v>9</v>
      </c>
      <c r="F5" s="29" t="s">
        <v>20</v>
      </c>
      <c r="G5" s="17">
        <v>3</v>
      </c>
      <c r="H5" s="18">
        <v>0.25</v>
      </c>
      <c r="I5" s="19">
        <v>175</v>
      </c>
      <c r="K5" s="25" t="s">
        <v>21</v>
      </c>
      <c r="L5" s="26">
        <v>200</v>
      </c>
      <c r="M5" s="27">
        <v>500</v>
      </c>
    </row>
    <row r="6" spans="1:13" x14ac:dyDescent="0.35">
      <c r="A6" s="78" t="s">
        <v>22</v>
      </c>
      <c r="B6" s="79"/>
      <c r="C6" s="79"/>
      <c r="D6" s="9">
        <v>0.32</v>
      </c>
    </row>
    <row r="7" spans="1:13" x14ac:dyDescent="0.35">
      <c r="A7" s="78" t="s">
        <v>23</v>
      </c>
      <c r="B7" s="79"/>
      <c r="C7" s="79"/>
      <c r="D7" s="9">
        <v>0.34</v>
      </c>
    </row>
    <row r="8" spans="1:13" x14ac:dyDescent="0.35">
      <c r="A8" s="78" t="s">
        <v>24</v>
      </c>
      <c r="B8" s="79"/>
      <c r="C8" s="79"/>
      <c r="D8" s="9">
        <v>0.34</v>
      </c>
    </row>
    <row r="9" spans="1:13" x14ac:dyDescent="0.35">
      <c r="A9" s="78" t="s">
        <v>25</v>
      </c>
      <c r="B9" s="79"/>
      <c r="C9" s="79"/>
      <c r="D9" s="9">
        <v>0.17</v>
      </c>
    </row>
    <row r="10" spans="1:13" x14ac:dyDescent="0.35">
      <c r="A10" s="78" t="s">
        <v>26</v>
      </c>
      <c r="B10" s="79"/>
      <c r="C10" s="79"/>
      <c r="D10" s="10">
        <v>110</v>
      </c>
    </row>
    <row r="11" spans="1:13" ht="15" thickBot="1" x14ac:dyDescent="0.4">
      <c r="A11" s="73" t="s">
        <v>27</v>
      </c>
      <c r="B11" s="74"/>
      <c r="C11" s="74"/>
      <c r="D11" s="8">
        <v>12</v>
      </c>
    </row>
    <row r="15" spans="1:13" x14ac:dyDescent="0.35">
      <c r="A15" s="63" t="s">
        <v>28</v>
      </c>
      <c r="B15" s="64" t="s">
        <v>29</v>
      </c>
      <c r="C15" s="64" t="s">
        <v>30</v>
      </c>
      <c r="D15" s="64" t="s">
        <v>31</v>
      </c>
      <c r="E15" s="64" t="s">
        <v>32</v>
      </c>
      <c r="F15" s="64" t="s">
        <v>33</v>
      </c>
      <c r="G15" s="64" t="s">
        <v>34</v>
      </c>
      <c r="H15" s="64" t="s">
        <v>16</v>
      </c>
      <c r="I15" s="64" t="s">
        <v>12</v>
      </c>
      <c r="J15" s="64" t="s">
        <v>35</v>
      </c>
      <c r="K15" s="65" t="s">
        <v>36</v>
      </c>
    </row>
    <row r="16" spans="1:13" x14ac:dyDescent="0.35">
      <c r="A16" s="32">
        <f>DATE(2025,7,1)</f>
        <v>45839</v>
      </c>
      <c r="B16" s="31">
        <f>$D$2</f>
        <v>21</v>
      </c>
      <c r="C16">
        <f>ROUND($D$6*$D$5,0)</f>
        <v>3</v>
      </c>
      <c r="D16">
        <f>ROUND($D$7*$D$5,0)</f>
        <v>3</v>
      </c>
      <c r="E16">
        <f>ROUND($D$8*$D$5,0)</f>
        <v>3</v>
      </c>
      <c r="F16" s="39">
        <f t="shared" ref="F16:F28" si="0">ROUND(B16*$D$9,0)</f>
        <v>4</v>
      </c>
      <c r="G16" s="39">
        <f>B16+(C16+D16+E16)-F16</f>
        <v>26</v>
      </c>
      <c r="H16" s="12">
        <f>$D$4</f>
        <v>185</v>
      </c>
      <c r="I16" s="12">
        <f>G16*H16</f>
        <v>4810</v>
      </c>
      <c r="J16" s="12" cm="1">
        <f t="array" ref="J16">SUMPRODUCT(C16:E16,TRANSPOSE($L$3:$L$5))</f>
        <v>990</v>
      </c>
      <c r="K16" s="40">
        <f>I16-D3</f>
        <v>910</v>
      </c>
    </row>
    <row r="17" spans="1:11" x14ac:dyDescent="0.35">
      <c r="A17" s="35">
        <f>EDATE(A16,1)</f>
        <v>45870</v>
      </c>
      <c r="B17" s="39">
        <f>G16</f>
        <v>26</v>
      </c>
      <c r="C17">
        <f t="shared" ref="C17:C28" si="1">ROUND($D$6*$D$5,0)</f>
        <v>3</v>
      </c>
      <c r="D17">
        <f t="shared" ref="D17:D28" si="2">ROUND($D$7*$D$5,0)</f>
        <v>3</v>
      </c>
      <c r="E17">
        <f t="shared" ref="E17:E28" si="3">ROUND($D$8*$D$5,0)</f>
        <v>3</v>
      </c>
      <c r="F17" s="39">
        <f t="shared" si="0"/>
        <v>4</v>
      </c>
      <c r="G17" s="39">
        <f t="shared" ref="G17:G27" si="4">B17+(C17+D17+E17)-F17</f>
        <v>31</v>
      </c>
      <c r="H17" s="12">
        <f t="shared" ref="H17:H28" si="5">$D$4</f>
        <v>185</v>
      </c>
      <c r="I17" s="12">
        <f>G17*H17</f>
        <v>5735</v>
      </c>
      <c r="J17" s="12" cm="1">
        <f t="array" ref="J17">SUMPRODUCT(C17:E17,TRANSPOSE($L$3:$L$5))</f>
        <v>990</v>
      </c>
      <c r="K17" s="40">
        <f>I17-I16</f>
        <v>925</v>
      </c>
    </row>
    <row r="18" spans="1:11" x14ac:dyDescent="0.35">
      <c r="A18" s="35">
        <f t="shared" ref="A18:A27" si="6">EDATE(A17,1)</f>
        <v>45901</v>
      </c>
      <c r="B18" s="39">
        <f t="shared" ref="B18:B28" si="7">G17</f>
        <v>31</v>
      </c>
      <c r="C18">
        <f t="shared" si="1"/>
        <v>3</v>
      </c>
      <c r="D18">
        <f t="shared" si="2"/>
        <v>3</v>
      </c>
      <c r="E18">
        <f t="shared" si="3"/>
        <v>3</v>
      </c>
      <c r="F18" s="39">
        <f t="shared" si="0"/>
        <v>5</v>
      </c>
      <c r="G18" s="39">
        <f t="shared" si="4"/>
        <v>35</v>
      </c>
      <c r="H18" s="12">
        <f t="shared" si="5"/>
        <v>185</v>
      </c>
      <c r="I18" s="12">
        <f t="shared" ref="I18:I27" si="8">G18*H18</f>
        <v>6475</v>
      </c>
      <c r="J18" s="12" cm="1">
        <f t="array" ref="J18">SUMPRODUCT(C18:E18,TRANSPOSE($L$3:$L$5))</f>
        <v>990</v>
      </c>
      <c r="K18" s="40">
        <f>I18-I17</f>
        <v>740</v>
      </c>
    </row>
    <row r="19" spans="1:11" x14ac:dyDescent="0.35">
      <c r="A19" s="35">
        <f t="shared" si="6"/>
        <v>45931</v>
      </c>
      <c r="B19" s="39">
        <f t="shared" si="7"/>
        <v>35</v>
      </c>
      <c r="C19">
        <f t="shared" si="1"/>
        <v>3</v>
      </c>
      <c r="D19">
        <f t="shared" si="2"/>
        <v>3</v>
      </c>
      <c r="E19">
        <f t="shared" si="3"/>
        <v>3</v>
      </c>
      <c r="F19" s="39">
        <f t="shared" si="0"/>
        <v>6</v>
      </c>
      <c r="G19" s="39">
        <f t="shared" si="4"/>
        <v>38</v>
      </c>
      <c r="H19" s="12">
        <f t="shared" si="5"/>
        <v>185</v>
      </c>
      <c r="I19" s="12">
        <f t="shared" si="8"/>
        <v>7030</v>
      </c>
      <c r="J19" s="12" cm="1">
        <f t="array" ref="J19">SUMPRODUCT(C19:E19,TRANSPOSE($L$3:$L$5))</f>
        <v>990</v>
      </c>
      <c r="K19" s="40">
        <f t="shared" ref="K19:K27" si="9">I19-I18</f>
        <v>555</v>
      </c>
    </row>
    <row r="20" spans="1:11" x14ac:dyDescent="0.35">
      <c r="A20" s="35">
        <f t="shared" si="6"/>
        <v>45962</v>
      </c>
      <c r="B20" s="39">
        <f t="shared" si="7"/>
        <v>38</v>
      </c>
      <c r="C20">
        <f t="shared" si="1"/>
        <v>3</v>
      </c>
      <c r="D20">
        <f t="shared" si="2"/>
        <v>3</v>
      </c>
      <c r="E20">
        <f t="shared" si="3"/>
        <v>3</v>
      </c>
      <c r="F20" s="39">
        <f t="shared" si="0"/>
        <v>6</v>
      </c>
      <c r="G20" s="39">
        <f t="shared" si="4"/>
        <v>41</v>
      </c>
      <c r="H20" s="12">
        <f t="shared" si="5"/>
        <v>185</v>
      </c>
      <c r="I20" s="12">
        <f t="shared" si="8"/>
        <v>7585</v>
      </c>
      <c r="J20" s="12" cm="1">
        <f t="array" ref="J20">SUMPRODUCT(C20:E20,TRANSPOSE($L$3:$L$5))</f>
        <v>990</v>
      </c>
      <c r="K20" s="40">
        <f t="shared" si="9"/>
        <v>555</v>
      </c>
    </row>
    <row r="21" spans="1:11" x14ac:dyDescent="0.35">
      <c r="A21" s="35">
        <f t="shared" si="6"/>
        <v>45992</v>
      </c>
      <c r="B21" s="39">
        <f t="shared" si="7"/>
        <v>41</v>
      </c>
      <c r="C21">
        <f t="shared" si="1"/>
        <v>3</v>
      </c>
      <c r="D21">
        <f t="shared" si="2"/>
        <v>3</v>
      </c>
      <c r="E21">
        <f t="shared" si="3"/>
        <v>3</v>
      </c>
      <c r="F21" s="39">
        <f t="shared" si="0"/>
        <v>7</v>
      </c>
      <c r="G21" s="39">
        <f t="shared" si="4"/>
        <v>43</v>
      </c>
      <c r="H21" s="12">
        <f t="shared" si="5"/>
        <v>185</v>
      </c>
      <c r="I21" s="12">
        <f t="shared" si="8"/>
        <v>7955</v>
      </c>
      <c r="J21" s="12" cm="1">
        <f t="array" ref="J21">SUMPRODUCT(C21:E21,TRANSPOSE($L$3:$L$5))</f>
        <v>990</v>
      </c>
      <c r="K21" s="40">
        <f t="shared" si="9"/>
        <v>370</v>
      </c>
    </row>
    <row r="22" spans="1:11" x14ac:dyDescent="0.35">
      <c r="A22" s="35">
        <f t="shared" si="6"/>
        <v>46023</v>
      </c>
      <c r="B22" s="39">
        <f t="shared" si="7"/>
        <v>43</v>
      </c>
      <c r="C22">
        <f t="shared" si="1"/>
        <v>3</v>
      </c>
      <c r="D22">
        <f t="shared" si="2"/>
        <v>3</v>
      </c>
      <c r="E22">
        <f t="shared" si="3"/>
        <v>3</v>
      </c>
      <c r="F22" s="39">
        <f t="shared" si="0"/>
        <v>7</v>
      </c>
      <c r="G22" s="39">
        <f t="shared" si="4"/>
        <v>45</v>
      </c>
      <c r="H22" s="12">
        <f t="shared" si="5"/>
        <v>185</v>
      </c>
      <c r="I22" s="12">
        <f t="shared" si="8"/>
        <v>8325</v>
      </c>
      <c r="J22" s="12" cm="1">
        <f t="array" ref="J22">SUMPRODUCT(C22:E22,TRANSPOSE($L$3:$L$5))</f>
        <v>990</v>
      </c>
      <c r="K22" s="40">
        <f t="shared" si="9"/>
        <v>370</v>
      </c>
    </row>
    <row r="23" spans="1:11" x14ac:dyDescent="0.35">
      <c r="A23" s="35">
        <f t="shared" si="6"/>
        <v>46054</v>
      </c>
      <c r="B23" s="39">
        <f t="shared" si="7"/>
        <v>45</v>
      </c>
      <c r="C23">
        <f t="shared" si="1"/>
        <v>3</v>
      </c>
      <c r="D23">
        <f t="shared" si="2"/>
        <v>3</v>
      </c>
      <c r="E23">
        <f t="shared" si="3"/>
        <v>3</v>
      </c>
      <c r="F23" s="39">
        <f t="shared" si="0"/>
        <v>8</v>
      </c>
      <c r="G23" s="39">
        <f t="shared" si="4"/>
        <v>46</v>
      </c>
      <c r="H23" s="12">
        <f t="shared" si="5"/>
        <v>185</v>
      </c>
      <c r="I23" s="12">
        <f t="shared" si="8"/>
        <v>8510</v>
      </c>
      <c r="J23" s="12" cm="1">
        <f t="array" ref="J23">SUMPRODUCT(C23:E23,TRANSPOSE($L$3:$L$5))</f>
        <v>990</v>
      </c>
      <c r="K23" s="40">
        <f t="shared" si="9"/>
        <v>185</v>
      </c>
    </row>
    <row r="24" spans="1:11" x14ac:dyDescent="0.35">
      <c r="A24" s="35">
        <f t="shared" si="6"/>
        <v>46082</v>
      </c>
      <c r="B24" s="39">
        <f t="shared" si="7"/>
        <v>46</v>
      </c>
      <c r="C24">
        <f t="shared" si="1"/>
        <v>3</v>
      </c>
      <c r="D24">
        <f t="shared" si="2"/>
        <v>3</v>
      </c>
      <c r="E24">
        <f t="shared" si="3"/>
        <v>3</v>
      </c>
      <c r="F24" s="39">
        <f t="shared" si="0"/>
        <v>8</v>
      </c>
      <c r="G24" s="39">
        <f t="shared" si="4"/>
        <v>47</v>
      </c>
      <c r="H24" s="12">
        <f t="shared" si="5"/>
        <v>185</v>
      </c>
      <c r="I24" s="12">
        <f t="shared" si="8"/>
        <v>8695</v>
      </c>
      <c r="J24" s="12" cm="1">
        <f t="array" ref="J24">SUMPRODUCT(C24:E24,TRANSPOSE($L$3:$L$5))</f>
        <v>990</v>
      </c>
      <c r="K24" s="40">
        <f t="shared" si="9"/>
        <v>185</v>
      </c>
    </row>
    <row r="25" spans="1:11" x14ac:dyDescent="0.35">
      <c r="A25" s="35">
        <f t="shared" si="6"/>
        <v>46113</v>
      </c>
      <c r="B25" s="39">
        <f t="shared" si="7"/>
        <v>47</v>
      </c>
      <c r="C25">
        <f t="shared" si="1"/>
        <v>3</v>
      </c>
      <c r="D25">
        <f t="shared" si="2"/>
        <v>3</v>
      </c>
      <c r="E25">
        <f t="shared" si="3"/>
        <v>3</v>
      </c>
      <c r="F25" s="39">
        <f t="shared" si="0"/>
        <v>8</v>
      </c>
      <c r="G25" s="39">
        <f t="shared" si="4"/>
        <v>48</v>
      </c>
      <c r="H25" s="12">
        <f t="shared" si="5"/>
        <v>185</v>
      </c>
      <c r="I25" s="12">
        <f t="shared" si="8"/>
        <v>8880</v>
      </c>
      <c r="J25" s="12" cm="1">
        <f t="array" ref="J25">SUMPRODUCT(C25:E25,TRANSPOSE($L$3:$L$5))</f>
        <v>990</v>
      </c>
      <c r="K25" s="40">
        <f t="shared" si="9"/>
        <v>185</v>
      </c>
    </row>
    <row r="26" spans="1:11" x14ac:dyDescent="0.35">
      <c r="A26" s="35">
        <f t="shared" si="6"/>
        <v>46143</v>
      </c>
      <c r="B26" s="39">
        <f t="shared" si="7"/>
        <v>48</v>
      </c>
      <c r="C26">
        <f t="shared" si="1"/>
        <v>3</v>
      </c>
      <c r="D26">
        <f t="shared" si="2"/>
        <v>3</v>
      </c>
      <c r="E26">
        <f t="shared" si="3"/>
        <v>3</v>
      </c>
      <c r="F26" s="39">
        <f t="shared" si="0"/>
        <v>8</v>
      </c>
      <c r="G26" s="39">
        <f t="shared" si="4"/>
        <v>49</v>
      </c>
      <c r="H26" s="12">
        <f t="shared" si="5"/>
        <v>185</v>
      </c>
      <c r="I26" s="12">
        <f t="shared" si="8"/>
        <v>9065</v>
      </c>
      <c r="J26" s="12" cm="1">
        <f t="array" ref="J26">SUMPRODUCT(C26:E26,TRANSPOSE($L$3:$L$5))</f>
        <v>990</v>
      </c>
      <c r="K26" s="40">
        <f t="shared" si="9"/>
        <v>185</v>
      </c>
    </row>
    <row r="27" spans="1:11" x14ac:dyDescent="0.35">
      <c r="A27" s="35">
        <f t="shared" si="6"/>
        <v>46174</v>
      </c>
      <c r="B27" s="39">
        <f t="shared" si="7"/>
        <v>49</v>
      </c>
      <c r="C27">
        <f t="shared" si="1"/>
        <v>3</v>
      </c>
      <c r="D27">
        <f t="shared" si="2"/>
        <v>3</v>
      </c>
      <c r="E27">
        <f t="shared" si="3"/>
        <v>3</v>
      </c>
      <c r="F27" s="39">
        <f t="shared" si="0"/>
        <v>8</v>
      </c>
      <c r="G27" s="39">
        <f t="shared" si="4"/>
        <v>50</v>
      </c>
      <c r="H27" s="12">
        <f t="shared" si="5"/>
        <v>185</v>
      </c>
      <c r="I27" s="12">
        <f t="shared" si="8"/>
        <v>9250</v>
      </c>
      <c r="J27" s="12" cm="1">
        <f t="array" ref="J27">SUMPRODUCT(C27:E27,TRANSPOSE($L$3:$L$5))</f>
        <v>990</v>
      </c>
      <c r="K27" s="40">
        <f t="shared" si="9"/>
        <v>185</v>
      </c>
    </row>
    <row r="28" spans="1:11" x14ac:dyDescent="0.35">
      <c r="A28" s="36">
        <f t="shared" ref="A28" si="10">EDATE(A27,1)</f>
        <v>46204</v>
      </c>
      <c r="B28" s="41">
        <f t="shared" si="7"/>
        <v>50</v>
      </c>
      <c r="C28" s="26">
        <f t="shared" si="1"/>
        <v>3</v>
      </c>
      <c r="D28" s="26">
        <f t="shared" si="2"/>
        <v>3</v>
      </c>
      <c r="E28" s="26">
        <f t="shared" si="3"/>
        <v>3</v>
      </c>
      <c r="F28" s="41">
        <f t="shared" si="0"/>
        <v>9</v>
      </c>
      <c r="G28" s="41">
        <f t="shared" ref="G28" si="11">B28+(C28+D28+E28)-F28</f>
        <v>50</v>
      </c>
      <c r="H28" s="42">
        <f t="shared" si="5"/>
        <v>185</v>
      </c>
      <c r="I28" s="42">
        <f t="shared" ref="I28" si="12">G28*H28</f>
        <v>9250</v>
      </c>
      <c r="J28" s="42" cm="1">
        <f t="array" ref="J28">SUMPRODUCT(C28:E28,TRANSPOSE($L$3:$L$5))</f>
        <v>990</v>
      </c>
      <c r="K28" s="43">
        <f t="shared" ref="K28" si="13">I28-I27</f>
        <v>0</v>
      </c>
    </row>
    <row r="29" spans="1:11" x14ac:dyDescent="0.35">
      <c r="A29" s="13"/>
    </row>
    <row r="30" spans="1:11" ht="15" thickBot="1" x14ac:dyDescent="0.4">
      <c r="A30" s="13"/>
    </row>
    <row r="31" spans="1:11" x14ac:dyDescent="0.35">
      <c r="A31" s="66" t="s">
        <v>28</v>
      </c>
      <c r="B31" s="67" t="s">
        <v>37</v>
      </c>
      <c r="C31" s="67" t="s">
        <v>38</v>
      </c>
      <c r="D31" s="67" t="s">
        <v>39</v>
      </c>
      <c r="E31" s="68" t="s">
        <v>40</v>
      </c>
      <c r="G31" s="69" t="s">
        <v>41</v>
      </c>
    </row>
    <row r="32" spans="1:11" ht="15" thickBot="1" x14ac:dyDescent="0.4">
      <c r="A32" s="32">
        <f>DATE(2025,7,1)</f>
        <v>45839</v>
      </c>
      <c r="B32" s="33">
        <v>4828.2</v>
      </c>
      <c r="C32" s="33">
        <v>6630</v>
      </c>
      <c r="D32" s="33">
        <v>3325</v>
      </c>
      <c r="E32" s="34">
        <f t="shared" ref="E32:E44" si="14">IF($G$32="Base",B32,IF($G$32="Best",C32,D32))</f>
        <v>3325</v>
      </c>
      <c r="G32" s="30" t="s">
        <v>20</v>
      </c>
    </row>
    <row r="33" spans="1:5" x14ac:dyDescent="0.35">
      <c r="A33" s="35">
        <f>EDATE(A32,1)</f>
        <v>45870</v>
      </c>
      <c r="B33" s="33">
        <v>5756.7</v>
      </c>
      <c r="C33" s="33">
        <v>8970</v>
      </c>
      <c r="D33" s="33">
        <v>2975</v>
      </c>
      <c r="E33" s="34">
        <f t="shared" si="14"/>
        <v>2975</v>
      </c>
    </row>
    <row r="34" spans="1:5" x14ac:dyDescent="0.35">
      <c r="A34" s="35">
        <f t="shared" ref="A34:A44" si="15">EDATE(A33,1)</f>
        <v>45901</v>
      </c>
      <c r="B34" s="33">
        <v>6499.5</v>
      </c>
      <c r="C34" s="33">
        <v>10920</v>
      </c>
      <c r="D34" s="33">
        <v>2800</v>
      </c>
      <c r="E34" s="34">
        <f t="shared" si="14"/>
        <v>2800</v>
      </c>
    </row>
    <row r="35" spans="1:5" x14ac:dyDescent="0.35">
      <c r="A35" s="35">
        <f t="shared" si="15"/>
        <v>45931</v>
      </c>
      <c r="B35" s="33">
        <v>7056.5999999999995</v>
      </c>
      <c r="C35" s="33">
        <v>12675</v>
      </c>
      <c r="D35" s="33">
        <v>2625</v>
      </c>
      <c r="E35" s="34">
        <f t="shared" si="14"/>
        <v>2625</v>
      </c>
    </row>
    <row r="36" spans="1:5" x14ac:dyDescent="0.35">
      <c r="A36" s="35">
        <f t="shared" si="15"/>
        <v>45962</v>
      </c>
      <c r="B36" s="33">
        <v>7613.7</v>
      </c>
      <c r="C36" s="33">
        <v>14235</v>
      </c>
      <c r="D36" s="33">
        <v>2450</v>
      </c>
      <c r="E36" s="34">
        <f t="shared" si="14"/>
        <v>2450</v>
      </c>
    </row>
    <row r="37" spans="1:5" x14ac:dyDescent="0.35">
      <c r="A37" s="35">
        <f t="shared" si="15"/>
        <v>45992</v>
      </c>
      <c r="B37" s="33">
        <v>7985.0999999999995</v>
      </c>
      <c r="C37" s="33">
        <v>15795</v>
      </c>
      <c r="D37" s="33">
        <v>2275</v>
      </c>
      <c r="E37" s="34">
        <f t="shared" si="14"/>
        <v>2275</v>
      </c>
    </row>
    <row r="38" spans="1:5" x14ac:dyDescent="0.35">
      <c r="A38" s="35">
        <f t="shared" si="15"/>
        <v>46023</v>
      </c>
      <c r="B38" s="33">
        <v>8356.5</v>
      </c>
      <c r="C38" s="33">
        <v>17160</v>
      </c>
      <c r="D38" s="33">
        <v>2275</v>
      </c>
      <c r="E38" s="34">
        <f t="shared" si="14"/>
        <v>2275</v>
      </c>
    </row>
    <row r="39" spans="1:5" x14ac:dyDescent="0.35">
      <c r="A39" s="35">
        <f t="shared" si="15"/>
        <v>46054</v>
      </c>
      <c r="B39" s="33">
        <v>8542.1999999999989</v>
      </c>
      <c r="C39" s="33">
        <v>18330</v>
      </c>
      <c r="D39" s="33">
        <v>2275</v>
      </c>
      <c r="E39" s="34">
        <f t="shared" si="14"/>
        <v>2275</v>
      </c>
    </row>
    <row r="40" spans="1:5" x14ac:dyDescent="0.35">
      <c r="A40" s="35">
        <f t="shared" si="15"/>
        <v>46082</v>
      </c>
      <c r="B40" s="33">
        <v>8727.9</v>
      </c>
      <c r="C40" s="33">
        <v>19500</v>
      </c>
      <c r="D40" s="33">
        <v>2275</v>
      </c>
      <c r="E40" s="34">
        <f t="shared" si="14"/>
        <v>2275</v>
      </c>
    </row>
    <row r="41" spans="1:5" x14ac:dyDescent="0.35">
      <c r="A41" s="35">
        <f t="shared" si="15"/>
        <v>46113</v>
      </c>
      <c r="B41" s="33">
        <v>8913.5999999999985</v>
      </c>
      <c r="C41" s="33">
        <v>20475</v>
      </c>
      <c r="D41" s="33">
        <v>2275</v>
      </c>
      <c r="E41" s="34">
        <f t="shared" si="14"/>
        <v>2275</v>
      </c>
    </row>
    <row r="42" spans="1:5" x14ac:dyDescent="0.35">
      <c r="A42" s="35">
        <f t="shared" si="15"/>
        <v>46143</v>
      </c>
      <c r="B42" s="33">
        <v>9099.2999999999993</v>
      </c>
      <c r="C42" s="33">
        <v>21255</v>
      </c>
      <c r="D42" s="33">
        <v>2275</v>
      </c>
      <c r="E42" s="34">
        <f t="shared" si="14"/>
        <v>2275</v>
      </c>
    </row>
    <row r="43" spans="1:5" x14ac:dyDescent="0.35">
      <c r="A43" s="35">
        <f t="shared" si="15"/>
        <v>46174</v>
      </c>
      <c r="B43" s="33">
        <v>9285</v>
      </c>
      <c r="C43" s="33">
        <v>22035</v>
      </c>
      <c r="D43" s="33">
        <v>2275</v>
      </c>
      <c r="E43" s="34">
        <f t="shared" si="14"/>
        <v>2275</v>
      </c>
    </row>
    <row r="44" spans="1:5" x14ac:dyDescent="0.35">
      <c r="A44" s="36">
        <f t="shared" si="15"/>
        <v>46204</v>
      </c>
      <c r="B44" s="37">
        <v>9285</v>
      </c>
      <c r="C44" s="37">
        <v>22815</v>
      </c>
      <c r="D44" s="37">
        <v>2275</v>
      </c>
      <c r="E44" s="38">
        <f t="shared" si="14"/>
        <v>2275</v>
      </c>
    </row>
    <row r="64" spans="5:5" x14ac:dyDescent="0.35">
      <c r="E64" t="str">
        <f>$G$32 &amp; " Case MRR Forecast"</f>
        <v>Worst Case MRR Forecast</v>
      </c>
    </row>
  </sheetData>
  <mergeCells count="11">
    <mergeCell ref="A11:C11"/>
    <mergeCell ref="A1:D1"/>
    <mergeCell ref="A3:C3"/>
    <mergeCell ref="A8:C8"/>
    <mergeCell ref="A7:C7"/>
    <mergeCell ref="A5:C5"/>
    <mergeCell ref="A10:C10"/>
    <mergeCell ref="A9:C9"/>
    <mergeCell ref="A6:C6"/>
    <mergeCell ref="A4:C4"/>
    <mergeCell ref="A2:C2"/>
  </mergeCells>
  <dataValidations count="1">
    <dataValidation type="list" allowBlank="1" showInputMessage="1" showErrorMessage="1" sqref="G32" xr:uid="{601D000D-DE45-49B2-A675-4567821759DD}">
      <formula1>$F$3:$F$5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DBC-7E94-4730-8C97-0C1E9B9A00AC}">
  <dimension ref="A1:Q989"/>
  <sheetViews>
    <sheetView zoomScale="64" zoomScaleNormal="80" workbookViewId="0">
      <selection activeCell="H10" sqref="H10"/>
    </sheetView>
  </sheetViews>
  <sheetFormatPr defaultRowHeight="14.5" x14ac:dyDescent="0.35"/>
  <cols>
    <col min="1" max="1" width="14.81640625" style="1" customWidth="1"/>
    <col min="2" max="2" width="13.26953125" bestFit="1" customWidth="1"/>
    <col min="3" max="3" width="15.1796875" bestFit="1" customWidth="1"/>
    <col min="4" max="4" width="17.453125" customWidth="1"/>
    <col min="5" max="6" width="11.1796875" customWidth="1"/>
    <col min="7" max="7" width="12.81640625" customWidth="1"/>
    <col min="8" max="8" width="13.1796875" customWidth="1"/>
    <col min="9" max="9" width="15.1796875" customWidth="1"/>
    <col min="10" max="10" width="16.453125" customWidth="1"/>
    <col min="11" max="11" width="17.54296875" customWidth="1"/>
    <col min="12" max="12" width="13.26953125" customWidth="1"/>
    <col min="13" max="13" width="26" customWidth="1"/>
    <col min="14" max="14" width="15.54296875" bestFit="1" customWidth="1"/>
    <col min="15" max="15" width="17.1796875" bestFit="1" customWidth="1"/>
    <col min="16" max="16" width="16.81640625" bestFit="1" customWidth="1"/>
  </cols>
  <sheetData>
    <row r="1" spans="1:13" ht="16" x14ac:dyDescent="0.4">
      <c r="A1" s="46" t="s">
        <v>42</v>
      </c>
      <c r="B1" s="47" t="s">
        <v>12</v>
      </c>
      <c r="C1" s="47" t="s">
        <v>43</v>
      </c>
      <c r="D1" s="47" t="s">
        <v>44</v>
      </c>
      <c r="E1" s="47" t="s">
        <v>45</v>
      </c>
      <c r="F1" s="47" t="s">
        <v>46</v>
      </c>
      <c r="G1" s="47" t="s">
        <v>47</v>
      </c>
      <c r="H1" s="47" t="s">
        <v>16</v>
      </c>
      <c r="I1" s="47" t="s">
        <v>48</v>
      </c>
      <c r="J1" s="47" t="s">
        <v>49</v>
      </c>
      <c r="K1" s="47" t="s">
        <v>50</v>
      </c>
      <c r="L1" s="47" t="s">
        <v>51</v>
      </c>
      <c r="M1" s="48" t="s">
        <v>52</v>
      </c>
    </row>
    <row r="2" spans="1:13" x14ac:dyDescent="0.35">
      <c r="A2" s="49">
        <v>45292</v>
      </c>
      <c r="B2" s="50">
        <f>SUMIFS(revenue_Clean!C:C,revenue_Clean!F:F,A2)</f>
        <v>1850</v>
      </c>
      <c r="C2" s="50">
        <f t="shared" ref="C2:C19" si="0">B2*12</f>
        <v>22200</v>
      </c>
      <c r="D2" s="44">
        <f>COUNTIFS(revenue_Clean!F:F,A2)</f>
        <v>10</v>
      </c>
      <c r="E2" s="44">
        <f>COUNTIFS(customer_clean!G:G,"Churned",customer_clean!H:H,A2)</f>
        <v>0</v>
      </c>
      <c r="F2" s="51"/>
      <c r="G2" s="50">
        <f>AVERAGE(customer_clean!E:E)</f>
        <v>110.11</v>
      </c>
      <c r="H2" s="50">
        <f>B2/D2</f>
        <v>185</v>
      </c>
      <c r="I2" s="50">
        <f>IF(F2=0,0,H2/F2)</f>
        <v>0</v>
      </c>
      <c r="J2" s="51"/>
      <c r="K2" s="44"/>
      <c r="L2" s="44">
        <f>I2/G2</f>
        <v>0</v>
      </c>
      <c r="M2" s="52">
        <f>E2*H2</f>
        <v>0</v>
      </c>
    </row>
    <row r="3" spans="1:13" x14ac:dyDescent="0.35">
      <c r="A3" s="49">
        <v>45323</v>
      </c>
      <c r="B3" s="50">
        <f>SUMIFS(revenue_Clean!C:C,revenue_Clean!F:F,A3)</f>
        <v>4600</v>
      </c>
      <c r="C3" s="50">
        <f t="shared" si="0"/>
        <v>55200</v>
      </c>
      <c r="D3" s="44">
        <f>COUNTIFS(revenue_Clean!F:F,A3)</f>
        <v>17</v>
      </c>
      <c r="E3" s="44">
        <f>COUNTIFS(customer_clean!G:G,"Churned",customer_clean!H:H,A3)</f>
        <v>1</v>
      </c>
      <c r="F3" s="51">
        <f>E3/D2</f>
        <v>0.1</v>
      </c>
      <c r="G3" s="50">
        <f>AVERAGE(customer_clean!E:E)</f>
        <v>110.11</v>
      </c>
      <c r="H3" s="50">
        <f t="shared" ref="H3:H19" si="1">B3/D3</f>
        <v>270.58823529411762</v>
      </c>
      <c r="I3" s="50">
        <f t="shared" ref="I3:I19" si="2">IF(F3=0,0,H3/F3)</f>
        <v>2705.8823529411761</v>
      </c>
      <c r="J3" s="51">
        <f>(D3-D2)/D3</f>
        <v>0.41176470588235292</v>
      </c>
      <c r="K3" s="44">
        <f>D3-D2+E3</f>
        <v>8</v>
      </c>
      <c r="L3" s="44">
        <f>I3/G3</f>
        <v>24.574356125158261</v>
      </c>
      <c r="M3" s="52">
        <f t="shared" ref="M3:M19" si="3">E3*H3</f>
        <v>270.58823529411762</v>
      </c>
    </row>
    <row r="4" spans="1:13" x14ac:dyDescent="0.35">
      <c r="A4" s="49">
        <v>45352</v>
      </c>
      <c r="B4" s="50">
        <f>SUMIFS(revenue_Clean!C:C,revenue_Clean!F:F,A4)</f>
        <v>7650</v>
      </c>
      <c r="C4" s="50">
        <f t="shared" si="0"/>
        <v>91800</v>
      </c>
      <c r="D4" s="44">
        <f>COUNTIFS(revenue_Clean!F:F,A4)</f>
        <v>30</v>
      </c>
      <c r="E4" s="44">
        <f>COUNTIFS(customer_clean!G:G,"Churned",customer_clean!H:H,A4)</f>
        <v>0</v>
      </c>
      <c r="F4" s="51">
        <f t="shared" ref="F4:F19" si="4">E4/D3</f>
        <v>0</v>
      </c>
      <c r="G4" s="50">
        <f>AVERAGE(customer_clean!E:E)</f>
        <v>110.11</v>
      </c>
      <c r="H4" s="50">
        <f t="shared" si="1"/>
        <v>255</v>
      </c>
      <c r="I4" s="50">
        <f t="shared" si="2"/>
        <v>0</v>
      </c>
      <c r="J4" s="51">
        <f t="shared" ref="J4:J19" si="5">(D4-D3)/D4</f>
        <v>0.43333333333333335</v>
      </c>
      <c r="K4" s="44">
        <f t="shared" ref="K4:K19" si="6">D4-D3+E4</f>
        <v>13</v>
      </c>
      <c r="L4" s="44">
        <f t="shared" ref="L4:L19" si="7">I4/G4</f>
        <v>0</v>
      </c>
      <c r="M4" s="52">
        <f t="shared" si="3"/>
        <v>0</v>
      </c>
    </row>
    <row r="5" spans="1:13" x14ac:dyDescent="0.35">
      <c r="A5" s="49">
        <v>45383</v>
      </c>
      <c r="B5" s="50">
        <f>SUMIFS(revenue_Clean!C:C,revenue_Clean!F:F,A5)</f>
        <v>9600</v>
      </c>
      <c r="C5" s="50">
        <f t="shared" si="0"/>
        <v>115200</v>
      </c>
      <c r="D5" s="44">
        <f>COUNTIFS(revenue_Clean!F:F,A5)</f>
        <v>39</v>
      </c>
      <c r="E5" s="44">
        <f>COUNTIFS(customer_clean!G:G,"Churned",customer_clean!H:H,A5)</f>
        <v>1</v>
      </c>
      <c r="F5" s="51">
        <f t="shared" si="4"/>
        <v>3.3333333333333333E-2</v>
      </c>
      <c r="G5" s="50">
        <f>AVERAGE(customer_clean!E:E)</f>
        <v>110.11</v>
      </c>
      <c r="H5" s="50">
        <f t="shared" si="1"/>
        <v>246.15384615384616</v>
      </c>
      <c r="I5" s="50">
        <f t="shared" si="2"/>
        <v>7384.6153846153848</v>
      </c>
      <c r="J5" s="51">
        <f t="shared" si="5"/>
        <v>0.23076923076923078</v>
      </c>
      <c r="K5" s="44">
        <f t="shared" si="6"/>
        <v>10</v>
      </c>
      <c r="L5" s="44">
        <f t="shared" si="7"/>
        <v>67.065801331535596</v>
      </c>
      <c r="M5" s="52">
        <f t="shared" si="3"/>
        <v>246.15384615384616</v>
      </c>
    </row>
    <row r="6" spans="1:13" x14ac:dyDescent="0.35">
      <c r="A6" s="49">
        <v>45413</v>
      </c>
      <c r="B6" s="50">
        <f>SUMIFS(revenue_Clean!C:C,revenue_Clean!F:F,A6)</f>
        <v>11750</v>
      </c>
      <c r="C6" s="50">
        <f t="shared" si="0"/>
        <v>141000</v>
      </c>
      <c r="D6" s="44">
        <f>COUNTIFS(revenue_Clean!F:F,A6)</f>
        <v>49</v>
      </c>
      <c r="E6" s="44">
        <f>COUNTIFS(customer_clean!G:G,"Churned",customer_clean!H:H,A6)</f>
        <v>2</v>
      </c>
      <c r="F6" s="51">
        <f t="shared" si="4"/>
        <v>5.128205128205128E-2</v>
      </c>
      <c r="G6" s="50">
        <f>AVERAGE(customer_clean!E:E)</f>
        <v>110.11</v>
      </c>
      <c r="H6" s="50">
        <f t="shared" si="1"/>
        <v>239.79591836734693</v>
      </c>
      <c r="I6" s="50">
        <f>IF(F6=0,0,H6/F6)</f>
        <v>4676.0204081632655</v>
      </c>
      <c r="J6" s="51">
        <f t="shared" si="5"/>
        <v>0.20408163265306123</v>
      </c>
      <c r="K6" s="44">
        <f t="shared" si="6"/>
        <v>12</v>
      </c>
      <c r="L6" s="44">
        <f t="shared" si="7"/>
        <v>42.46680962821965</v>
      </c>
      <c r="M6" s="52">
        <f t="shared" si="3"/>
        <v>479.59183673469386</v>
      </c>
    </row>
    <row r="7" spans="1:13" x14ac:dyDescent="0.35">
      <c r="A7" s="49">
        <v>45444</v>
      </c>
      <c r="B7" s="50">
        <f>SUMIFS(revenue_Clean!C:C,revenue_Clean!F:F,A7)</f>
        <v>12700</v>
      </c>
      <c r="C7" s="50">
        <f t="shared" si="0"/>
        <v>152400</v>
      </c>
      <c r="D7" s="44">
        <f>COUNTIFS(revenue_Clean!F:F,A7)</f>
        <v>53</v>
      </c>
      <c r="E7" s="44">
        <f>COUNTIFS(customer_clean!G:G,"Churned",customer_clean!H:H,A7)</f>
        <v>5</v>
      </c>
      <c r="F7" s="51">
        <f t="shared" si="4"/>
        <v>0.10204081632653061</v>
      </c>
      <c r="G7" s="50">
        <f>AVERAGE(customer_clean!E:E)</f>
        <v>110.11</v>
      </c>
      <c r="H7" s="50">
        <f t="shared" si="1"/>
        <v>239.62264150943398</v>
      </c>
      <c r="I7" s="50">
        <f t="shared" si="2"/>
        <v>2348.3018867924529</v>
      </c>
      <c r="J7" s="51">
        <f t="shared" si="5"/>
        <v>7.5471698113207544E-2</v>
      </c>
      <c r="K7" s="44">
        <f t="shared" si="6"/>
        <v>9</v>
      </c>
      <c r="L7" s="44">
        <f t="shared" si="7"/>
        <v>21.326872098741738</v>
      </c>
      <c r="M7" s="52">
        <f t="shared" si="3"/>
        <v>1198.1132075471698</v>
      </c>
    </row>
    <row r="8" spans="1:13" x14ac:dyDescent="0.35">
      <c r="A8" s="49">
        <v>45474</v>
      </c>
      <c r="B8" s="50">
        <f>SUMIFS(revenue_Clean!C:C,revenue_Clean!F:F,A8)</f>
        <v>15900</v>
      </c>
      <c r="C8" s="50">
        <f t="shared" si="0"/>
        <v>190800</v>
      </c>
      <c r="D8" s="44">
        <f>COUNTIFS(revenue_Clean!F:F,A8)</f>
        <v>60</v>
      </c>
      <c r="E8" s="44">
        <f>COUNTIFS(customer_clean!G:G,"Churned",customer_clean!H:H,A8)</f>
        <v>4</v>
      </c>
      <c r="F8" s="51">
        <f t="shared" si="4"/>
        <v>7.5471698113207544E-2</v>
      </c>
      <c r="G8" s="50">
        <f>AVERAGE(customer_clean!E:E)</f>
        <v>110.11</v>
      </c>
      <c r="H8" s="50">
        <f t="shared" si="1"/>
        <v>265</v>
      </c>
      <c r="I8" s="50">
        <f t="shared" si="2"/>
        <v>3511.25</v>
      </c>
      <c r="J8" s="51">
        <f t="shared" si="5"/>
        <v>0.11666666666666667</v>
      </c>
      <c r="K8" s="44">
        <f t="shared" si="6"/>
        <v>11</v>
      </c>
      <c r="L8" s="44">
        <f t="shared" si="7"/>
        <v>31.888565979475072</v>
      </c>
      <c r="M8" s="52">
        <f t="shared" si="3"/>
        <v>1060</v>
      </c>
    </row>
    <row r="9" spans="1:13" x14ac:dyDescent="0.35">
      <c r="A9" s="49">
        <v>45505</v>
      </c>
      <c r="B9" s="50">
        <f>SUMIFS(revenue_Clean!C:C,revenue_Clean!F:F,A9)</f>
        <v>17800</v>
      </c>
      <c r="C9" s="50">
        <f t="shared" si="0"/>
        <v>213600</v>
      </c>
      <c r="D9" s="44">
        <f>COUNTIFS(revenue_Clean!F:F,A9)</f>
        <v>65</v>
      </c>
      <c r="E9" s="44">
        <f>COUNTIFS(customer_clean!G:G,"Churned",customer_clean!H:H,A9)</f>
        <v>4</v>
      </c>
      <c r="F9" s="51">
        <f t="shared" si="4"/>
        <v>6.6666666666666666E-2</v>
      </c>
      <c r="G9" s="50">
        <f>AVERAGE(customer_clean!E:E)</f>
        <v>110.11</v>
      </c>
      <c r="H9" s="50">
        <f t="shared" si="1"/>
        <v>273.84615384615387</v>
      </c>
      <c r="I9" s="50">
        <f t="shared" si="2"/>
        <v>4107.6923076923085</v>
      </c>
      <c r="J9" s="51">
        <f t="shared" si="5"/>
        <v>7.6923076923076927E-2</v>
      </c>
      <c r="K9" s="44">
        <f t="shared" si="6"/>
        <v>9</v>
      </c>
      <c r="L9" s="44">
        <f t="shared" si="7"/>
        <v>37.305351990666686</v>
      </c>
      <c r="M9" s="52">
        <f t="shared" si="3"/>
        <v>1095.3846153846155</v>
      </c>
    </row>
    <row r="10" spans="1:13" x14ac:dyDescent="0.35">
      <c r="A10" s="49">
        <v>45536</v>
      </c>
      <c r="B10" s="50">
        <f>SUMIFS(revenue_Clean!C:C,revenue_Clean!F:F,A10)</f>
        <v>17150</v>
      </c>
      <c r="C10" s="50">
        <f t="shared" si="0"/>
        <v>205800</v>
      </c>
      <c r="D10" s="44">
        <f>COUNTIFS(revenue_Clean!F:F,A10)</f>
        <v>64</v>
      </c>
      <c r="E10" s="44">
        <f>COUNTIFS(customer_clean!G:G,"Churned",customer_clean!H:H,A10)</f>
        <v>6</v>
      </c>
      <c r="F10" s="51">
        <f t="shared" si="4"/>
        <v>9.2307692307692313E-2</v>
      </c>
      <c r="G10" s="50">
        <f>AVERAGE(customer_clean!E:E)</f>
        <v>110.11</v>
      </c>
      <c r="H10" s="50">
        <f t="shared" si="1"/>
        <v>267.96875</v>
      </c>
      <c r="I10" s="50">
        <f>IF(F10=0,0,H10/F10)</f>
        <v>2902.9947916666665</v>
      </c>
      <c r="J10" s="51">
        <f t="shared" si="5"/>
        <v>-1.5625E-2</v>
      </c>
      <c r="K10" s="44">
        <f t="shared" si="6"/>
        <v>5</v>
      </c>
      <c r="L10" s="44">
        <f t="shared" si="7"/>
        <v>26.364497245179063</v>
      </c>
      <c r="M10" s="52">
        <f t="shared" si="3"/>
        <v>1607.8125</v>
      </c>
    </row>
    <row r="11" spans="1:13" x14ac:dyDescent="0.35">
      <c r="A11" s="49">
        <v>45566</v>
      </c>
      <c r="B11" s="50">
        <f>SUMIFS(revenue_Clean!C:C,revenue_Clean!F:F,A11)</f>
        <v>18750</v>
      </c>
      <c r="C11" s="50">
        <f t="shared" si="0"/>
        <v>225000</v>
      </c>
      <c r="D11" s="44">
        <f>COUNTIFS(revenue_Clean!F:F,A11)</f>
        <v>72</v>
      </c>
      <c r="E11" s="44">
        <f>COUNTIFS(customer_clean!G:G,"Churned",customer_clean!H:H,A11)</f>
        <v>6</v>
      </c>
      <c r="F11" s="51">
        <f t="shared" si="4"/>
        <v>9.375E-2</v>
      </c>
      <c r="G11" s="50">
        <f>AVERAGE(customer_clean!E:E)</f>
        <v>110.11</v>
      </c>
      <c r="H11" s="50">
        <f t="shared" si="1"/>
        <v>260.41666666666669</v>
      </c>
      <c r="I11" s="50">
        <f t="shared" si="2"/>
        <v>2777.7777777777778</v>
      </c>
      <c r="J11" s="51">
        <f t="shared" si="5"/>
        <v>0.1111111111111111</v>
      </c>
      <c r="K11" s="44">
        <f t="shared" si="6"/>
        <v>14</v>
      </c>
      <c r="L11" s="44">
        <f t="shared" si="7"/>
        <v>25.227297954570684</v>
      </c>
      <c r="M11" s="52">
        <f t="shared" si="3"/>
        <v>1562.5</v>
      </c>
    </row>
    <row r="12" spans="1:13" x14ac:dyDescent="0.35">
      <c r="A12" s="49">
        <v>45597</v>
      </c>
      <c r="B12" s="50">
        <f>SUMIFS(revenue_Clean!C:C,revenue_Clean!F:F,A12)</f>
        <v>17900</v>
      </c>
      <c r="C12" s="50">
        <f t="shared" si="0"/>
        <v>214800</v>
      </c>
      <c r="D12" s="44">
        <f>COUNTIFS(revenue_Clean!F:F,A12)</f>
        <v>70</v>
      </c>
      <c r="E12" s="44">
        <f>COUNTIFS(customer_clean!G:G,"Churned",customer_clean!H:H,A12)</f>
        <v>8</v>
      </c>
      <c r="F12" s="51">
        <f t="shared" si="4"/>
        <v>0.1111111111111111</v>
      </c>
      <c r="G12" s="50">
        <f>AVERAGE(customer_clean!E:E)</f>
        <v>110.11</v>
      </c>
      <c r="H12" s="50">
        <f t="shared" si="1"/>
        <v>255.71428571428572</v>
      </c>
      <c r="I12" s="50">
        <f t="shared" si="2"/>
        <v>2301.4285714285716</v>
      </c>
      <c r="J12" s="51">
        <f t="shared" si="5"/>
        <v>-2.8571428571428571E-2</v>
      </c>
      <c r="K12" s="44">
        <f t="shared" si="6"/>
        <v>6</v>
      </c>
      <c r="L12" s="44">
        <f t="shared" si="7"/>
        <v>20.901176745332592</v>
      </c>
      <c r="M12" s="52">
        <f t="shared" si="3"/>
        <v>2045.7142857142858</v>
      </c>
    </row>
    <row r="13" spans="1:13" x14ac:dyDescent="0.35">
      <c r="A13" s="49">
        <v>45627</v>
      </c>
      <c r="B13" s="50">
        <f>SUMIFS(revenue_Clean!C:C,revenue_Clean!F:F,A13)</f>
        <v>19300</v>
      </c>
      <c r="C13" s="50">
        <f t="shared" si="0"/>
        <v>231600</v>
      </c>
      <c r="D13" s="44">
        <f>COUNTIFS(revenue_Clean!F:F,A13)</f>
        <v>74</v>
      </c>
      <c r="E13" s="44">
        <f>COUNTIFS(customer_clean!G:G,"Churned",customer_clean!H:H,A13)</f>
        <v>6</v>
      </c>
      <c r="F13" s="51">
        <f t="shared" si="4"/>
        <v>8.5714285714285715E-2</v>
      </c>
      <c r="G13" s="50">
        <f>AVERAGE(customer_clean!E:E)</f>
        <v>110.11</v>
      </c>
      <c r="H13" s="50">
        <f t="shared" si="1"/>
        <v>260.81081081081084</v>
      </c>
      <c r="I13" s="50">
        <f t="shared" si="2"/>
        <v>3042.7927927927931</v>
      </c>
      <c r="J13" s="51">
        <f t="shared" si="5"/>
        <v>5.4054054054054057E-2</v>
      </c>
      <c r="K13" s="44">
        <f t="shared" si="6"/>
        <v>10</v>
      </c>
      <c r="L13" s="44">
        <f t="shared" si="7"/>
        <v>27.634118543209453</v>
      </c>
      <c r="M13" s="52">
        <f t="shared" si="3"/>
        <v>1564.864864864865</v>
      </c>
    </row>
    <row r="14" spans="1:13" x14ac:dyDescent="0.35">
      <c r="A14" s="49">
        <v>45658</v>
      </c>
      <c r="B14" s="50">
        <f>SUMIFS(revenue_Clean!C:C,revenue_Clean!F:F,A14)</f>
        <v>20800</v>
      </c>
      <c r="C14" s="50">
        <f t="shared" si="0"/>
        <v>249600</v>
      </c>
      <c r="D14" s="44">
        <f>COUNTIFS(revenue_Clean!F:F,A14)</f>
        <v>80</v>
      </c>
      <c r="E14" s="44">
        <f>COUNTIFS(customer_clean!G:G,"Churned",customer_clean!H:H,A14)</f>
        <v>6</v>
      </c>
      <c r="F14" s="51">
        <f t="shared" si="4"/>
        <v>8.1081081081081086E-2</v>
      </c>
      <c r="G14" s="50">
        <f>AVERAGE(customer_clean!E:E)</f>
        <v>110.11</v>
      </c>
      <c r="H14" s="50">
        <f t="shared" si="1"/>
        <v>260</v>
      </c>
      <c r="I14" s="50">
        <f t="shared" si="2"/>
        <v>3206.6666666666665</v>
      </c>
      <c r="J14" s="51">
        <f t="shared" si="5"/>
        <v>7.4999999999999997E-2</v>
      </c>
      <c r="K14" s="44">
        <f t="shared" si="6"/>
        <v>12</v>
      </c>
      <c r="L14" s="44">
        <f t="shared" si="7"/>
        <v>29.122392758756394</v>
      </c>
      <c r="M14" s="52">
        <f t="shared" si="3"/>
        <v>1560</v>
      </c>
    </row>
    <row r="15" spans="1:13" x14ac:dyDescent="0.35">
      <c r="A15" s="49">
        <v>45689</v>
      </c>
      <c r="B15" s="50">
        <f>SUMIFS(revenue_Clean!C:C,revenue_Clean!F:F,A15)</f>
        <v>22500</v>
      </c>
      <c r="C15" s="50">
        <f t="shared" si="0"/>
        <v>270000</v>
      </c>
      <c r="D15" s="44">
        <f>COUNTIFS(revenue_Clean!F:F,A15)</f>
        <v>87</v>
      </c>
      <c r="E15" s="44">
        <f>COUNTIFS(customer_clean!G:G,"Churned",customer_clean!H:H,A15)</f>
        <v>6</v>
      </c>
      <c r="F15" s="51">
        <f t="shared" si="4"/>
        <v>7.4999999999999997E-2</v>
      </c>
      <c r="G15" s="50">
        <f>AVERAGE(customer_clean!E:E)</f>
        <v>110.11</v>
      </c>
      <c r="H15" s="50">
        <f t="shared" si="1"/>
        <v>258.62068965517244</v>
      </c>
      <c r="I15" s="50">
        <f t="shared" si="2"/>
        <v>3448.275862068966</v>
      </c>
      <c r="J15" s="51">
        <f t="shared" si="5"/>
        <v>8.0459770114942528E-2</v>
      </c>
      <c r="K15" s="44">
        <f t="shared" si="6"/>
        <v>13</v>
      </c>
      <c r="L15" s="44">
        <f t="shared" si="7"/>
        <v>31.316645736708438</v>
      </c>
      <c r="M15" s="52">
        <f t="shared" si="3"/>
        <v>1551.7241379310346</v>
      </c>
    </row>
    <row r="16" spans="1:13" x14ac:dyDescent="0.35">
      <c r="A16" s="49">
        <v>45717</v>
      </c>
      <c r="B16" s="50">
        <f>SUMIFS(revenue_Clean!C:C,revenue_Clean!F:F,A16)</f>
        <v>21150</v>
      </c>
      <c r="C16" s="50">
        <f t="shared" si="0"/>
        <v>253800</v>
      </c>
      <c r="D16" s="44">
        <f>COUNTIFS(revenue_Clean!F:F,A16)</f>
        <v>87</v>
      </c>
      <c r="E16" s="44">
        <f>COUNTIFS(customer_clean!G:G,"Churned",customer_clean!H:H,A16)</f>
        <v>26</v>
      </c>
      <c r="F16" s="51">
        <f t="shared" si="4"/>
        <v>0.2988505747126437</v>
      </c>
      <c r="G16" s="50">
        <f>AVERAGE(customer_clean!E:E)</f>
        <v>110.11</v>
      </c>
      <c r="H16" s="50">
        <f t="shared" si="1"/>
        <v>243.10344827586206</v>
      </c>
      <c r="I16" s="50">
        <f t="shared" si="2"/>
        <v>813.46153846153834</v>
      </c>
      <c r="J16" s="51">
        <f t="shared" si="5"/>
        <v>0</v>
      </c>
      <c r="K16" s="44">
        <f t="shared" si="6"/>
        <v>26</v>
      </c>
      <c r="L16" s="44">
        <f t="shared" si="7"/>
        <v>7.3877171779269668</v>
      </c>
      <c r="M16" s="52">
        <f t="shared" si="3"/>
        <v>6320.6896551724139</v>
      </c>
    </row>
    <row r="17" spans="1:17" x14ac:dyDescent="0.35">
      <c r="A17" s="49">
        <v>45748</v>
      </c>
      <c r="B17" s="50">
        <f>SUMIFS(revenue_Clean!C:C,revenue_Clean!F:F,A17)</f>
        <v>15600</v>
      </c>
      <c r="C17" s="50">
        <f t="shared" si="0"/>
        <v>187200</v>
      </c>
      <c r="D17" s="44">
        <f>COUNTIFS(revenue_Clean!F:F,A17)</f>
        <v>66</v>
      </c>
      <c r="E17" s="44">
        <f>COUNTIFS(customer_clean!G:G,"Churned",customer_clean!H:H,A17)</f>
        <v>23</v>
      </c>
      <c r="F17" s="51">
        <f t="shared" si="4"/>
        <v>0.26436781609195403</v>
      </c>
      <c r="G17" s="50">
        <f>AVERAGE(customer_clean!E:E)</f>
        <v>110.11</v>
      </c>
      <c r="H17" s="50">
        <f t="shared" si="1"/>
        <v>236.36363636363637</v>
      </c>
      <c r="I17" s="50">
        <f t="shared" si="2"/>
        <v>894.07114624505925</v>
      </c>
      <c r="J17" s="51">
        <f t="shared" si="5"/>
        <v>-0.31818181818181818</v>
      </c>
      <c r="K17" s="44">
        <f t="shared" si="6"/>
        <v>2</v>
      </c>
      <c r="L17" s="44">
        <f t="shared" si="7"/>
        <v>8.1197997116071132</v>
      </c>
      <c r="M17" s="52">
        <f t="shared" si="3"/>
        <v>5436.3636363636369</v>
      </c>
    </row>
    <row r="18" spans="1:17" x14ac:dyDescent="0.35">
      <c r="A18" s="49">
        <v>45778</v>
      </c>
      <c r="B18" s="50">
        <f>SUMIFS(revenue_Clean!C:C,revenue_Clean!F:F,A18)</f>
        <v>10900</v>
      </c>
      <c r="C18" s="50">
        <f t="shared" si="0"/>
        <v>130800</v>
      </c>
      <c r="D18" s="44">
        <f>COUNTIFS(revenue_Clean!F:F,A18)</f>
        <v>44</v>
      </c>
      <c r="E18" s="44">
        <f>COUNTIFS(customer_clean!G:G,"Churned",customer_clean!H:H,A18)</f>
        <v>23</v>
      </c>
      <c r="F18" s="51">
        <f t="shared" si="4"/>
        <v>0.34848484848484851</v>
      </c>
      <c r="G18" s="50">
        <f>AVERAGE(customer_clean!E:E)</f>
        <v>110.11</v>
      </c>
      <c r="H18" s="50">
        <f t="shared" si="1"/>
        <v>247.72727272727272</v>
      </c>
      <c r="I18" s="50">
        <f t="shared" si="2"/>
        <v>710.86956521739125</v>
      </c>
      <c r="J18" s="51">
        <f t="shared" si="5"/>
        <v>-0.5</v>
      </c>
      <c r="K18" s="44">
        <f t="shared" si="6"/>
        <v>1</v>
      </c>
      <c r="L18" s="44">
        <f t="shared" si="7"/>
        <v>6.4559945982870879</v>
      </c>
      <c r="M18" s="52">
        <f t="shared" si="3"/>
        <v>5697.727272727273</v>
      </c>
    </row>
    <row r="19" spans="1:17" ht="15" thickBot="1" x14ac:dyDescent="0.4">
      <c r="A19" s="53">
        <v>45809</v>
      </c>
      <c r="B19" s="54">
        <f>SUMIFS(revenue_Clean!C:C,revenue_Clean!F:F,A19)</f>
        <v>3900</v>
      </c>
      <c r="C19" s="54">
        <f t="shared" si="0"/>
        <v>46800</v>
      </c>
      <c r="D19" s="55">
        <f>COUNTIFS(revenue_Clean!F:F,A19)</f>
        <v>21</v>
      </c>
      <c r="E19" s="55">
        <f>COUNTIFS(customer_clean!G:G,"Churned",customer_clean!H:H,A19)</f>
        <v>41</v>
      </c>
      <c r="F19" s="56">
        <f t="shared" si="4"/>
        <v>0.93181818181818177</v>
      </c>
      <c r="G19" s="54">
        <f>AVERAGE(customer_clean!E:E)</f>
        <v>110.11</v>
      </c>
      <c r="H19" s="54">
        <f t="shared" si="1"/>
        <v>185.71428571428572</v>
      </c>
      <c r="I19" s="54">
        <f t="shared" si="2"/>
        <v>199.30313588850177</v>
      </c>
      <c r="J19" s="56">
        <f t="shared" si="5"/>
        <v>-1.0952380952380953</v>
      </c>
      <c r="K19" s="55">
        <f t="shared" si="6"/>
        <v>18</v>
      </c>
      <c r="L19" s="55">
        <f t="shared" si="7"/>
        <v>1.8100366532422285</v>
      </c>
      <c r="M19" s="57">
        <f t="shared" si="3"/>
        <v>7614.2857142857147</v>
      </c>
      <c r="O19" s="20"/>
      <c r="P19" s="21"/>
      <c r="Q19" s="22"/>
    </row>
    <row r="20" spans="1:17" x14ac:dyDescent="0.35">
      <c r="A20"/>
      <c r="O20" s="23"/>
      <c r="Q20" s="24"/>
    </row>
    <row r="21" spans="1:17" x14ac:dyDescent="0.35">
      <c r="A21"/>
      <c r="O21" s="23"/>
      <c r="Q21" s="24"/>
    </row>
    <row r="22" spans="1:17" x14ac:dyDescent="0.35">
      <c r="A22"/>
      <c r="O22" s="25"/>
      <c r="P22" s="26"/>
      <c r="Q22" s="27"/>
    </row>
    <row r="23" spans="1:17" x14ac:dyDescent="0.35">
      <c r="A23"/>
    </row>
    <row r="24" spans="1:17" ht="16" x14ac:dyDescent="0.4">
      <c r="A24" s="46" t="s">
        <v>42</v>
      </c>
      <c r="B24" s="47" t="s">
        <v>53</v>
      </c>
      <c r="C24" s="47" t="s">
        <v>54</v>
      </c>
      <c r="D24" s="47" t="s">
        <v>55</v>
      </c>
      <c r="E24" s="47" t="s">
        <v>56</v>
      </c>
      <c r="F24" s="47" t="s">
        <v>57</v>
      </c>
      <c r="G24" s="47" t="s">
        <v>58</v>
      </c>
      <c r="H24" s="47" t="s">
        <v>59</v>
      </c>
      <c r="I24" s="47" t="s">
        <v>60</v>
      </c>
      <c r="J24" s="47" t="s">
        <v>61</v>
      </c>
      <c r="K24" s="47" t="s">
        <v>62</v>
      </c>
      <c r="L24" s="47" t="s">
        <v>63</v>
      </c>
      <c r="M24" s="48" t="s">
        <v>64</v>
      </c>
    </row>
    <row r="25" spans="1:17" x14ac:dyDescent="0.35">
      <c r="A25" s="49">
        <v>45292</v>
      </c>
      <c r="B25" s="44">
        <f>COUNTIFS(subs_clean!$C:$C,KPIs!A25,subs_clean!$E:$E,"Pro")</f>
        <v>3</v>
      </c>
      <c r="C25" s="44">
        <f>COUNTIFS(subs_clean!$C:$C,$A$25,subs_clean!$E:$E,"Enterprise")</f>
        <v>2</v>
      </c>
      <c r="D25" s="44">
        <f>COUNTIFS(subs_clean!$C:$C,$A$25,subs_clean!$E:$E,"Basic")</f>
        <v>5</v>
      </c>
      <c r="E25" s="44">
        <f>B25*200</f>
        <v>600</v>
      </c>
      <c r="F25" s="44">
        <f>C25*50</f>
        <v>100</v>
      </c>
      <c r="G25" s="44">
        <f>D25*500</f>
        <v>2500</v>
      </c>
      <c r="H25" s="44">
        <f>B25*100</f>
        <v>300</v>
      </c>
      <c r="I25" s="44">
        <f>C25*30</f>
        <v>60</v>
      </c>
      <c r="J25" s="44">
        <f>200*D25</f>
        <v>1000</v>
      </c>
      <c r="K25" s="58">
        <f>B25/(SUM(B25:D25))</f>
        <v>0.3</v>
      </c>
      <c r="L25" s="58">
        <f>C25/(SUM(B25:D25))</f>
        <v>0.2</v>
      </c>
      <c r="M25" s="59">
        <f>D25/SUM(B25:D25)</f>
        <v>0.5</v>
      </c>
    </row>
    <row r="26" spans="1:17" x14ac:dyDescent="0.35">
      <c r="A26" s="49">
        <v>45323</v>
      </c>
      <c r="B26" s="44">
        <f>COUNTIFS(subs_clean!$C:$C,KPIs!A26,subs_clean!$E:$E,"Pro")</f>
        <v>4</v>
      </c>
      <c r="C26" s="44">
        <f>COUNTIFS(subs_clean!$C:$C,$A26,subs_clean!$E:$E,"Basic")</f>
        <v>6</v>
      </c>
      <c r="D26" s="44">
        <f>COUNTIFS(subs_clean!$C:$C,A26,subs_clean!$E:$E,"Basic")</f>
        <v>6</v>
      </c>
      <c r="E26" s="44">
        <f t="shared" ref="E26:E42" si="8">B26*200</f>
        <v>800</v>
      </c>
      <c r="F26" s="44">
        <f t="shared" ref="F26:F42" si="9">C26*50</f>
        <v>300</v>
      </c>
      <c r="G26" s="44">
        <f t="shared" ref="G26:G42" si="10">D26*500</f>
        <v>3000</v>
      </c>
      <c r="H26" s="44">
        <f t="shared" ref="H26:H42" si="11">B26*100</f>
        <v>400</v>
      </c>
      <c r="I26" s="44">
        <f t="shared" ref="I26:I42" si="12">C26*30</f>
        <v>180</v>
      </c>
      <c r="J26" s="44">
        <f t="shared" ref="J26:J42" si="13">200*D26</f>
        <v>1200</v>
      </c>
      <c r="K26" s="58">
        <f t="shared" ref="K26:K42" si="14">B26/(SUM(B26:D26))</f>
        <v>0.25</v>
      </c>
      <c r="L26" s="58">
        <f t="shared" ref="L26:L42" si="15">C26/(SUM(B26:D26))</f>
        <v>0.375</v>
      </c>
      <c r="M26" s="59">
        <f t="shared" ref="M26:M42" si="16">D26/SUM(B26:D26)</f>
        <v>0.375</v>
      </c>
    </row>
    <row r="27" spans="1:17" x14ac:dyDescent="0.35">
      <c r="A27" s="49">
        <v>45352</v>
      </c>
      <c r="B27" s="44">
        <f>COUNTIFS(subs_clean!$C:$C,KPIs!A27,subs_clean!$E:$E,"Pro")</f>
        <v>11</v>
      </c>
      <c r="C27" s="44">
        <f>COUNTIFS(subs_clean!$C:$C,$A27,subs_clean!$E:$E,"Basic")</f>
        <v>9</v>
      </c>
      <c r="D27" s="44">
        <f>COUNTIFS(subs_clean!$C:$C,A27,subs_clean!$E:$E,"Basic")</f>
        <v>9</v>
      </c>
      <c r="E27" s="44">
        <f t="shared" si="8"/>
        <v>2200</v>
      </c>
      <c r="F27" s="44">
        <f t="shared" si="9"/>
        <v>450</v>
      </c>
      <c r="G27" s="44">
        <f t="shared" si="10"/>
        <v>4500</v>
      </c>
      <c r="H27" s="44">
        <f t="shared" si="11"/>
        <v>1100</v>
      </c>
      <c r="I27" s="44">
        <f t="shared" si="12"/>
        <v>270</v>
      </c>
      <c r="J27" s="44">
        <f t="shared" si="13"/>
        <v>1800</v>
      </c>
      <c r="K27" s="58">
        <f t="shared" si="14"/>
        <v>0.37931034482758619</v>
      </c>
      <c r="L27" s="58">
        <f t="shared" si="15"/>
        <v>0.31034482758620691</v>
      </c>
      <c r="M27" s="59">
        <f t="shared" si="16"/>
        <v>0.31034482758620691</v>
      </c>
    </row>
    <row r="28" spans="1:17" x14ac:dyDescent="0.35">
      <c r="A28" s="49">
        <v>45383</v>
      </c>
      <c r="B28" s="44">
        <f>COUNTIFS(subs_clean!$C:$C,KPIs!A28,subs_clean!$E:$E,"Pro")</f>
        <v>15</v>
      </c>
      <c r="C28" s="44">
        <f>COUNTIFS(subs_clean!$C:$C,$A28,subs_clean!$E:$E,"Basic")</f>
        <v>12</v>
      </c>
      <c r="D28" s="44">
        <f>COUNTIFS(subs_clean!$C:$C,A28,subs_clean!$E:$E,"Basic")</f>
        <v>12</v>
      </c>
      <c r="E28" s="44">
        <f t="shared" si="8"/>
        <v>3000</v>
      </c>
      <c r="F28" s="44">
        <f t="shared" si="9"/>
        <v>600</v>
      </c>
      <c r="G28" s="44">
        <f t="shared" si="10"/>
        <v>6000</v>
      </c>
      <c r="H28" s="44">
        <f t="shared" si="11"/>
        <v>1500</v>
      </c>
      <c r="I28" s="44">
        <f t="shared" si="12"/>
        <v>360</v>
      </c>
      <c r="J28" s="44">
        <f t="shared" si="13"/>
        <v>2400</v>
      </c>
      <c r="K28" s="58">
        <f t="shared" si="14"/>
        <v>0.38461538461538464</v>
      </c>
      <c r="L28" s="58">
        <f t="shared" si="15"/>
        <v>0.30769230769230771</v>
      </c>
      <c r="M28" s="59">
        <f t="shared" si="16"/>
        <v>0.30769230769230771</v>
      </c>
    </row>
    <row r="29" spans="1:17" x14ac:dyDescent="0.35">
      <c r="A29" s="49">
        <v>45413</v>
      </c>
      <c r="B29" s="44">
        <f>COUNTIFS(subs_clean!$C:$C,KPIs!A29,subs_clean!$E:$E,"Pro")</f>
        <v>20</v>
      </c>
      <c r="C29" s="44">
        <f>COUNTIFS(subs_clean!$C:$C,$A29,subs_clean!$E:$E,"Basic")</f>
        <v>15</v>
      </c>
      <c r="D29" s="44">
        <f>COUNTIFS(subs_clean!$C:$C,A29,subs_clean!$E:$E,"Basic")</f>
        <v>15</v>
      </c>
      <c r="E29" s="44">
        <f t="shared" si="8"/>
        <v>4000</v>
      </c>
      <c r="F29" s="44">
        <f t="shared" si="9"/>
        <v>750</v>
      </c>
      <c r="G29" s="44">
        <f t="shared" si="10"/>
        <v>7500</v>
      </c>
      <c r="H29" s="44">
        <f t="shared" si="11"/>
        <v>2000</v>
      </c>
      <c r="I29" s="44">
        <f t="shared" si="12"/>
        <v>450</v>
      </c>
      <c r="J29" s="44">
        <f t="shared" si="13"/>
        <v>3000</v>
      </c>
      <c r="K29" s="58">
        <f t="shared" si="14"/>
        <v>0.4</v>
      </c>
      <c r="L29" s="58">
        <f t="shared" si="15"/>
        <v>0.3</v>
      </c>
      <c r="M29" s="59">
        <f t="shared" si="16"/>
        <v>0.3</v>
      </c>
    </row>
    <row r="30" spans="1:17" x14ac:dyDescent="0.35">
      <c r="A30" s="49">
        <v>45444</v>
      </c>
      <c r="B30" s="44">
        <f>COUNTIFS(subs_clean!$C:$C,KPIs!A30,subs_clean!$E:$E,"Pro")</f>
        <v>22</v>
      </c>
      <c r="C30" s="44">
        <f>COUNTIFS(subs_clean!$C:$C,$A30,subs_clean!$E:$E,"Basic")</f>
        <v>16</v>
      </c>
      <c r="D30" s="44">
        <f>COUNTIFS(subs_clean!$C:$C,A30,subs_clean!$E:$E,"Basic")</f>
        <v>16</v>
      </c>
      <c r="E30" s="44">
        <f t="shared" si="8"/>
        <v>4400</v>
      </c>
      <c r="F30" s="44">
        <f t="shared" si="9"/>
        <v>800</v>
      </c>
      <c r="G30" s="44">
        <f t="shared" si="10"/>
        <v>8000</v>
      </c>
      <c r="H30" s="44">
        <f t="shared" si="11"/>
        <v>2200</v>
      </c>
      <c r="I30" s="44">
        <f t="shared" si="12"/>
        <v>480</v>
      </c>
      <c r="J30" s="44">
        <f t="shared" si="13"/>
        <v>3200</v>
      </c>
      <c r="K30" s="58">
        <f t="shared" si="14"/>
        <v>0.40740740740740738</v>
      </c>
      <c r="L30" s="58">
        <f t="shared" si="15"/>
        <v>0.29629629629629628</v>
      </c>
      <c r="M30" s="59">
        <f t="shared" si="16"/>
        <v>0.29629629629629628</v>
      </c>
    </row>
    <row r="31" spans="1:17" x14ac:dyDescent="0.35">
      <c r="A31" s="49">
        <v>45474</v>
      </c>
      <c r="B31" s="44">
        <f>COUNTIFS(subs_clean!$C:$C,KPIs!A31,subs_clean!$E:$E,"Pro")</f>
        <v>23</v>
      </c>
      <c r="C31" s="44">
        <f>COUNTIFS(subs_clean!$C:$C,$A31,subs_clean!$E:$E,"Basic")</f>
        <v>16</v>
      </c>
      <c r="D31" s="44">
        <f>COUNTIFS(subs_clean!$C:$C,A31,subs_clean!$E:$E,"Basic")</f>
        <v>16</v>
      </c>
      <c r="E31" s="44">
        <f t="shared" si="8"/>
        <v>4600</v>
      </c>
      <c r="F31" s="44">
        <f t="shared" si="9"/>
        <v>800</v>
      </c>
      <c r="G31" s="44">
        <f t="shared" si="10"/>
        <v>8000</v>
      </c>
      <c r="H31" s="44">
        <f t="shared" si="11"/>
        <v>2300</v>
      </c>
      <c r="I31" s="44">
        <f t="shared" si="12"/>
        <v>480</v>
      </c>
      <c r="J31" s="44">
        <f t="shared" si="13"/>
        <v>3200</v>
      </c>
      <c r="K31" s="58">
        <f t="shared" si="14"/>
        <v>0.41818181818181815</v>
      </c>
      <c r="L31" s="58">
        <f t="shared" si="15"/>
        <v>0.29090909090909089</v>
      </c>
      <c r="M31" s="59">
        <f t="shared" si="16"/>
        <v>0.29090909090909089</v>
      </c>
    </row>
    <row r="32" spans="1:17" x14ac:dyDescent="0.35">
      <c r="A32" s="49">
        <v>45505</v>
      </c>
      <c r="B32" s="44">
        <f>COUNTIFS(subs_clean!$C:$C,KPIs!A32,subs_clean!$E:$E,"Pro")</f>
        <v>22</v>
      </c>
      <c r="C32" s="44">
        <f>COUNTIFS(subs_clean!$C:$C,$A32,subs_clean!$E:$E,"Basic")</f>
        <v>18</v>
      </c>
      <c r="D32" s="44">
        <f>COUNTIFS(subs_clean!$C:$C,A32,subs_clean!$E:$E,"Basic")</f>
        <v>18</v>
      </c>
      <c r="E32" s="44">
        <f t="shared" si="8"/>
        <v>4400</v>
      </c>
      <c r="F32" s="44">
        <f t="shared" si="9"/>
        <v>900</v>
      </c>
      <c r="G32" s="44">
        <f t="shared" si="10"/>
        <v>9000</v>
      </c>
      <c r="H32" s="44">
        <f t="shared" si="11"/>
        <v>2200</v>
      </c>
      <c r="I32" s="44">
        <f t="shared" si="12"/>
        <v>540</v>
      </c>
      <c r="J32" s="44">
        <f t="shared" si="13"/>
        <v>3600</v>
      </c>
      <c r="K32" s="58">
        <f t="shared" si="14"/>
        <v>0.37931034482758619</v>
      </c>
      <c r="L32" s="58">
        <f t="shared" si="15"/>
        <v>0.31034482758620691</v>
      </c>
      <c r="M32" s="59">
        <f t="shared" si="16"/>
        <v>0.31034482758620691</v>
      </c>
    </row>
    <row r="33" spans="1:13" x14ac:dyDescent="0.35">
      <c r="A33" s="49">
        <v>45536</v>
      </c>
      <c r="B33" s="44">
        <f>COUNTIFS(subs_clean!$C:$C,KPIs!A33,subs_clean!$E:$E,"Pro")</f>
        <v>21</v>
      </c>
      <c r="C33" s="44">
        <f>COUNTIFS(subs_clean!$C:$C,$A33,subs_clean!$E:$E,"Basic")</f>
        <v>19</v>
      </c>
      <c r="D33" s="44">
        <f>COUNTIFS(subs_clean!$C:$C,A33,subs_clean!$E:$E,"Basic")</f>
        <v>19</v>
      </c>
      <c r="E33" s="44">
        <f t="shared" si="8"/>
        <v>4200</v>
      </c>
      <c r="F33" s="44">
        <f t="shared" si="9"/>
        <v>950</v>
      </c>
      <c r="G33" s="44">
        <f t="shared" si="10"/>
        <v>9500</v>
      </c>
      <c r="H33" s="44">
        <f t="shared" si="11"/>
        <v>2100</v>
      </c>
      <c r="I33" s="44">
        <f t="shared" si="12"/>
        <v>570</v>
      </c>
      <c r="J33" s="44">
        <f t="shared" si="13"/>
        <v>3800</v>
      </c>
      <c r="K33" s="58">
        <f t="shared" si="14"/>
        <v>0.3559322033898305</v>
      </c>
      <c r="L33" s="58">
        <f t="shared" si="15"/>
        <v>0.32203389830508472</v>
      </c>
      <c r="M33" s="59">
        <f t="shared" si="16"/>
        <v>0.32203389830508472</v>
      </c>
    </row>
    <row r="34" spans="1:13" x14ac:dyDescent="0.35">
      <c r="A34" s="49">
        <v>45566</v>
      </c>
      <c r="B34" s="44">
        <f>COUNTIFS(subs_clean!$C:$C,KPIs!A34,subs_clean!$E:$E,"Pro")</f>
        <v>23</v>
      </c>
      <c r="C34" s="44">
        <f>COUNTIFS(subs_clean!$C:$C,$A34,subs_clean!$E:$E,"Basic")</f>
        <v>23</v>
      </c>
      <c r="D34" s="44">
        <f>COUNTIFS(subs_clean!$C:$C,A34,subs_clean!$E:$E,"Basic")</f>
        <v>23</v>
      </c>
      <c r="E34" s="44">
        <f t="shared" si="8"/>
        <v>4600</v>
      </c>
      <c r="F34" s="44">
        <f t="shared" si="9"/>
        <v>1150</v>
      </c>
      <c r="G34" s="44">
        <f t="shared" si="10"/>
        <v>11500</v>
      </c>
      <c r="H34" s="44">
        <f t="shared" si="11"/>
        <v>2300</v>
      </c>
      <c r="I34" s="44">
        <f t="shared" si="12"/>
        <v>690</v>
      </c>
      <c r="J34" s="44">
        <f t="shared" si="13"/>
        <v>4600</v>
      </c>
      <c r="K34" s="58">
        <f t="shared" si="14"/>
        <v>0.33333333333333331</v>
      </c>
      <c r="L34" s="58">
        <f t="shared" si="15"/>
        <v>0.33333333333333331</v>
      </c>
      <c r="M34" s="59">
        <f t="shared" si="16"/>
        <v>0.33333333333333331</v>
      </c>
    </row>
    <row r="35" spans="1:13" x14ac:dyDescent="0.35">
      <c r="A35" s="49">
        <v>45597</v>
      </c>
      <c r="B35" s="44">
        <f>COUNTIFS(subs_clean!$C:$C,KPIs!A35,subs_clean!$E:$E,"Pro")</f>
        <v>24</v>
      </c>
      <c r="C35" s="44">
        <f>COUNTIFS(subs_clean!$C:$C,$A35,subs_clean!$E:$E,"Basic")</f>
        <v>22</v>
      </c>
      <c r="D35" s="44">
        <f>COUNTIFS(subs_clean!$C:$C,A35,subs_clean!$E:$E,"Basic")</f>
        <v>22</v>
      </c>
      <c r="E35" s="44">
        <f t="shared" si="8"/>
        <v>4800</v>
      </c>
      <c r="F35" s="44">
        <f t="shared" si="9"/>
        <v>1100</v>
      </c>
      <c r="G35" s="44">
        <f t="shared" si="10"/>
        <v>11000</v>
      </c>
      <c r="H35" s="44">
        <f t="shared" si="11"/>
        <v>2400</v>
      </c>
      <c r="I35" s="44">
        <f t="shared" si="12"/>
        <v>660</v>
      </c>
      <c r="J35" s="44">
        <f t="shared" si="13"/>
        <v>4400</v>
      </c>
      <c r="K35" s="58">
        <f t="shared" si="14"/>
        <v>0.35294117647058826</v>
      </c>
      <c r="L35" s="58">
        <f t="shared" si="15"/>
        <v>0.3235294117647059</v>
      </c>
      <c r="M35" s="59">
        <f t="shared" si="16"/>
        <v>0.3235294117647059</v>
      </c>
    </row>
    <row r="36" spans="1:13" x14ac:dyDescent="0.35">
      <c r="A36" s="49">
        <v>45627</v>
      </c>
      <c r="B36" s="44">
        <f>COUNTIFS(subs_clean!$C:$C,KPIs!A36,subs_clean!$E:$E,"Pro")</f>
        <v>26</v>
      </c>
      <c r="C36" s="44">
        <f>COUNTIFS(subs_clean!$C:$C,$A36,subs_clean!$E:$E,"Basic")</f>
        <v>22</v>
      </c>
      <c r="D36" s="44">
        <f>COUNTIFS(subs_clean!$C:$C,A36,subs_clean!$E:$E,"Basic")</f>
        <v>22</v>
      </c>
      <c r="E36" s="44">
        <f t="shared" si="8"/>
        <v>5200</v>
      </c>
      <c r="F36" s="44">
        <f t="shared" si="9"/>
        <v>1100</v>
      </c>
      <c r="G36" s="44">
        <f t="shared" si="10"/>
        <v>11000</v>
      </c>
      <c r="H36" s="44">
        <f t="shared" si="11"/>
        <v>2600</v>
      </c>
      <c r="I36" s="44">
        <f t="shared" si="12"/>
        <v>660</v>
      </c>
      <c r="J36" s="44">
        <f t="shared" si="13"/>
        <v>4400</v>
      </c>
      <c r="K36" s="58">
        <f t="shared" si="14"/>
        <v>0.37142857142857144</v>
      </c>
      <c r="L36" s="58">
        <f t="shared" si="15"/>
        <v>0.31428571428571428</v>
      </c>
      <c r="M36" s="59">
        <f t="shared" si="16"/>
        <v>0.31428571428571428</v>
      </c>
    </row>
    <row r="37" spans="1:13" x14ac:dyDescent="0.35">
      <c r="A37" s="49">
        <v>45658</v>
      </c>
      <c r="B37" s="44">
        <f>COUNTIFS(subs_clean!$C:$C,KPIs!A37,subs_clean!$E:$E,"Pro")</f>
        <v>25</v>
      </c>
      <c r="C37" s="44">
        <f>COUNTIFS(subs_clean!$C:$C,$A37,subs_clean!$E:$E,"Basic")</f>
        <v>26</v>
      </c>
      <c r="D37" s="44">
        <f>COUNTIFS(subs_clean!$C:$C,A37,subs_clean!$E:$E,"Basic")</f>
        <v>26</v>
      </c>
      <c r="E37" s="44">
        <f t="shared" si="8"/>
        <v>5000</v>
      </c>
      <c r="F37" s="44">
        <f t="shared" si="9"/>
        <v>1300</v>
      </c>
      <c r="G37" s="44">
        <f t="shared" si="10"/>
        <v>13000</v>
      </c>
      <c r="H37" s="44">
        <f t="shared" si="11"/>
        <v>2500</v>
      </c>
      <c r="I37" s="44">
        <f t="shared" si="12"/>
        <v>780</v>
      </c>
      <c r="J37" s="44">
        <f t="shared" si="13"/>
        <v>5200</v>
      </c>
      <c r="K37" s="58">
        <f t="shared" si="14"/>
        <v>0.32467532467532467</v>
      </c>
      <c r="L37" s="58">
        <f t="shared" si="15"/>
        <v>0.33766233766233766</v>
      </c>
      <c r="M37" s="59">
        <f t="shared" si="16"/>
        <v>0.33766233766233766</v>
      </c>
    </row>
    <row r="38" spans="1:13" x14ac:dyDescent="0.35">
      <c r="A38" s="49">
        <v>45689</v>
      </c>
      <c r="B38" s="44">
        <f>COUNTIFS(subs_clean!$C:$C,KPIs!A38,subs_clean!$E:$E,"Pro")</f>
        <v>25</v>
      </c>
      <c r="C38" s="44">
        <f>COUNTIFS(subs_clean!$C:$C,$A38,subs_clean!$E:$E,"Basic")</f>
        <v>30</v>
      </c>
      <c r="D38" s="44">
        <f>COUNTIFS(subs_clean!$C:$C,A38,subs_clean!$E:$E,"Basic")</f>
        <v>30</v>
      </c>
      <c r="E38" s="44">
        <f t="shared" si="8"/>
        <v>5000</v>
      </c>
      <c r="F38" s="44">
        <f t="shared" si="9"/>
        <v>1500</v>
      </c>
      <c r="G38" s="44">
        <f t="shared" si="10"/>
        <v>15000</v>
      </c>
      <c r="H38" s="44">
        <f t="shared" si="11"/>
        <v>2500</v>
      </c>
      <c r="I38" s="44">
        <f t="shared" si="12"/>
        <v>900</v>
      </c>
      <c r="J38" s="44">
        <f t="shared" si="13"/>
        <v>6000</v>
      </c>
      <c r="K38" s="58">
        <f t="shared" si="14"/>
        <v>0.29411764705882354</v>
      </c>
      <c r="L38" s="58">
        <f t="shared" si="15"/>
        <v>0.35294117647058826</v>
      </c>
      <c r="M38" s="59">
        <f t="shared" si="16"/>
        <v>0.35294117647058826</v>
      </c>
    </row>
    <row r="39" spans="1:13" x14ac:dyDescent="0.35">
      <c r="A39" s="49">
        <v>45717</v>
      </c>
      <c r="B39" s="44">
        <f>COUNTIFS(subs_clean!$C:$C,KPIs!A39,subs_clean!$E:$E,"Pro")</f>
        <v>28</v>
      </c>
      <c r="C39" s="44">
        <f>COUNTIFS(subs_clean!$C:$C,$A39,subs_clean!$E:$E,"Basic")</f>
        <v>31</v>
      </c>
      <c r="D39" s="44">
        <f>COUNTIFS(subs_clean!$C:$C,A39,subs_clean!$E:$E,"Basic")</f>
        <v>31</v>
      </c>
      <c r="E39" s="44">
        <f t="shared" si="8"/>
        <v>5600</v>
      </c>
      <c r="F39" s="44">
        <f t="shared" si="9"/>
        <v>1550</v>
      </c>
      <c r="G39" s="44">
        <f t="shared" si="10"/>
        <v>15500</v>
      </c>
      <c r="H39" s="44">
        <f t="shared" si="11"/>
        <v>2800</v>
      </c>
      <c r="I39" s="44">
        <f t="shared" si="12"/>
        <v>930</v>
      </c>
      <c r="J39" s="44">
        <f t="shared" si="13"/>
        <v>6200</v>
      </c>
      <c r="K39" s="58">
        <f t="shared" si="14"/>
        <v>0.31111111111111112</v>
      </c>
      <c r="L39" s="58">
        <f t="shared" si="15"/>
        <v>0.34444444444444444</v>
      </c>
      <c r="M39" s="59">
        <f t="shared" si="16"/>
        <v>0.34444444444444444</v>
      </c>
    </row>
    <row r="40" spans="1:13" x14ac:dyDescent="0.35">
      <c r="A40" s="49">
        <v>45748</v>
      </c>
      <c r="B40" s="44">
        <f>COUNTIFS(subs_clean!$C:$C,KPIs!A40,subs_clean!$E:$E,"Pro")</f>
        <v>19</v>
      </c>
      <c r="C40" s="44">
        <f>COUNTIFS(subs_clean!$C:$C,$A40,subs_clean!$E:$E,"Basic")</f>
        <v>26</v>
      </c>
      <c r="D40" s="44">
        <f>COUNTIFS(subs_clean!$C:$C,A40,subs_clean!$E:$E,"Basic")</f>
        <v>26</v>
      </c>
      <c r="E40" s="44">
        <f t="shared" si="8"/>
        <v>3800</v>
      </c>
      <c r="F40" s="44">
        <f t="shared" si="9"/>
        <v>1300</v>
      </c>
      <c r="G40" s="44">
        <f t="shared" si="10"/>
        <v>13000</v>
      </c>
      <c r="H40" s="44">
        <f t="shared" si="11"/>
        <v>1900</v>
      </c>
      <c r="I40" s="44">
        <f t="shared" si="12"/>
        <v>780</v>
      </c>
      <c r="J40" s="44">
        <f t="shared" si="13"/>
        <v>5200</v>
      </c>
      <c r="K40" s="58">
        <f t="shared" si="14"/>
        <v>0.26760563380281688</v>
      </c>
      <c r="L40" s="58">
        <f t="shared" si="15"/>
        <v>0.36619718309859156</v>
      </c>
      <c r="M40" s="59">
        <f t="shared" si="16"/>
        <v>0.36619718309859156</v>
      </c>
    </row>
    <row r="41" spans="1:13" x14ac:dyDescent="0.35">
      <c r="A41" s="49">
        <v>45778</v>
      </c>
      <c r="B41" s="44">
        <f>COUNTIFS(subs_clean!$C:$C,KPIs!A41,subs_clean!$E:$E,"Pro")</f>
        <v>16</v>
      </c>
      <c r="C41" s="44">
        <f>COUNTIFS(subs_clean!$C:$C,$A41,subs_clean!$E:$E,"Basic")</f>
        <v>14</v>
      </c>
      <c r="D41" s="44">
        <f>COUNTIFS(subs_clean!$C:$C,A41,subs_clean!$E:$E,"Basic")</f>
        <v>14</v>
      </c>
      <c r="E41" s="44">
        <f t="shared" si="8"/>
        <v>3200</v>
      </c>
      <c r="F41" s="44">
        <f t="shared" si="9"/>
        <v>700</v>
      </c>
      <c r="G41" s="44">
        <f t="shared" si="10"/>
        <v>7000</v>
      </c>
      <c r="H41" s="44">
        <f t="shared" si="11"/>
        <v>1600</v>
      </c>
      <c r="I41" s="44">
        <f t="shared" si="12"/>
        <v>420</v>
      </c>
      <c r="J41" s="44">
        <f t="shared" si="13"/>
        <v>2800</v>
      </c>
      <c r="K41" s="58">
        <f t="shared" si="14"/>
        <v>0.36363636363636365</v>
      </c>
      <c r="L41" s="58">
        <f t="shared" si="15"/>
        <v>0.31818181818181818</v>
      </c>
      <c r="M41" s="59">
        <f t="shared" si="16"/>
        <v>0.31818181818181818</v>
      </c>
    </row>
    <row r="42" spans="1:13" x14ac:dyDescent="0.35">
      <c r="A42" s="60">
        <v>45809</v>
      </c>
      <c r="B42" s="45">
        <f>COUNTIFS(subs_clean!$C:$C,KPIs!A42,subs_clean!$E:$E,"Pro")</f>
        <v>7</v>
      </c>
      <c r="C42" s="45">
        <f>COUNTIFS(subs_clean!$C:$C,$A42,subs_clean!$E:$E,"Basic")</f>
        <v>10</v>
      </c>
      <c r="D42" s="45">
        <f>COUNTIFS(subs_clean!$C:$C,A42,subs_clean!$E:$E,"Basic")</f>
        <v>10</v>
      </c>
      <c r="E42" s="45">
        <f t="shared" si="8"/>
        <v>1400</v>
      </c>
      <c r="F42" s="45">
        <f t="shared" si="9"/>
        <v>500</v>
      </c>
      <c r="G42" s="45">
        <f t="shared" si="10"/>
        <v>5000</v>
      </c>
      <c r="H42" s="45">
        <f t="shared" si="11"/>
        <v>700</v>
      </c>
      <c r="I42" s="45">
        <f t="shared" si="12"/>
        <v>300</v>
      </c>
      <c r="J42" s="45">
        <f t="shared" si="13"/>
        <v>2000</v>
      </c>
      <c r="K42" s="61">
        <f t="shared" si="14"/>
        <v>0.25925925925925924</v>
      </c>
      <c r="L42" s="61">
        <f t="shared" si="15"/>
        <v>0.37037037037037035</v>
      </c>
      <c r="M42" s="62">
        <f t="shared" si="16"/>
        <v>0.37037037037037035</v>
      </c>
    </row>
    <row r="43" spans="1:13" x14ac:dyDescent="0.35">
      <c r="A43"/>
    </row>
    <row r="44" spans="1:13" x14ac:dyDescent="0.35">
      <c r="A44" t="s">
        <v>65</v>
      </c>
      <c r="B44">
        <f>SUM(KPIs!$B$25:$B$42)</f>
        <v>334</v>
      </c>
      <c r="C44">
        <f>SUM(KPIs!$C$25:$C$42)</f>
        <v>317</v>
      </c>
      <c r="D44">
        <f>SUM(KPIs!$D$25:$D$42)</f>
        <v>320</v>
      </c>
      <c r="E44">
        <f>SUM(KPIs!$E$25:$E$42)</f>
        <v>66800</v>
      </c>
      <c r="F44">
        <f>SUM(KPIs!$F$25:$F$42)</f>
        <v>15850</v>
      </c>
      <c r="G44">
        <f>SUM(KPIs!$G$25:$G$42)</f>
        <v>160000</v>
      </c>
      <c r="H44">
        <f>SUM(KPIs!$H$25:$H$42)</f>
        <v>33400</v>
      </c>
      <c r="I44">
        <f>SUM(KPIs!$I$25:$I$42)</f>
        <v>9510</v>
      </c>
      <c r="J44">
        <f>SUM(KPIs!$J$25:$J$42)</f>
        <v>64000</v>
      </c>
      <c r="K44">
        <f>SUM(KPIs!$K$25:$K$42)</f>
        <v>6.1528659240258055</v>
      </c>
      <c r="L44">
        <f>SUM(KPIs!$L$25:$L$42)</f>
        <v>5.7735670379870978</v>
      </c>
      <c r="M44">
        <f>SUM(KPIs!$M$25:$M$42)</f>
        <v>6.0735670379870976</v>
      </c>
    </row>
    <row r="45" spans="1:13" x14ac:dyDescent="0.35">
      <c r="A45"/>
      <c r="K45" s="11"/>
      <c r="L45" s="11"/>
    </row>
    <row r="46" spans="1:13" x14ac:dyDescent="0.35">
      <c r="A46"/>
    </row>
    <row r="47" spans="1:13" x14ac:dyDescent="0.35">
      <c r="A47"/>
    </row>
    <row r="48" spans="1:13" x14ac:dyDescent="0.35">
      <c r="A48"/>
      <c r="J48" s="11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</sheetData>
  <sortState xmlns:xlrd2="http://schemas.microsoft.com/office/spreadsheetml/2017/richdata2" ref="A2:G988">
    <sortCondition ref="A1:A988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D043-F826-4580-9D16-E6996C5855BC}">
  <sheetPr>
    <tabColor rgb="FF00B050"/>
  </sheetPr>
  <dimension ref="A1:J1001"/>
  <sheetViews>
    <sheetView zoomScale="82" workbookViewId="0">
      <selection activeCell="A19" sqref="A19"/>
    </sheetView>
  </sheetViews>
  <sheetFormatPr defaultRowHeight="14.5" x14ac:dyDescent="0.35"/>
  <cols>
    <col min="1" max="1" width="12.1796875" customWidth="1"/>
    <col min="2" max="2" width="18.453125" customWidth="1"/>
    <col min="3" max="3" width="9.1796875" bestFit="1" customWidth="1"/>
    <col min="4" max="4" width="10.54296875" bestFit="1" customWidth="1"/>
    <col min="5" max="5" width="18" customWidth="1"/>
    <col min="6" max="6" width="17.26953125" customWidth="1"/>
    <col min="8" max="8" width="11.54296875" bestFit="1" customWidth="1"/>
  </cols>
  <sheetData>
    <row r="1" spans="1:10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J1" t="s">
        <v>74</v>
      </c>
    </row>
    <row r="2" spans="1:10" x14ac:dyDescent="0.35">
      <c r="A2">
        <v>1001</v>
      </c>
      <c r="B2" s="1">
        <v>45603</v>
      </c>
      <c r="C2" t="s">
        <v>75</v>
      </c>
      <c r="D2">
        <v>50</v>
      </c>
      <c r="E2">
        <v>30</v>
      </c>
      <c r="G2" t="str">
        <f>IF(F2="","Active","Churned")</f>
        <v>Active</v>
      </c>
      <c r="H2" s="1" t="str">
        <f>IF(F2="","",DATE(YEAR(F2),MONTH(F2),1))</f>
        <v/>
      </c>
      <c r="J2">
        <f>IF(G2="Churned",1,0)</f>
        <v>0</v>
      </c>
    </row>
    <row r="3" spans="1:10" x14ac:dyDescent="0.35">
      <c r="A3">
        <v>1002</v>
      </c>
      <c r="B3" s="1">
        <v>45449</v>
      </c>
      <c r="C3" t="s">
        <v>75</v>
      </c>
      <c r="D3">
        <v>50</v>
      </c>
      <c r="E3">
        <v>30</v>
      </c>
      <c r="G3" t="str">
        <f t="shared" ref="G3:G66" si="0">IF(F3="","Active","Churned")</f>
        <v>Active</v>
      </c>
      <c r="H3" s="1" t="str">
        <f t="shared" ref="H3:H66" si="1">IF(F3="","",DATE(YEAR(F3),MONTH(F3),1))</f>
        <v/>
      </c>
      <c r="J3">
        <f t="shared" ref="J3:J66" si="2">IF(G3="Churned",1,0)</f>
        <v>0</v>
      </c>
    </row>
    <row r="4" spans="1:10" x14ac:dyDescent="0.35">
      <c r="A4">
        <v>1003</v>
      </c>
      <c r="B4" s="1">
        <v>45657</v>
      </c>
      <c r="C4" t="s">
        <v>75</v>
      </c>
      <c r="D4">
        <v>50</v>
      </c>
      <c r="E4">
        <v>30</v>
      </c>
      <c r="G4" t="str">
        <f t="shared" si="0"/>
        <v>Active</v>
      </c>
      <c r="H4" s="1" t="str">
        <f t="shared" si="1"/>
        <v/>
      </c>
      <c r="J4">
        <f t="shared" si="2"/>
        <v>0</v>
      </c>
    </row>
    <row r="5" spans="1:10" x14ac:dyDescent="0.35">
      <c r="A5">
        <v>1004</v>
      </c>
      <c r="B5" s="1">
        <v>45617</v>
      </c>
      <c r="C5" t="s">
        <v>18</v>
      </c>
      <c r="D5">
        <v>200</v>
      </c>
      <c r="E5">
        <v>100</v>
      </c>
      <c r="G5" t="str">
        <f t="shared" si="0"/>
        <v>Active</v>
      </c>
      <c r="H5" s="1" t="str">
        <f t="shared" si="1"/>
        <v/>
      </c>
      <c r="J5">
        <f t="shared" si="2"/>
        <v>0</v>
      </c>
    </row>
    <row r="6" spans="1:10" x14ac:dyDescent="0.35">
      <c r="A6">
        <v>1005</v>
      </c>
      <c r="B6" s="1">
        <v>45520</v>
      </c>
      <c r="C6" t="s">
        <v>18</v>
      </c>
      <c r="D6">
        <v>200</v>
      </c>
      <c r="E6">
        <v>100</v>
      </c>
      <c r="G6" t="str">
        <f t="shared" si="0"/>
        <v>Active</v>
      </c>
      <c r="H6" s="1" t="str">
        <f t="shared" si="1"/>
        <v/>
      </c>
      <c r="J6">
        <f t="shared" si="2"/>
        <v>0</v>
      </c>
    </row>
    <row r="7" spans="1:10" x14ac:dyDescent="0.35">
      <c r="A7">
        <v>1006</v>
      </c>
      <c r="B7" s="1">
        <v>45606</v>
      </c>
      <c r="C7" t="s">
        <v>75</v>
      </c>
      <c r="D7">
        <v>50</v>
      </c>
      <c r="E7">
        <v>30</v>
      </c>
      <c r="G7" t="str">
        <f t="shared" si="0"/>
        <v>Active</v>
      </c>
      <c r="H7" s="1" t="str">
        <f t="shared" si="1"/>
        <v/>
      </c>
      <c r="J7">
        <f t="shared" si="2"/>
        <v>0</v>
      </c>
    </row>
    <row r="8" spans="1:10" x14ac:dyDescent="0.35">
      <c r="A8">
        <v>1007</v>
      </c>
      <c r="B8" s="1">
        <v>45363</v>
      </c>
      <c r="C8" t="s">
        <v>21</v>
      </c>
      <c r="D8">
        <v>500</v>
      </c>
      <c r="E8">
        <v>200</v>
      </c>
      <c r="G8" t="str">
        <f t="shared" si="0"/>
        <v>Active</v>
      </c>
      <c r="H8" s="1" t="str">
        <f t="shared" si="1"/>
        <v/>
      </c>
      <c r="J8">
        <f t="shared" si="2"/>
        <v>0</v>
      </c>
    </row>
    <row r="9" spans="1:10" x14ac:dyDescent="0.35">
      <c r="A9">
        <v>1008</v>
      </c>
      <c r="B9" s="1">
        <v>45605</v>
      </c>
      <c r="C9" t="s">
        <v>18</v>
      </c>
      <c r="D9">
        <v>200</v>
      </c>
      <c r="E9">
        <v>100</v>
      </c>
      <c r="G9" t="str">
        <f t="shared" si="0"/>
        <v>Active</v>
      </c>
      <c r="H9" s="1" t="str">
        <f t="shared" si="1"/>
        <v/>
      </c>
      <c r="J9">
        <f t="shared" si="2"/>
        <v>0</v>
      </c>
    </row>
    <row r="10" spans="1:10" x14ac:dyDescent="0.35">
      <c r="A10">
        <v>1009</v>
      </c>
      <c r="B10" s="1">
        <v>45520</v>
      </c>
      <c r="C10" t="s">
        <v>18</v>
      </c>
      <c r="D10">
        <v>200</v>
      </c>
      <c r="E10">
        <v>100</v>
      </c>
      <c r="G10" t="str">
        <f t="shared" si="0"/>
        <v>Active</v>
      </c>
      <c r="H10" s="1" t="str">
        <f t="shared" si="1"/>
        <v/>
      </c>
      <c r="J10">
        <f t="shared" si="2"/>
        <v>0</v>
      </c>
    </row>
    <row r="11" spans="1:10" x14ac:dyDescent="0.35">
      <c r="A11">
        <v>1010</v>
      </c>
      <c r="B11" s="1">
        <v>45754</v>
      </c>
      <c r="C11" t="s">
        <v>18</v>
      </c>
      <c r="D11">
        <v>200</v>
      </c>
      <c r="E11">
        <v>100</v>
      </c>
      <c r="G11" t="str">
        <f t="shared" si="0"/>
        <v>Active</v>
      </c>
      <c r="H11" s="1" t="str">
        <f t="shared" si="1"/>
        <v/>
      </c>
      <c r="J11">
        <f t="shared" si="2"/>
        <v>0</v>
      </c>
    </row>
    <row r="12" spans="1:10" x14ac:dyDescent="0.35">
      <c r="A12">
        <v>1011</v>
      </c>
      <c r="B12" s="1">
        <v>45747</v>
      </c>
      <c r="C12" t="s">
        <v>75</v>
      </c>
      <c r="D12">
        <v>50</v>
      </c>
      <c r="E12">
        <v>30</v>
      </c>
      <c r="G12" t="str">
        <f t="shared" si="0"/>
        <v>Active</v>
      </c>
      <c r="H12" s="1" t="str">
        <f t="shared" si="1"/>
        <v/>
      </c>
      <c r="J12">
        <f t="shared" si="2"/>
        <v>0</v>
      </c>
    </row>
    <row r="13" spans="1:10" x14ac:dyDescent="0.35">
      <c r="A13">
        <v>1012</v>
      </c>
      <c r="B13" s="1">
        <v>45712</v>
      </c>
      <c r="C13" t="s">
        <v>21</v>
      </c>
      <c r="D13">
        <v>500</v>
      </c>
      <c r="E13">
        <v>200</v>
      </c>
      <c r="G13" t="str">
        <f t="shared" si="0"/>
        <v>Active</v>
      </c>
      <c r="H13" s="1" t="str">
        <f t="shared" si="1"/>
        <v/>
      </c>
      <c r="J13">
        <f t="shared" si="2"/>
        <v>0</v>
      </c>
    </row>
    <row r="14" spans="1:10" x14ac:dyDescent="0.35">
      <c r="A14">
        <v>1013</v>
      </c>
      <c r="B14" s="1">
        <v>45750</v>
      </c>
      <c r="C14" t="s">
        <v>18</v>
      </c>
      <c r="D14">
        <v>200</v>
      </c>
      <c r="E14">
        <v>100</v>
      </c>
      <c r="G14" t="str">
        <f t="shared" si="0"/>
        <v>Active</v>
      </c>
      <c r="H14" s="1" t="str">
        <f t="shared" si="1"/>
        <v/>
      </c>
      <c r="J14">
        <f t="shared" si="2"/>
        <v>0</v>
      </c>
    </row>
    <row r="15" spans="1:10" x14ac:dyDescent="0.35">
      <c r="A15">
        <v>1014</v>
      </c>
      <c r="B15" s="1">
        <v>45738</v>
      </c>
      <c r="C15" t="s">
        <v>21</v>
      </c>
      <c r="D15">
        <v>500</v>
      </c>
      <c r="E15">
        <v>200</v>
      </c>
      <c r="G15" t="str">
        <f t="shared" si="0"/>
        <v>Active</v>
      </c>
      <c r="H15" s="1" t="str">
        <f t="shared" si="1"/>
        <v/>
      </c>
      <c r="J15">
        <f t="shared" si="2"/>
        <v>0</v>
      </c>
    </row>
    <row r="16" spans="1:10" x14ac:dyDescent="0.35">
      <c r="A16">
        <v>1015</v>
      </c>
      <c r="B16" s="1">
        <v>45749</v>
      </c>
      <c r="C16" t="s">
        <v>18</v>
      </c>
      <c r="D16">
        <v>200</v>
      </c>
      <c r="E16">
        <v>100</v>
      </c>
      <c r="G16" t="str">
        <f t="shared" si="0"/>
        <v>Active</v>
      </c>
      <c r="H16" s="1" t="str">
        <f t="shared" si="1"/>
        <v/>
      </c>
      <c r="J16">
        <f t="shared" si="2"/>
        <v>0</v>
      </c>
    </row>
    <row r="17" spans="1:10" x14ac:dyDescent="0.35">
      <c r="A17">
        <v>1016</v>
      </c>
      <c r="B17" s="1">
        <v>45506</v>
      </c>
      <c r="C17" t="s">
        <v>21</v>
      </c>
      <c r="D17">
        <v>500</v>
      </c>
      <c r="E17">
        <v>200</v>
      </c>
      <c r="G17" t="str">
        <f t="shared" si="0"/>
        <v>Active</v>
      </c>
      <c r="H17" s="1" t="str">
        <f t="shared" si="1"/>
        <v/>
      </c>
      <c r="J17">
        <f t="shared" si="2"/>
        <v>0</v>
      </c>
    </row>
    <row r="18" spans="1:10" x14ac:dyDescent="0.35">
      <c r="A18">
        <v>1017</v>
      </c>
      <c r="B18" s="1">
        <v>45418</v>
      </c>
      <c r="C18" t="s">
        <v>18</v>
      </c>
      <c r="D18">
        <v>200</v>
      </c>
      <c r="E18">
        <v>100</v>
      </c>
      <c r="G18" t="str">
        <f t="shared" si="0"/>
        <v>Active</v>
      </c>
      <c r="H18" s="1" t="str">
        <f t="shared" si="1"/>
        <v/>
      </c>
      <c r="J18">
        <f t="shared" si="2"/>
        <v>0</v>
      </c>
    </row>
    <row r="19" spans="1:10" x14ac:dyDescent="0.35">
      <c r="A19">
        <v>1018</v>
      </c>
      <c r="B19" s="1">
        <v>45382</v>
      </c>
      <c r="C19" t="s">
        <v>18</v>
      </c>
      <c r="D19">
        <v>200</v>
      </c>
      <c r="E19">
        <v>100</v>
      </c>
      <c r="G19" t="str">
        <f t="shared" si="0"/>
        <v>Active</v>
      </c>
      <c r="H19" s="1" t="str">
        <f t="shared" si="1"/>
        <v/>
      </c>
      <c r="J19">
        <f t="shared" si="2"/>
        <v>0</v>
      </c>
    </row>
    <row r="20" spans="1:10" x14ac:dyDescent="0.35">
      <c r="A20">
        <v>1019</v>
      </c>
      <c r="B20" s="1">
        <v>45472</v>
      </c>
      <c r="C20" t="s">
        <v>75</v>
      </c>
      <c r="D20">
        <v>50</v>
      </c>
      <c r="E20">
        <v>30</v>
      </c>
      <c r="G20" t="str">
        <f t="shared" si="0"/>
        <v>Active</v>
      </c>
      <c r="H20" s="1" t="str">
        <f t="shared" si="1"/>
        <v/>
      </c>
      <c r="J20">
        <f t="shared" si="2"/>
        <v>0</v>
      </c>
    </row>
    <row r="21" spans="1:10" x14ac:dyDescent="0.35">
      <c r="A21">
        <v>1020</v>
      </c>
      <c r="B21" s="1">
        <v>45578</v>
      </c>
      <c r="C21" t="s">
        <v>18</v>
      </c>
      <c r="D21">
        <v>200</v>
      </c>
      <c r="E21">
        <v>100</v>
      </c>
      <c r="F21" s="1">
        <v>45785</v>
      </c>
      <c r="G21" t="str">
        <f t="shared" si="0"/>
        <v>Churned</v>
      </c>
      <c r="H21" s="1">
        <f t="shared" si="1"/>
        <v>45778</v>
      </c>
      <c r="J21">
        <f t="shared" si="2"/>
        <v>1</v>
      </c>
    </row>
    <row r="22" spans="1:10" x14ac:dyDescent="0.35">
      <c r="A22">
        <v>1021</v>
      </c>
      <c r="B22" s="1">
        <v>45411</v>
      </c>
      <c r="C22" t="s">
        <v>18</v>
      </c>
      <c r="D22">
        <v>200</v>
      </c>
      <c r="E22">
        <v>100</v>
      </c>
      <c r="F22" s="1">
        <v>45464</v>
      </c>
      <c r="G22" t="str">
        <f t="shared" si="0"/>
        <v>Churned</v>
      </c>
      <c r="H22" s="1">
        <f t="shared" si="1"/>
        <v>45444</v>
      </c>
      <c r="J22">
        <f t="shared" si="2"/>
        <v>1</v>
      </c>
    </row>
    <row r="23" spans="1:10" x14ac:dyDescent="0.35">
      <c r="A23">
        <v>1022</v>
      </c>
      <c r="B23" s="1">
        <v>45373</v>
      </c>
      <c r="C23" t="s">
        <v>21</v>
      </c>
      <c r="D23">
        <v>500</v>
      </c>
      <c r="E23">
        <v>200</v>
      </c>
      <c r="G23" t="str">
        <f t="shared" si="0"/>
        <v>Active</v>
      </c>
      <c r="H23" s="1" t="str">
        <f t="shared" si="1"/>
        <v/>
      </c>
      <c r="J23">
        <f t="shared" si="2"/>
        <v>0</v>
      </c>
    </row>
    <row r="24" spans="1:10" x14ac:dyDescent="0.35">
      <c r="A24">
        <v>1023</v>
      </c>
      <c r="B24" s="1">
        <v>45641</v>
      </c>
      <c r="C24" t="s">
        <v>75</v>
      </c>
      <c r="D24">
        <v>50</v>
      </c>
      <c r="E24">
        <v>30</v>
      </c>
      <c r="F24" s="1">
        <v>45831</v>
      </c>
      <c r="G24" t="str">
        <f t="shared" si="0"/>
        <v>Churned</v>
      </c>
      <c r="H24" s="1">
        <f t="shared" si="1"/>
        <v>45809</v>
      </c>
      <c r="J24">
        <f t="shared" si="2"/>
        <v>1</v>
      </c>
    </row>
    <row r="25" spans="1:10" x14ac:dyDescent="0.35">
      <c r="A25">
        <v>1024</v>
      </c>
      <c r="B25" s="1">
        <v>45587</v>
      </c>
      <c r="C25" t="s">
        <v>75</v>
      </c>
      <c r="D25">
        <v>50</v>
      </c>
      <c r="E25">
        <v>30</v>
      </c>
      <c r="G25" t="str">
        <f t="shared" si="0"/>
        <v>Active</v>
      </c>
      <c r="H25" s="1" t="str">
        <f t="shared" si="1"/>
        <v/>
      </c>
      <c r="J25">
        <f t="shared" si="2"/>
        <v>0</v>
      </c>
    </row>
    <row r="26" spans="1:10" x14ac:dyDescent="0.35">
      <c r="A26">
        <v>1025</v>
      </c>
      <c r="B26" s="1">
        <v>45364</v>
      </c>
      <c r="C26" t="s">
        <v>21</v>
      </c>
      <c r="D26">
        <v>500</v>
      </c>
      <c r="E26">
        <v>200</v>
      </c>
      <c r="G26" t="str">
        <f t="shared" si="0"/>
        <v>Active</v>
      </c>
      <c r="H26" s="1" t="str">
        <f t="shared" si="1"/>
        <v/>
      </c>
      <c r="J26">
        <f t="shared" si="2"/>
        <v>0</v>
      </c>
    </row>
    <row r="27" spans="1:10" x14ac:dyDescent="0.35">
      <c r="A27">
        <v>1026</v>
      </c>
      <c r="B27" s="1">
        <v>45743</v>
      </c>
      <c r="C27" t="s">
        <v>18</v>
      </c>
      <c r="D27">
        <v>200</v>
      </c>
      <c r="E27">
        <v>100</v>
      </c>
      <c r="F27" s="1">
        <v>45818</v>
      </c>
      <c r="G27" t="str">
        <f t="shared" si="0"/>
        <v>Churned</v>
      </c>
      <c r="H27" s="1">
        <f t="shared" si="1"/>
        <v>45809</v>
      </c>
      <c r="J27">
        <f t="shared" si="2"/>
        <v>1</v>
      </c>
    </row>
    <row r="28" spans="1:10" x14ac:dyDescent="0.35">
      <c r="A28">
        <v>1027</v>
      </c>
      <c r="B28" s="1">
        <v>45455</v>
      </c>
      <c r="C28" t="s">
        <v>18</v>
      </c>
      <c r="D28">
        <v>200</v>
      </c>
      <c r="E28">
        <v>100</v>
      </c>
      <c r="G28" t="str">
        <f t="shared" si="0"/>
        <v>Active</v>
      </c>
      <c r="H28" s="1" t="str">
        <f t="shared" si="1"/>
        <v/>
      </c>
      <c r="J28">
        <f t="shared" si="2"/>
        <v>0</v>
      </c>
    </row>
    <row r="29" spans="1:10" x14ac:dyDescent="0.35">
      <c r="A29">
        <v>1028</v>
      </c>
      <c r="B29" s="1">
        <v>45670</v>
      </c>
      <c r="C29" t="s">
        <v>21</v>
      </c>
      <c r="D29">
        <v>500</v>
      </c>
      <c r="E29">
        <v>200</v>
      </c>
      <c r="G29" t="str">
        <f t="shared" si="0"/>
        <v>Active</v>
      </c>
      <c r="H29" s="1" t="str">
        <f t="shared" si="1"/>
        <v/>
      </c>
      <c r="J29">
        <f t="shared" si="2"/>
        <v>0</v>
      </c>
    </row>
    <row r="30" spans="1:10" x14ac:dyDescent="0.35">
      <c r="A30">
        <v>1029</v>
      </c>
      <c r="B30" s="1">
        <v>45833</v>
      </c>
      <c r="C30" t="s">
        <v>21</v>
      </c>
      <c r="D30">
        <v>500</v>
      </c>
      <c r="E30">
        <v>200</v>
      </c>
      <c r="G30" t="str">
        <f t="shared" si="0"/>
        <v>Active</v>
      </c>
      <c r="H30" s="1" t="str">
        <f t="shared" si="1"/>
        <v/>
      </c>
      <c r="J30">
        <f t="shared" si="2"/>
        <v>0</v>
      </c>
    </row>
    <row r="31" spans="1:10" x14ac:dyDescent="0.35">
      <c r="A31">
        <v>1030</v>
      </c>
      <c r="B31" s="1">
        <v>45614</v>
      </c>
      <c r="C31" t="s">
        <v>21</v>
      </c>
      <c r="D31">
        <v>500</v>
      </c>
      <c r="E31">
        <v>200</v>
      </c>
      <c r="G31" t="str">
        <f t="shared" si="0"/>
        <v>Active</v>
      </c>
      <c r="H31" s="1" t="str">
        <f t="shared" si="1"/>
        <v/>
      </c>
      <c r="J31">
        <f t="shared" si="2"/>
        <v>0</v>
      </c>
    </row>
    <row r="32" spans="1:10" x14ac:dyDescent="0.35">
      <c r="A32">
        <v>1031</v>
      </c>
      <c r="B32" s="1">
        <v>45390</v>
      </c>
      <c r="C32" t="s">
        <v>18</v>
      </c>
      <c r="D32">
        <v>200</v>
      </c>
      <c r="E32">
        <v>100</v>
      </c>
      <c r="F32" s="1">
        <v>45640</v>
      </c>
      <c r="G32" t="str">
        <f t="shared" si="0"/>
        <v>Churned</v>
      </c>
      <c r="H32" s="1">
        <f t="shared" si="1"/>
        <v>45627</v>
      </c>
      <c r="J32">
        <f t="shared" si="2"/>
        <v>1</v>
      </c>
    </row>
    <row r="33" spans="1:10" x14ac:dyDescent="0.35">
      <c r="A33">
        <v>1032</v>
      </c>
      <c r="B33" s="1">
        <v>45692</v>
      </c>
      <c r="C33" t="s">
        <v>18</v>
      </c>
      <c r="D33">
        <v>200</v>
      </c>
      <c r="E33">
        <v>100</v>
      </c>
      <c r="G33" t="str">
        <f t="shared" si="0"/>
        <v>Active</v>
      </c>
      <c r="H33" s="1" t="str">
        <f t="shared" si="1"/>
        <v/>
      </c>
      <c r="J33">
        <f t="shared" si="2"/>
        <v>0</v>
      </c>
    </row>
    <row r="34" spans="1:10" x14ac:dyDescent="0.35">
      <c r="A34">
        <v>1033</v>
      </c>
      <c r="B34" s="1">
        <v>45723</v>
      </c>
      <c r="C34" t="s">
        <v>75</v>
      </c>
      <c r="D34">
        <v>50</v>
      </c>
      <c r="E34">
        <v>30</v>
      </c>
      <c r="G34" t="str">
        <f t="shared" si="0"/>
        <v>Active</v>
      </c>
      <c r="H34" s="1" t="str">
        <f t="shared" si="1"/>
        <v/>
      </c>
      <c r="J34">
        <f t="shared" si="2"/>
        <v>0</v>
      </c>
    </row>
    <row r="35" spans="1:10" x14ac:dyDescent="0.35">
      <c r="A35">
        <v>1034</v>
      </c>
      <c r="B35" s="1">
        <v>45388</v>
      </c>
      <c r="C35" t="s">
        <v>75</v>
      </c>
      <c r="D35">
        <v>50</v>
      </c>
      <c r="E35">
        <v>30</v>
      </c>
      <c r="F35" s="1">
        <v>45753</v>
      </c>
      <c r="G35" t="str">
        <f t="shared" si="0"/>
        <v>Churned</v>
      </c>
      <c r="H35" s="1">
        <f t="shared" si="1"/>
        <v>45748</v>
      </c>
      <c r="J35">
        <f t="shared" si="2"/>
        <v>1</v>
      </c>
    </row>
    <row r="36" spans="1:10" x14ac:dyDescent="0.35">
      <c r="A36">
        <v>1035</v>
      </c>
      <c r="B36" s="1">
        <v>45504</v>
      </c>
      <c r="C36" t="s">
        <v>75</v>
      </c>
      <c r="D36">
        <v>50</v>
      </c>
      <c r="E36">
        <v>30</v>
      </c>
      <c r="F36" s="1">
        <v>45779</v>
      </c>
      <c r="G36" t="str">
        <f t="shared" si="0"/>
        <v>Churned</v>
      </c>
      <c r="H36" s="1">
        <f t="shared" si="1"/>
        <v>45778</v>
      </c>
      <c r="J36">
        <f t="shared" si="2"/>
        <v>1</v>
      </c>
    </row>
    <row r="37" spans="1:10" x14ac:dyDescent="0.35">
      <c r="A37">
        <v>1036</v>
      </c>
      <c r="B37" s="1">
        <v>45419</v>
      </c>
      <c r="C37" t="s">
        <v>21</v>
      </c>
      <c r="D37">
        <v>500</v>
      </c>
      <c r="E37">
        <v>200</v>
      </c>
      <c r="G37" t="str">
        <f t="shared" si="0"/>
        <v>Active</v>
      </c>
      <c r="H37" s="1" t="str">
        <f t="shared" si="1"/>
        <v/>
      </c>
      <c r="J37">
        <f t="shared" si="2"/>
        <v>0</v>
      </c>
    </row>
    <row r="38" spans="1:10" x14ac:dyDescent="0.35">
      <c r="A38">
        <v>1037</v>
      </c>
      <c r="B38" s="1">
        <v>45626</v>
      </c>
      <c r="C38" t="s">
        <v>18</v>
      </c>
      <c r="D38">
        <v>200</v>
      </c>
      <c r="E38">
        <v>100</v>
      </c>
      <c r="G38" t="str">
        <f t="shared" si="0"/>
        <v>Active</v>
      </c>
      <c r="H38" s="1" t="str">
        <f t="shared" si="1"/>
        <v/>
      </c>
      <c r="J38">
        <f t="shared" si="2"/>
        <v>0</v>
      </c>
    </row>
    <row r="39" spans="1:10" x14ac:dyDescent="0.35">
      <c r="A39">
        <v>1038</v>
      </c>
      <c r="B39" s="1">
        <v>45319</v>
      </c>
      <c r="C39" t="s">
        <v>21</v>
      </c>
      <c r="D39">
        <v>500</v>
      </c>
      <c r="E39">
        <v>200</v>
      </c>
      <c r="G39" t="str">
        <f t="shared" si="0"/>
        <v>Active</v>
      </c>
      <c r="H39" s="1" t="str">
        <f t="shared" si="1"/>
        <v/>
      </c>
      <c r="J39">
        <f t="shared" si="2"/>
        <v>0</v>
      </c>
    </row>
    <row r="40" spans="1:10" x14ac:dyDescent="0.35">
      <c r="A40">
        <v>1039</v>
      </c>
      <c r="B40" s="1">
        <v>45769</v>
      </c>
      <c r="C40" t="s">
        <v>75</v>
      </c>
      <c r="D40">
        <v>50</v>
      </c>
      <c r="E40">
        <v>30</v>
      </c>
      <c r="G40" t="str">
        <f t="shared" si="0"/>
        <v>Active</v>
      </c>
      <c r="H40" s="1" t="str">
        <f t="shared" si="1"/>
        <v/>
      </c>
      <c r="J40">
        <f t="shared" si="2"/>
        <v>0</v>
      </c>
    </row>
    <row r="41" spans="1:10" x14ac:dyDescent="0.35">
      <c r="A41">
        <v>1040</v>
      </c>
      <c r="B41" s="1">
        <v>45428</v>
      </c>
      <c r="C41" t="s">
        <v>21</v>
      </c>
      <c r="D41">
        <v>500</v>
      </c>
      <c r="E41">
        <v>200</v>
      </c>
      <c r="G41" t="str">
        <f t="shared" si="0"/>
        <v>Active</v>
      </c>
      <c r="H41" s="1" t="str">
        <f t="shared" si="1"/>
        <v/>
      </c>
      <c r="J41">
        <f t="shared" si="2"/>
        <v>0</v>
      </c>
    </row>
    <row r="42" spans="1:10" x14ac:dyDescent="0.35">
      <c r="A42">
        <v>1041</v>
      </c>
      <c r="B42" s="1">
        <v>45464</v>
      </c>
      <c r="C42" t="s">
        <v>18</v>
      </c>
      <c r="D42">
        <v>200</v>
      </c>
      <c r="E42">
        <v>100</v>
      </c>
      <c r="G42" t="str">
        <f t="shared" si="0"/>
        <v>Active</v>
      </c>
      <c r="H42" s="1" t="str">
        <f t="shared" si="1"/>
        <v/>
      </c>
      <c r="J42">
        <f t="shared" si="2"/>
        <v>0</v>
      </c>
    </row>
    <row r="43" spans="1:10" x14ac:dyDescent="0.35">
      <c r="A43">
        <v>1042</v>
      </c>
      <c r="B43" s="1">
        <v>45400</v>
      </c>
      <c r="C43" t="s">
        <v>18</v>
      </c>
      <c r="D43">
        <v>200</v>
      </c>
      <c r="E43">
        <v>100</v>
      </c>
      <c r="F43" s="1">
        <v>45735</v>
      </c>
      <c r="G43" t="str">
        <f t="shared" si="0"/>
        <v>Churned</v>
      </c>
      <c r="H43" s="1">
        <f t="shared" si="1"/>
        <v>45717</v>
      </c>
      <c r="J43">
        <f t="shared" si="2"/>
        <v>1</v>
      </c>
    </row>
    <row r="44" spans="1:10" x14ac:dyDescent="0.35">
      <c r="A44">
        <v>1043</v>
      </c>
      <c r="B44" s="1">
        <v>45684</v>
      </c>
      <c r="C44" t="s">
        <v>21</v>
      </c>
      <c r="D44">
        <v>500</v>
      </c>
      <c r="E44">
        <v>200</v>
      </c>
      <c r="F44" s="1">
        <v>45727</v>
      </c>
      <c r="G44" t="str">
        <f t="shared" si="0"/>
        <v>Churned</v>
      </c>
      <c r="H44" s="1">
        <f t="shared" si="1"/>
        <v>45717</v>
      </c>
      <c r="J44">
        <f t="shared" si="2"/>
        <v>1</v>
      </c>
    </row>
    <row r="45" spans="1:10" x14ac:dyDescent="0.35">
      <c r="A45">
        <v>1044</v>
      </c>
      <c r="B45" s="1">
        <v>45716</v>
      </c>
      <c r="C45" t="s">
        <v>18</v>
      </c>
      <c r="D45">
        <v>200</v>
      </c>
      <c r="E45">
        <v>100</v>
      </c>
      <c r="G45" t="str">
        <f t="shared" si="0"/>
        <v>Active</v>
      </c>
      <c r="H45" s="1" t="str">
        <f t="shared" si="1"/>
        <v/>
      </c>
      <c r="J45">
        <f t="shared" si="2"/>
        <v>0</v>
      </c>
    </row>
    <row r="46" spans="1:10" x14ac:dyDescent="0.35">
      <c r="A46">
        <v>1045</v>
      </c>
      <c r="B46" s="1">
        <v>45838</v>
      </c>
      <c r="C46" t="s">
        <v>18</v>
      </c>
      <c r="D46">
        <v>200</v>
      </c>
      <c r="E46">
        <v>100</v>
      </c>
      <c r="G46" t="str">
        <f t="shared" si="0"/>
        <v>Active</v>
      </c>
      <c r="H46" s="1" t="str">
        <f t="shared" si="1"/>
        <v/>
      </c>
      <c r="J46">
        <f t="shared" si="2"/>
        <v>0</v>
      </c>
    </row>
    <row r="47" spans="1:10" x14ac:dyDescent="0.35">
      <c r="A47">
        <v>1046</v>
      </c>
      <c r="B47" s="1">
        <v>45553</v>
      </c>
      <c r="C47" t="s">
        <v>18</v>
      </c>
      <c r="D47">
        <v>200</v>
      </c>
      <c r="E47">
        <v>100</v>
      </c>
      <c r="G47" t="str">
        <f t="shared" si="0"/>
        <v>Active</v>
      </c>
      <c r="H47" s="1" t="str">
        <f t="shared" si="1"/>
        <v/>
      </c>
      <c r="J47">
        <f t="shared" si="2"/>
        <v>0</v>
      </c>
    </row>
    <row r="48" spans="1:10" x14ac:dyDescent="0.35">
      <c r="A48">
        <v>1047</v>
      </c>
      <c r="B48" s="1">
        <v>45662</v>
      </c>
      <c r="C48" t="s">
        <v>75</v>
      </c>
      <c r="D48">
        <v>50</v>
      </c>
      <c r="E48">
        <v>30</v>
      </c>
      <c r="F48" s="1">
        <v>45767</v>
      </c>
      <c r="G48" t="str">
        <f t="shared" si="0"/>
        <v>Churned</v>
      </c>
      <c r="H48" s="1">
        <f t="shared" si="1"/>
        <v>45748</v>
      </c>
      <c r="J48">
        <f t="shared" si="2"/>
        <v>1</v>
      </c>
    </row>
    <row r="49" spans="1:10" x14ac:dyDescent="0.35">
      <c r="A49">
        <v>1048</v>
      </c>
      <c r="B49" s="1">
        <v>45529</v>
      </c>
      <c r="C49" t="s">
        <v>21</v>
      </c>
      <c r="D49">
        <v>500</v>
      </c>
      <c r="E49">
        <v>200</v>
      </c>
      <c r="G49" t="str">
        <f t="shared" si="0"/>
        <v>Active</v>
      </c>
      <c r="H49" s="1" t="str">
        <f t="shared" si="1"/>
        <v/>
      </c>
      <c r="J49">
        <f t="shared" si="2"/>
        <v>0</v>
      </c>
    </row>
    <row r="50" spans="1:10" x14ac:dyDescent="0.35">
      <c r="A50">
        <v>1049</v>
      </c>
      <c r="B50" s="1">
        <v>45427</v>
      </c>
      <c r="C50" t="s">
        <v>18</v>
      </c>
      <c r="D50">
        <v>200</v>
      </c>
      <c r="E50">
        <v>100</v>
      </c>
      <c r="G50" t="str">
        <f t="shared" si="0"/>
        <v>Active</v>
      </c>
      <c r="H50" s="1" t="str">
        <f t="shared" si="1"/>
        <v/>
      </c>
      <c r="J50">
        <f t="shared" si="2"/>
        <v>0</v>
      </c>
    </row>
    <row r="51" spans="1:10" x14ac:dyDescent="0.35">
      <c r="A51">
        <v>1050</v>
      </c>
      <c r="B51" s="1">
        <v>45473</v>
      </c>
      <c r="C51" t="s">
        <v>18</v>
      </c>
      <c r="D51">
        <v>200</v>
      </c>
      <c r="E51">
        <v>100</v>
      </c>
      <c r="G51" t="str">
        <f t="shared" si="0"/>
        <v>Active</v>
      </c>
      <c r="H51" s="1" t="str">
        <f t="shared" si="1"/>
        <v/>
      </c>
      <c r="J51">
        <f t="shared" si="2"/>
        <v>0</v>
      </c>
    </row>
    <row r="52" spans="1:10" x14ac:dyDescent="0.35">
      <c r="A52">
        <v>1051</v>
      </c>
      <c r="B52" s="1">
        <v>45667</v>
      </c>
      <c r="C52" t="s">
        <v>18</v>
      </c>
      <c r="D52">
        <v>200</v>
      </c>
      <c r="E52">
        <v>100</v>
      </c>
      <c r="G52" t="str">
        <f t="shared" si="0"/>
        <v>Active</v>
      </c>
      <c r="H52" s="1" t="str">
        <f t="shared" si="1"/>
        <v/>
      </c>
      <c r="J52">
        <f t="shared" si="2"/>
        <v>0</v>
      </c>
    </row>
    <row r="53" spans="1:10" x14ac:dyDescent="0.35">
      <c r="A53">
        <v>1052</v>
      </c>
      <c r="B53" s="1">
        <v>45415</v>
      </c>
      <c r="C53" t="s">
        <v>75</v>
      </c>
      <c r="D53">
        <v>50</v>
      </c>
      <c r="E53">
        <v>30</v>
      </c>
      <c r="G53" t="str">
        <f t="shared" si="0"/>
        <v>Active</v>
      </c>
      <c r="H53" s="1" t="str">
        <f t="shared" si="1"/>
        <v/>
      </c>
      <c r="J53">
        <f t="shared" si="2"/>
        <v>0</v>
      </c>
    </row>
    <row r="54" spans="1:10" x14ac:dyDescent="0.35">
      <c r="A54">
        <v>1053</v>
      </c>
      <c r="B54" s="1">
        <v>45641</v>
      </c>
      <c r="C54" t="s">
        <v>21</v>
      </c>
      <c r="D54">
        <v>500</v>
      </c>
      <c r="E54">
        <v>200</v>
      </c>
      <c r="G54" t="str">
        <f t="shared" si="0"/>
        <v>Active</v>
      </c>
      <c r="H54" s="1" t="str">
        <f t="shared" si="1"/>
        <v/>
      </c>
      <c r="J54">
        <f t="shared" si="2"/>
        <v>0</v>
      </c>
    </row>
    <row r="55" spans="1:10" x14ac:dyDescent="0.35">
      <c r="A55">
        <v>1054</v>
      </c>
      <c r="B55" s="1">
        <v>45360</v>
      </c>
      <c r="C55" t="s">
        <v>18</v>
      </c>
      <c r="D55">
        <v>200</v>
      </c>
      <c r="E55">
        <v>100</v>
      </c>
      <c r="G55" t="str">
        <f t="shared" si="0"/>
        <v>Active</v>
      </c>
      <c r="H55" s="1" t="str">
        <f t="shared" si="1"/>
        <v/>
      </c>
      <c r="J55">
        <f t="shared" si="2"/>
        <v>0</v>
      </c>
    </row>
    <row r="56" spans="1:10" x14ac:dyDescent="0.35">
      <c r="A56">
        <v>1055</v>
      </c>
      <c r="B56" s="1">
        <v>45381</v>
      </c>
      <c r="C56" t="s">
        <v>21</v>
      </c>
      <c r="D56">
        <v>500</v>
      </c>
      <c r="E56">
        <v>200</v>
      </c>
      <c r="G56" t="str">
        <f t="shared" si="0"/>
        <v>Active</v>
      </c>
      <c r="H56" s="1" t="str">
        <f t="shared" si="1"/>
        <v/>
      </c>
      <c r="J56">
        <f t="shared" si="2"/>
        <v>0</v>
      </c>
    </row>
    <row r="57" spans="1:10" x14ac:dyDescent="0.35">
      <c r="A57">
        <v>1056</v>
      </c>
      <c r="B57" s="1">
        <v>45577</v>
      </c>
      <c r="C57" t="s">
        <v>18</v>
      </c>
      <c r="D57">
        <v>200</v>
      </c>
      <c r="E57">
        <v>100</v>
      </c>
      <c r="F57" s="1">
        <v>45641</v>
      </c>
      <c r="G57" t="str">
        <f t="shared" si="0"/>
        <v>Churned</v>
      </c>
      <c r="H57" s="1">
        <f t="shared" si="1"/>
        <v>45627</v>
      </c>
      <c r="J57">
        <f t="shared" si="2"/>
        <v>1</v>
      </c>
    </row>
    <row r="58" spans="1:10" x14ac:dyDescent="0.35">
      <c r="A58">
        <v>1057</v>
      </c>
      <c r="B58" s="1">
        <v>45387</v>
      </c>
      <c r="C58" t="s">
        <v>75</v>
      </c>
      <c r="D58">
        <v>50</v>
      </c>
      <c r="E58">
        <v>30</v>
      </c>
      <c r="G58" t="str">
        <f t="shared" si="0"/>
        <v>Active</v>
      </c>
      <c r="H58" s="1" t="str">
        <f t="shared" si="1"/>
        <v/>
      </c>
      <c r="J58">
        <f t="shared" si="2"/>
        <v>0</v>
      </c>
    </row>
    <row r="59" spans="1:10" x14ac:dyDescent="0.35">
      <c r="A59">
        <v>1058</v>
      </c>
      <c r="B59" s="1">
        <v>45811</v>
      </c>
      <c r="C59" t="s">
        <v>21</v>
      </c>
      <c r="D59">
        <v>500</v>
      </c>
      <c r="E59">
        <v>200</v>
      </c>
      <c r="G59" t="str">
        <f t="shared" si="0"/>
        <v>Active</v>
      </c>
      <c r="H59" s="1" t="str">
        <f t="shared" si="1"/>
        <v/>
      </c>
      <c r="J59">
        <f t="shared" si="2"/>
        <v>0</v>
      </c>
    </row>
    <row r="60" spans="1:10" x14ac:dyDescent="0.35">
      <c r="A60">
        <v>1059</v>
      </c>
      <c r="B60" s="1">
        <v>45327</v>
      </c>
      <c r="C60" t="s">
        <v>21</v>
      </c>
      <c r="D60">
        <v>500</v>
      </c>
      <c r="E60">
        <v>200</v>
      </c>
      <c r="G60" t="str">
        <f t="shared" si="0"/>
        <v>Active</v>
      </c>
      <c r="H60" s="1" t="str">
        <f t="shared" si="1"/>
        <v/>
      </c>
      <c r="J60">
        <f t="shared" si="2"/>
        <v>0</v>
      </c>
    </row>
    <row r="61" spans="1:10" x14ac:dyDescent="0.35">
      <c r="A61">
        <v>1060</v>
      </c>
      <c r="B61" s="1">
        <v>45747</v>
      </c>
      <c r="C61" t="s">
        <v>75</v>
      </c>
      <c r="D61">
        <v>50</v>
      </c>
      <c r="E61">
        <v>30</v>
      </c>
      <c r="F61" s="1">
        <v>45818</v>
      </c>
      <c r="G61" t="str">
        <f t="shared" si="0"/>
        <v>Churned</v>
      </c>
      <c r="H61" s="1">
        <f t="shared" si="1"/>
        <v>45809</v>
      </c>
      <c r="J61">
        <f t="shared" si="2"/>
        <v>1</v>
      </c>
    </row>
    <row r="62" spans="1:10" x14ac:dyDescent="0.35">
      <c r="A62">
        <v>1061</v>
      </c>
      <c r="B62" s="1">
        <v>45696</v>
      </c>
      <c r="C62" t="s">
        <v>75</v>
      </c>
      <c r="D62">
        <v>50</v>
      </c>
      <c r="E62">
        <v>30</v>
      </c>
      <c r="G62" t="str">
        <f t="shared" si="0"/>
        <v>Active</v>
      </c>
      <c r="H62" s="1" t="str">
        <f t="shared" si="1"/>
        <v/>
      </c>
      <c r="J62">
        <f t="shared" si="2"/>
        <v>0</v>
      </c>
    </row>
    <row r="63" spans="1:10" x14ac:dyDescent="0.35">
      <c r="A63">
        <v>1062</v>
      </c>
      <c r="B63" s="1">
        <v>45790</v>
      </c>
      <c r="C63" t="s">
        <v>18</v>
      </c>
      <c r="D63">
        <v>200</v>
      </c>
      <c r="E63">
        <v>100</v>
      </c>
      <c r="F63" s="1">
        <v>45820</v>
      </c>
      <c r="G63" t="str">
        <f t="shared" si="0"/>
        <v>Churned</v>
      </c>
      <c r="H63" s="1">
        <f t="shared" si="1"/>
        <v>45809</v>
      </c>
      <c r="J63">
        <f t="shared" si="2"/>
        <v>1</v>
      </c>
    </row>
    <row r="64" spans="1:10" x14ac:dyDescent="0.35">
      <c r="A64">
        <v>1063</v>
      </c>
      <c r="B64" s="1">
        <v>45501</v>
      </c>
      <c r="C64" t="s">
        <v>18</v>
      </c>
      <c r="D64">
        <v>200</v>
      </c>
      <c r="E64">
        <v>100</v>
      </c>
      <c r="G64" t="str">
        <f t="shared" si="0"/>
        <v>Active</v>
      </c>
      <c r="H64" s="1" t="str">
        <f t="shared" si="1"/>
        <v/>
      </c>
      <c r="J64">
        <f t="shared" si="2"/>
        <v>0</v>
      </c>
    </row>
    <row r="65" spans="1:10" x14ac:dyDescent="0.35">
      <c r="A65">
        <v>1064</v>
      </c>
      <c r="B65" s="1">
        <v>45779</v>
      </c>
      <c r="C65" t="s">
        <v>75</v>
      </c>
      <c r="D65">
        <v>50</v>
      </c>
      <c r="E65">
        <v>30</v>
      </c>
      <c r="G65" t="str">
        <f t="shared" si="0"/>
        <v>Active</v>
      </c>
      <c r="H65" s="1" t="str">
        <f t="shared" si="1"/>
        <v/>
      </c>
      <c r="J65">
        <f t="shared" si="2"/>
        <v>0</v>
      </c>
    </row>
    <row r="66" spans="1:10" x14ac:dyDescent="0.35">
      <c r="A66">
        <v>1065</v>
      </c>
      <c r="B66" s="1">
        <v>45498</v>
      </c>
      <c r="C66" t="s">
        <v>21</v>
      </c>
      <c r="D66">
        <v>500</v>
      </c>
      <c r="E66">
        <v>200</v>
      </c>
      <c r="G66" t="str">
        <f t="shared" si="0"/>
        <v>Active</v>
      </c>
      <c r="H66" s="1" t="str">
        <f t="shared" si="1"/>
        <v/>
      </c>
      <c r="J66">
        <f t="shared" si="2"/>
        <v>0</v>
      </c>
    </row>
    <row r="67" spans="1:10" x14ac:dyDescent="0.35">
      <c r="A67">
        <v>1066</v>
      </c>
      <c r="B67" s="1">
        <v>45636</v>
      </c>
      <c r="C67" t="s">
        <v>21</v>
      </c>
      <c r="D67">
        <v>500</v>
      </c>
      <c r="E67">
        <v>200</v>
      </c>
      <c r="G67" t="str">
        <f t="shared" ref="G67:G130" si="3">IF(F67="","Active","Churned")</f>
        <v>Active</v>
      </c>
      <c r="H67" s="1" t="str">
        <f t="shared" ref="H67:H130" si="4">IF(F67="","",DATE(YEAR(F67),MONTH(F67),1))</f>
        <v/>
      </c>
      <c r="J67">
        <f t="shared" ref="J67:J130" si="5">IF(G67="Churned",1,0)</f>
        <v>0</v>
      </c>
    </row>
    <row r="68" spans="1:10" x14ac:dyDescent="0.35">
      <c r="A68">
        <v>1067</v>
      </c>
      <c r="B68" s="1">
        <v>45711</v>
      </c>
      <c r="C68" t="s">
        <v>21</v>
      </c>
      <c r="D68">
        <v>500</v>
      </c>
      <c r="E68">
        <v>200</v>
      </c>
      <c r="G68" t="str">
        <f t="shared" si="3"/>
        <v>Active</v>
      </c>
      <c r="H68" s="1" t="str">
        <f t="shared" si="4"/>
        <v/>
      </c>
      <c r="J68">
        <f t="shared" si="5"/>
        <v>0</v>
      </c>
    </row>
    <row r="69" spans="1:10" x14ac:dyDescent="0.35">
      <c r="A69">
        <v>1068</v>
      </c>
      <c r="B69" s="1">
        <v>45356</v>
      </c>
      <c r="C69" t="s">
        <v>18</v>
      </c>
      <c r="D69">
        <v>200</v>
      </c>
      <c r="E69">
        <v>100</v>
      </c>
      <c r="G69" t="str">
        <f t="shared" si="3"/>
        <v>Active</v>
      </c>
      <c r="H69" s="1" t="str">
        <f t="shared" si="4"/>
        <v/>
      </c>
      <c r="J69">
        <f t="shared" si="5"/>
        <v>0</v>
      </c>
    </row>
    <row r="70" spans="1:10" x14ac:dyDescent="0.35">
      <c r="A70">
        <v>1069</v>
      </c>
      <c r="B70" s="1">
        <v>45338</v>
      </c>
      <c r="C70" t="s">
        <v>21</v>
      </c>
      <c r="D70">
        <v>500</v>
      </c>
      <c r="E70">
        <v>200</v>
      </c>
      <c r="G70" t="str">
        <f t="shared" si="3"/>
        <v>Active</v>
      </c>
      <c r="H70" s="1" t="str">
        <f t="shared" si="4"/>
        <v/>
      </c>
      <c r="J70">
        <f t="shared" si="5"/>
        <v>0</v>
      </c>
    </row>
    <row r="71" spans="1:10" x14ac:dyDescent="0.35">
      <c r="A71">
        <v>1070</v>
      </c>
      <c r="B71" s="1">
        <v>45301</v>
      </c>
      <c r="C71" t="s">
        <v>18</v>
      </c>
      <c r="D71">
        <v>200</v>
      </c>
      <c r="E71">
        <v>100</v>
      </c>
      <c r="G71" t="str">
        <f t="shared" si="3"/>
        <v>Active</v>
      </c>
      <c r="H71" s="1" t="str">
        <f t="shared" si="4"/>
        <v/>
      </c>
      <c r="J71">
        <f t="shared" si="5"/>
        <v>0</v>
      </c>
    </row>
    <row r="72" spans="1:10" x14ac:dyDescent="0.35">
      <c r="A72">
        <v>1071</v>
      </c>
      <c r="B72" s="1">
        <v>45611</v>
      </c>
      <c r="C72" t="s">
        <v>21</v>
      </c>
      <c r="D72">
        <v>500</v>
      </c>
      <c r="E72">
        <v>200</v>
      </c>
      <c r="G72" t="str">
        <f t="shared" si="3"/>
        <v>Active</v>
      </c>
      <c r="H72" s="1" t="str">
        <f t="shared" si="4"/>
        <v/>
      </c>
      <c r="J72">
        <f t="shared" si="5"/>
        <v>0</v>
      </c>
    </row>
    <row r="73" spans="1:10" x14ac:dyDescent="0.35">
      <c r="A73">
        <v>1072</v>
      </c>
      <c r="B73" s="1">
        <v>45712</v>
      </c>
      <c r="C73" t="s">
        <v>18</v>
      </c>
      <c r="D73">
        <v>200</v>
      </c>
      <c r="E73">
        <v>100</v>
      </c>
      <c r="G73" t="str">
        <f t="shared" si="3"/>
        <v>Active</v>
      </c>
      <c r="H73" s="1" t="str">
        <f t="shared" si="4"/>
        <v/>
      </c>
      <c r="J73">
        <f t="shared" si="5"/>
        <v>0</v>
      </c>
    </row>
    <row r="74" spans="1:10" x14ac:dyDescent="0.35">
      <c r="A74">
        <v>1073</v>
      </c>
      <c r="B74" s="1">
        <v>45299</v>
      </c>
      <c r="C74" t="s">
        <v>21</v>
      </c>
      <c r="D74">
        <v>500</v>
      </c>
      <c r="E74">
        <v>200</v>
      </c>
      <c r="G74" t="str">
        <f t="shared" si="3"/>
        <v>Active</v>
      </c>
      <c r="H74" s="1" t="str">
        <f t="shared" si="4"/>
        <v/>
      </c>
      <c r="J74">
        <f t="shared" si="5"/>
        <v>0</v>
      </c>
    </row>
    <row r="75" spans="1:10" x14ac:dyDescent="0.35">
      <c r="A75">
        <v>1074</v>
      </c>
      <c r="B75" s="1">
        <v>45513</v>
      </c>
      <c r="C75" t="s">
        <v>21</v>
      </c>
      <c r="D75">
        <v>500</v>
      </c>
      <c r="E75">
        <v>200</v>
      </c>
      <c r="F75" s="1">
        <v>45790</v>
      </c>
      <c r="G75" t="str">
        <f t="shared" si="3"/>
        <v>Churned</v>
      </c>
      <c r="H75" s="1">
        <f t="shared" si="4"/>
        <v>45778</v>
      </c>
      <c r="J75">
        <f t="shared" si="5"/>
        <v>1</v>
      </c>
    </row>
    <row r="76" spans="1:10" x14ac:dyDescent="0.35">
      <c r="A76">
        <v>1075</v>
      </c>
      <c r="B76" s="1">
        <v>45579</v>
      </c>
      <c r="C76" t="s">
        <v>21</v>
      </c>
      <c r="D76">
        <v>500</v>
      </c>
      <c r="E76">
        <v>200</v>
      </c>
      <c r="F76" s="1">
        <v>45833</v>
      </c>
      <c r="G76" t="str">
        <f t="shared" si="3"/>
        <v>Churned</v>
      </c>
      <c r="H76" s="1">
        <f t="shared" si="4"/>
        <v>45809</v>
      </c>
      <c r="J76">
        <f t="shared" si="5"/>
        <v>1</v>
      </c>
    </row>
    <row r="77" spans="1:10" x14ac:dyDescent="0.35">
      <c r="A77">
        <v>1076</v>
      </c>
      <c r="B77" s="1">
        <v>45652</v>
      </c>
      <c r="C77" t="s">
        <v>21</v>
      </c>
      <c r="D77">
        <v>500</v>
      </c>
      <c r="E77">
        <v>200</v>
      </c>
      <c r="G77" t="str">
        <f t="shared" si="3"/>
        <v>Active</v>
      </c>
      <c r="H77" s="1" t="str">
        <f t="shared" si="4"/>
        <v/>
      </c>
      <c r="J77">
        <f t="shared" si="5"/>
        <v>0</v>
      </c>
    </row>
    <row r="78" spans="1:10" x14ac:dyDescent="0.35">
      <c r="A78">
        <v>1077</v>
      </c>
      <c r="B78" s="1">
        <v>45447</v>
      </c>
      <c r="C78" t="s">
        <v>75</v>
      </c>
      <c r="D78">
        <v>50</v>
      </c>
      <c r="E78">
        <v>30</v>
      </c>
      <c r="G78" t="str">
        <f t="shared" si="3"/>
        <v>Active</v>
      </c>
      <c r="H78" s="1" t="str">
        <f t="shared" si="4"/>
        <v/>
      </c>
      <c r="J78">
        <f t="shared" si="5"/>
        <v>0</v>
      </c>
    </row>
    <row r="79" spans="1:10" x14ac:dyDescent="0.35">
      <c r="A79">
        <v>1078</v>
      </c>
      <c r="B79" s="1">
        <v>45556</v>
      </c>
      <c r="C79" t="s">
        <v>75</v>
      </c>
      <c r="D79">
        <v>50</v>
      </c>
      <c r="E79">
        <v>30</v>
      </c>
      <c r="G79" t="str">
        <f t="shared" si="3"/>
        <v>Active</v>
      </c>
      <c r="H79" s="1" t="str">
        <f t="shared" si="4"/>
        <v/>
      </c>
      <c r="J79">
        <f t="shared" si="5"/>
        <v>0</v>
      </c>
    </row>
    <row r="80" spans="1:10" x14ac:dyDescent="0.35">
      <c r="A80">
        <v>1079</v>
      </c>
      <c r="B80" s="1">
        <v>45368</v>
      </c>
      <c r="C80" t="s">
        <v>75</v>
      </c>
      <c r="D80">
        <v>50</v>
      </c>
      <c r="E80">
        <v>30</v>
      </c>
      <c r="G80" t="str">
        <f t="shared" si="3"/>
        <v>Active</v>
      </c>
      <c r="H80" s="1" t="str">
        <f t="shared" si="4"/>
        <v/>
      </c>
      <c r="J80">
        <f t="shared" si="5"/>
        <v>0</v>
      </c>
    </row>
    <row r="81" spans="1:10" x14ac:dyDescent="0.35">
      <c r="A81">
        <v>1080</v>
      </c>
      <c r="B81" s="1">
        <v>45344</v>
      </c>
      <c r="C81" t="s">
        <v>21</v>
      </c>
      <c r="D81">
        <v>500</v>
      </c>
      <c r="E81">
        <v>200</v>
      </c>
      <c r="G81" t="str">
        <f t="shared" si="3"/>
        <v>Active</v>
      </c>
      <c r="H81" s="1" t="str">
        <f t="shared" si="4"/>
        <v/>
      </c>
      <c r="J81">
        <f t="shared" si="5"/>
        <v>0</v>
      </c>
    </row>
    <row r="82" spans="1:10" x14ac:dyDescent="0.35">
      <c r="A82">
        <v>1081</v>
      </c>
      <c r="B82" s="1">
        <v>45474</v>
      </c>
      <c r="C82" t="s">
        <v>75</v>
      </c>
      <c r="D82">
        <v>50</v>
      </c>
      <c r="E82">
        <v>30</v>
      </c>
      <c r="G82" t="str">
        <f t="shared" si="3"/>
        <v>Active</v>
      </c>
      <c r="H82" s="1" t="str">
        <f t="shared" si="4"/>
        <v/>
      </c>
      <c r="J82">
        <f t="shared" si="5"/>
        <v>0</v>
      </c>
    </row>
    <row r="83" spans="1:10" x14ac:dyDescent="0.35">
      <c r="A83">
        <v>1082</v>
      </c>
      <c r="B83" s="1">
        <v>45736</v>
      </c>
      <c r="C83" t="s">
        <v>18</v>
      </c>
      <c r="D83">
        <v>200</v>
      </c>
      <c r="E83">
        <v>100</v>
      </c>
      <c r="G83" t="str">
        <f t="shared" si="3"/>
        <v>Active</v>
      </c>
      <c r="H83" s="1" t="str">
        <f t="shared" si="4"/>
        <v/>
      </c>
      <c r="J83">
        <f t="shared" si="5"/>
        <v>0</v>
      </c>
    </row>
    <row r="84" spans="1:10" x14ac:dyDescent="0.35">
      <c r="A84">
        <v>1083</v>
      </c>
      <c r="B84" s="1">
        <v>45567</v>
      </c>
      <c r="C84" t="s">
        <v>18</v>
      </c>
      <c r="D84">
        <v>200</v>
      </c>
      <c r="E84">
        <v>100</v>
      </c>
      <c r="G84" t="str">
        <f t="shared" si="3"/>
        <v>Active</v>
      </c>
      <c r="H84" s="1" t="str">
        <f t="shared" si="4"/>
        <v/>
      </c>
      <c r="J84">
        <f t="shared" si="5"/>
        <v>0</v>
      </c>
    </row>
    <row r="85" spans="1:10" x14ac:dyDescent="0.35">
      <c r="A85">
        <v>1084</v>
      </c>
      <c r="B85" s="1">
        <v>45293</v>
      </c>
      <c r="C85" t="s">
        <v>75</v>
      </c>
      <c r="D85">
        <v>50</v>
      </c>
      <c r="E85">
        <v>30</v>
      </c>
      <c r="G85" t="str">
        <f t="shared" si="3"/>
        <v>Active</v>
      </c>
      <c r="H85" s="1" t="str">
        <f t="shared" si="4"/>
        <v/>
      </c>
      <c r="J85">
        <f t="shared" si="5"/>
        <v>0</v>
      </c>
    </row>
    <row r="86" spans="1:10" x14ac:dyDescent="0.35">
      <c r="A86">
        <v>1085</v>
      </c>
      <c r="B86" s="1">
        <v>45589</v>
      </c>
      <c r="C86" t="s">
        <v>75</v>
      </c>
      <c r="D86">
        <v>50</v>
      </c>
      <c r="E86">
        <v>30</v>
      </c>
      <c r="F86" s="1">
        <v>45798</v>
      </c>
      <c r="G86" t="str">
        <f t="shared" si="3"/>
        <v>Churned</v>
      </c>
      <c r="H86" s="1">
        <f t="shared" si="4"/>
        <v>45778</v>
      </c>
      <c r="J86">
        <f t="shared" si="5"/>
        <v>1</v>
      </c>
    </row>
    <row r="87" spans="1:10" x14ac:dyDescent="0.35">
      <c r="A87">
        <v>1086</v>
      </c>
      <c r="B87" s="1">
        <v>45320</v>
      </c>
      <c r="C87" t="s">
        <v>21</v>
      </c>
      <c r="D87">
        <v>500</v>
      </c>
      <c r="E87">
        <v>200</v>
      </c>
      <c r="G87" t="str">
        <f t="shared" si="3"/>
        <v>Active</v>
      </c>
      <c r="H87" s="1" t="str">
        <f t="shared" si="4"/>
        <v/>
      </c>
      <c r="J87">
        <f t="shared" si="5"/>
        <v>0</v>
      </c>
    </row>
    <row r="88" spans="1:10" x14ac:dyDescent="0.35">
      <c r="A88">
        <v>1087</v>
      </c>
      <c r="B88" s="1">
        <v>45492</v>
      </c>
      <c r="C88" t="s">
        <v>21</v>
      </c>
      <c r="D88">
        <v>500</v>
      </c>
      <c r="E88">
        <v>200</v>
      </c>
      <c r="G88" t="str">
        <f t="shared" si="3"/>
        <v>Active</v>
      </c>
      <c r="H88" s="1" t="str">
        <f t="shared" si="4"/>
        <v/>
      </c>
      <c r="J88">
        <f t="shared" si="5"/>
        <v>0</v>
      </c>
    </row>
    <row r="89" spans="1:10" x14ac:dyDescent="0.35">
      <c r="A89">
        <v>1088</v>
      </c>
      <c r="B89" s="1">
        <v>45670</v>
      </c>
      <c r="C89" t="s">
        <v>18</v>
      </c>
      <c r="D89">
        <v>200</v>
      </c>
      <c r="E89">
        <v>100</v>
      </c>
      <c r="G89" t="str">
        <f t="shared" si="3"/>
        <v>Active</v>
      </c>
      <c r="H89" s="1" t="str">
        <f t="shared" si="4"/>
        <v/>
      </c>
      <c r="J89">
        <f t="shared" si="5"/>
        <v>0</v>
      </c>
    </row>
    <row r="90" spans="1:10" x14ac:dyDescent="0.35">
      <c r="A90">
        <v>1089</v>
      </c>
      <c r="B90" s="1">
        <v>45455</v>
      </c>
      <c r="C90" t="s">
        <v>75</v>
      </c>
      <c r="D90">
        <v>50</v>
      </c>
      <c r="E90">
        <v>30</v>
      </c>
      <c r="G90" t="str">
        <f t="shared" si="3"/>
        <v>Active</v>
      </c>
      <c r="H90" s="1" t="str">
        <f t="shared" si="4"/>
        <v/>
      </c>
      <c r="J90">
        <f t="shared" si="5"/>
        <v>0</v>
      </c>
    </row>
    <row r="91" spans="1:10" x14ac:dyDescent="0.35">
      <c r="A91">
        <v>1090</v>
      </c>
      <c r="B91" s="1">
        <v>45615</v>
      </c>
      <c r="C91" t="s">
        <v>21</v>
      </c>
      <c r="D91">
        <v>500</v>
      </c>
      <c r="E91">
        <v>200</v>
      </c>
      <c r="G91" t="str">
        <f t="shared" si="3"/>
        <v>Active</v>
      </c>
      <c r="H91" s="1" t="str">
        <f t="shared" si="4"/>
        <v/>
      </c>
      <c r="J91">
        <f t="shared" si="5"/>
        <v>0</v>
      </c>
    </row>
    <row r="92" spans="1:10" x14ac:dyDescent="0.35">
      <c r="A92">
        <v>1091</v>
      </c>
      <c r="B92" s="1">
        <v>45504</v>
      </c>
      <c r="C92" t="s">
        <v>18</v>
      </c>
      <c r="D92">
        <v>200</v>
      </c>
      <c r="E92">
        <v>100</v>
      </c>
      <c r="G92" t="str">
        <f t="shared" si="3"/>
        <v>Active</v>
      </c>
      <c r="H92" s="1" t="str">
        <f t="shared" si="4"/>
        <v/>
      </c>
      <c r="J92">
        <f t="shared" si="5"/>
        <v>0</v>
      </c>
    </row>
    <row r="93" spans="1:10" x14ac:dyDescent="0.35">
      <c r="A93">
        <v>1092</v>
      </c>
      <c r="B93" s="1">
        <v>45434</v>
      </c>
      <c r="C93" t="s">
        <v>18</v>
      </c>
      <c r="D93">
        <v>200</v>
      </c>
      <c r="E93">
        <v>100</v>
      </c>
      <c r="G93" t="str">
        <f t="shared" si="3"/>
        <v>Active</v>
      </c>
      <c r="H93" s="1" t="str">
        <f t="shared" si="4"/>
        <v/>
      </c>
      <c r="J93">
        <f t="shared" si="5"/>
        <v>0</v>
      </c>
    </row>
    <row r="94" spans="1:10" x14ac:dyDescent="0.35">
      <c r="A94">
        <v>1093</v>
      </c>
      <c r="B94" s="1">
        <v>45502</v>
      </c>
      <c r="C94" t="s">
        <v>18</v>
      </c>
      <c r="D94">
        <v>200</v>
      </c>
      <c r="E94">
        <v>100</v>
      </c>
      <c r="G94" t="str">
        <f t="shared" si="3"/>
        <v>Active</v>
      </c>
      <c r="H94" s="1" t="str">
        <f t="shared" si="4"/>
        <v/>
      </c>
      <c r="J94">
        <f t="shared" si="5"/>
        <v>0</v>
      </c>
    </row>
    <row r="95" spans="1:10" x14ac:dyDescent="0.35">
      <c r="A95">
        <v>1094</v>
      </c>
      <c r="B95" s="1">
        <v>45657</v>
      </c>
      <c r="C95" t="s">
        <v>21</v>
      </c>
      <c r="D95">
        <v>500</v>
      </c>
      <c r="E95">
        <v>200</v>
      </c>
      <c r="G95" t="str">
        <f t="shared" si="3"/>
        <v>Active</v>
      </c>
      <c r="H95" s="1" t="str">
        <f t="shared" si="4"/>
        <v/>
      </c>
      <c r="J95">
        <f t="shared" si="5"/>
        <v>0</v>
      </c>
    </row>
    <row r="96" spans="1:10" x14ac:dyDescent="0.35">
      <c r="A96">
        <v>1095</v>
      </c>
      <c r="B96" s="1">
        <v>45421</v>
      </c>
      <c r="C96" t="s">
        <v>21</v>
      </c>
      <c r="D96">
        <v>500</v>
      </c>
      <c r="E96">
        <v>200</v>
      </c>
      <c r="F96" s="1">
        <v>45515</v>
      </c>
      <c r="G96" t="str">
        <f t="shared" si="3"/>
        <v>Churned</v>
      </c>
      <c r="H96" s="1">
        <f t="shared" si="4"/>
        <v>45505</v>
      </c>
      <c r="J96">
        <f t="shared" si="5"/>
        <v>1</v>
      </c>
    </row>
    <row r="97" spans="1:10" x14ac:dyDescent="0.35">
      <c r="A97">
        <v>1096</v>
      </c>
      <c r="B97" s="1">
        <v>45818</v>
      </c>
      <c r="C97" t="s">
        <v>21</v>
      </c>
      <c r="D97">
        <v>500</v>
      </c>
      <c r="E97">
        <v>200</v>
      </c>
      <c r="G97" t="str">
        <f t="shared" si="3"/>
        <v>Active</v>
      </c>
      <c r="H97" s="1" t="str">
        <f t="shared" si="4"/>
        <v/>
      </c>
      <c r="J97">
        <f t="shared" si="5"/>
        <v>0</v>
      </c>
    </row>
    <row r="98" spans="1:10" x14ac:dyDescent="0.35">
      <c r="A98">
        <v>1097</v>
      </c>
      <c r="B98" s="1">
        <v>45438</v>
      </c>
      <c r="C98" t="s">
        <v>21</v>
      </c>
      <c r="D98">
        <v>500</v>
      </c>
      <c r="E98">
        <v>200</v>
      </c>
      <c r="G98" t="str">
        <f t="shared" si="3"/>
        <v>Active</v>
      </c>
      <c r="H98" s="1" t="str">
        <f t="shared" si="4"/>
        <v/>
      </c>
      <c r="J98">
        <f t="shared" si="5"/>
        <v>0</v>
      </c>
    </row>
    <row r="99" spans="1:10" x14ac:dyDescent="0.35">
      <c r="A99">
        <v>1098</v>
      </c>
      <c r="B99" s="1">
        <v>45659</v>
      </c>
      <c r="C99" t="s">
        <v>21</v>
      </c>
      <c r="D99">
        <v>500</v>
      </c>
      <c r="E99">
        <v>200</v>
      </c>
      <c r="G99" t="str">
        <f t="shared" si="3"/>
        <v>Active</v>
      </c>
      <c r="H99" s="1" t="str">
        <f t="shared" si="4"/>
        <v/>
      </c>
      <c r="J99">
        <f t="shared" si="5"/>
        <v>0</v>
      </c>
    </row>
    <row r="100" spans="1:10" x14ac:dyDescent="0.35">
      <c r="A100">
        <v>1099</v>
      </c>
      <c r="B100" s="1">
        <v>45678</v>
      </c>
      <c r="C100" t="s">
        <v>21</v>
      </c>
      <c r="D100">
        <v>500</v>
      </c>
      <c r="E100">
        <v>200</v>
      </c>
      <c r="G100" t="str">
        <f t="shared" si="3"/>
        <v>Active</v>
      </c>
      <c r="H100" s="1" t="str">
        <f t="shared" si="4"/>
        <v/>
      </c>
      <c r="J100">
        <f t="shared" si="5"/>
        <v>0</v>
      </c>
    </row>
    <row r="101" spans="1:10" x14ac:dyDescent="0.35">
      <c r="A101">
        <v>1100</v>
      </c>
      <c r="B101" s="1">
        <v>45432</v>
      </c>
      <c r="C101" t="s">
        <v>21</v>
      </c>
      <c r="D101">
        <v>500</v>
      </c>
      <c r="E101">
        <v>200</v>
      </c>
      <c r="G101" t="str">
        <f t="shared" si="3"/>
        <v>Active</v>
      </c>
      <c r="H101" s="1" t="str">
        <f t="shared" si="4"/>
        <v/>
      </c>
      <c r="J101">
        <f t="shared" si="5"/>
        <v>0</v>
      </c>
    </row>
    <row r="102" spans="1:10" x14ac:dyDescent="0.35">
      <c r="A102">
        <v>1101</v>
      </c>
      <c r="B102" s="1">
        <v>45541</v>
      </c>
      <c r="C102" t="s">
        <v>21</v>
      </c>
      <c r="D102">
        <v>500</v>
      </c>
      <c r="E102">
        <v>200</v>
      </c>
      <c r="G102" t="str">
        <f t="shared" si="3"/>
        <v>Active</v>
      </c>
      <c r="H102" s="1" t="str">
        <f t="shared" si="4"/>
        <v/>
      </c>
      <c r="J102">
        <f t="shared" si="5"/>
        <v>0</v>
      </c>
    </row>
    <row r="103" spans="1:10" x14ac:dyDescent="0.35">
      <c r="A103">
        <v>1102</v>
      </c>
      <c r="B103" s="1">
        <v>45833</v>
      </c>
      <c r="C103" t="s">
        <v>18</v>
      </c>
      <c r="D103">
        <v>200</v>
      </c>
      <c r="E103">
        <v>100</v>
      </c>
      <c r="G103" t="str">
        <f t="shared" si="3"/>
        <v>Active</v>
      </c>
      <c r="H103" s="1" t="str">
        <f t="shared" si="4"/>
        <v/>
      </c>
      <c r="J103">
        <f t="shared" si="5"/>
        <v>0</v>
      </c>
    </row>
    <row r="104" spans="1:10" x14ac:dyDescent="0.35">
      <c r="A104">
        <v>1103</v>
      </c>
      <c r="B104" s="1">
        <v>45355</v>
      </c>
      <c r="C104" t="s">
        <v>75</v>
      </c>
      <c r="D104">
        <v>50</v>
      </c>
      <c r="E104">
        <v>30</v>
      </c>
      <c r="G104" t="str">
        <f t="shared" si="3"/>
        <v>Active</v>
      </c>
      <c r="H104" s="1" t="str">
        <f t="shared" si="4"/>
        <v/>
      </c>
      <c r="J104">
        <f t="shared" si="5"/>
        <v>0</v>
      </c>
    </row>
    <row r="105" spans="1:10" x14ac:dyDescent="0.35">
      <c r="A105">
        <v>1104</v>
      </c>
      <c r="B105" s="1">
        <v>45358</v>
      </c>
      <c r="C105" t="s">
        <v>18</v>
      </c>
      <c r="D105">
        <v>200</v>
      </c>
      <c r="E105">
        <v>100</v>
      </c>
      <c r="G105" t="str">
        <f t="shared" si="3"/>
        <v>Active</v>
      </c>
      <c r="H105" s="1" t="str">
        <f t="shared" si="4"/>
        <v/>
      </c>
      <c r="J105">
        <f t="shared" si="5"/>
        <v>0</v>
      </c>
    </row>
    <row r="106" spans="1:10" x14ac:dyDescent="0.35">
      <c r="A106">
        <v>1105</v>
      </c>
      <c r="B106" s="1">
        <v>45686</v>
      </c>
      <c r="C106" t="s">
        <v>75</v>
      </c>
      <c r="D106">
        <v>50</v>
      </c>
      <c r="E106">
        <v>30</v>
      </c>
      <c r="G106" t="str">
        <f t="shared" si="3"/>
        <v>Active</v>
      </c>
      <c r="H106" s="1" t="str">
        <f t="shared" si="4"/>
        <v/>
      </c>
      <c r="J106">
        <f t="shared" si="5"/>
        <v>0</v>
      </c>
    </row>
    <row r="107" spans="1:10" x14ac:dyDescent="0.35">
      <c r="A107">
        <v>1106</v>
      </c>
      <c r="B107" s="1">
        <v>45498</v>
      </c>
      <c r="C107" t="s">
        <v>18</v>
      </c>
      <c r="D107">
        <v>200</v>
      </c>
      <c r="E107">
        <v>100</v>
      </c>
      <c r="G107" t="str">
        <f t="shared" si="3"/>
        <v>Active</v>
      </c>
      <c r="H107" s="1" t="str">
        <f t="shared" si="4"/>
        <v/>
      </c>
      <c r="J107">
        <f t="shared" si="5"/>
        <v>0</v>
      </c>
    </row>
    <row r="108" spans="1:10" x14ac:dyDescent="0.35">
      <c r="A108">
        <v>1107</v>
      </c>
      <c r="B108" s="1">
        <v>45341</v>
      </c>
      <c r="C108" t="s">
        <v>18</v>
      </c>
      <c r="D108">
        <v>200</v>
      </c>
      <c r="E108">
        <v>100</v>
      </c>
      <c r="G108" t="str">
        <f t="shared" si="3"/>
        <v>Active</v>
      </c>
      <c r="H108" s="1" t="str">
        <f t="shared" si="4"/>
        <v/>
      </c>
      <c r="J108">
        <f t="shared" si="5"/>
        <v>0</v>
      </c>
    </row>
    <row r="109" spans="1:10" x14ac:dyDescent="0.35">
      <c r="A109">
        <v>1108</v>
      </c>
      <c r="B109" s="1">
        <v>45615</v>
      </c>
      <c r="C109" t="s">
        <v>18</v>
      </c>
      <c r="D109">
        <v>200</v>
      </c>
      <c r="E109">
        <v>100</v>
      </c>
      <c r="G109" t="str">
        <f t="shared" si="3"/>
        <v>Active</v>
      </c>
      <c r="H109" s="1" t="str">
        <f t="shared" si="4"/>
        <v/>
      </c>
      <c r="J109">
        <f t="shared" si="5"/>
        <v>0</v>
      </c>
    </row>
    <row r="110" spans="1:10" x14ac:dyDescent="0.35">
      <c r="A110">
        <v>1109</v>
      </c>
      <c r="B110" s="1">
        <v>45449</v>
      </c>
      <c r="C110" t="s">
        <v>18</v>
      </c>
      <c r="D110">
        <v>200</v>
      </c>
      <c r="E110">
        <v>100</v>
      </c>
      <c r="G110" t="str">
        <f t="shared" si="3"/>
        <v>Active</v>
      </c>
      <c r="H110" s="1" t="str">
        <f t="shared" si="4"/>
        <v/>
      </c>
      <c r="J110">
        <f t="shared" si="5"/>
        <v>0</v>
      </c>
    </row>
    <row r="111" spans="1:10" x14ac:dyDescent="0.35">
      <c r="A111">
        <v>1110</v>
      </c>
      <c r="B111" s="1">
        <v>45624</v>
      </c>
      <c r="C111" t="s">
        <v>75</v>
      </c>
      <c r="D111">
        <v>50</v>
      </c>
      <c r="E111">
        <v>30</v>
      </c>
      <c r="G111" t="str">
        <f t="shared" si="3"/>
        <v>Active</v>
      </c>
      <c r="H111" s="1" t="str">
        <f t="shared" si="4"/>
        <v/>
      </c>
      <c r="J111">
        <f t="shared" si="5"/>
        <v>0</v>
      </c>
    </row>
    <row r="112" spans="1:10" x14ac:dyDescent="0.35">
      <c r="A112">
        <v>1111</v>
      </c>
      <c r="B112" s="1">
        <v>45765</v>
      </c>
      <c r="C112" t="s">
        <v>18</v>
      </c>
      <c r="D112">
        <v>200</v>
      </c>
      <c r="E112">
        <v>100</v>
      </c>
      <c r="G112" t="str">
        <f t="shared" si="3"/>
        <v>Active</v>
      </c>
      <c r="H112" s="1" t="str">
        <f t="shared" si="4"/>
        <v/>
      </c>
      <c r="J112">
        <f t="shared" si="5"/>
        <v>0</v>
      </c>
    </row>
    <row r="113" spans="1:10" x14ac:dyDescent="0.35">
      <c r="A113">
        <v>1112</v>
      </c>
      <c r="B113" s="1">
        <v>45363</v>
      </c>
      <c r="C113" t="s">
        <v>21</v>
      </c>
      <c r="D113">
        <v>500</v>
      </c>
      <c r="E113">
        <v>200</v>
      </c>
      <c r="G113" t="str">
        <f t="shared" si="3"/>
        <v>Active</v>
      </c>
      <c r="H113" s="1" t="str">
        <f t="shared" si="4"/>
        <v/>
      </c>
      <c r="J113">
        <f t="shared" si="5"/>
        <v>0</v>
      </c>
    </row>
    <row r="114" spans="1:10" x14ac:dyDescent="0.35">
      <c r="A114">
        <v>1113</v>
      </c>
      <c r="B114" s="1">
        <v>45492</v>
      </c>
      <c r="C114" t="s">
        <v>75</v>
      </c>
      <c r="D114">
        <v>50</v>
      </c>
      <c r="E114">
        <v>30</v>
      </c>
      <c r="G114" t="str">
        <f t="shared" si="3"/>
        <v>Active</v>
      </c>
      <c r="H114" s="1" t="str">
        <f t="shared" si="4"/>
        <v/>
      </c>
      <c r="J114">
        <f t="shared" si="5"/>
        <v>0</v>
      </c>
    </row>
    <row r="115" spans="1:10" x14ac:dyDescent="0.35">
      <c r="A115">
        <v>1114</v>
      </c>
      <c r="B115" s="1">
        <v>45320</v>
      </c>
      <c r="C115" t="s">
        <v>75</v>
      </c>
      <c r="D115">
        <v>50</v>
      </c>
      <c r="E115">
        <v>30</v>
      </c>
      <c r="G115" t="str">
        <f t="shared" si="3"/>
        <v>Active</v>
      </c>
      <c r="H115" s="1" t="str">
        <f t="shared" si="4"/>
        <v/>
      </c>
      <c r="J115">
        <f t="shared" si="5"/>
        <v>0</v>
      </c>
    </row>
    <row r="116" spans="1:10" x14ac:dyDescent="0.35">
      <c r="A116">
        <v>1115</v>
      </c>
      <c r="B116" s="1">
        <v>45584</v>
      </c>
      <c r="C116" t="s">
        <v>21</v>
      </c>
      <c r="D116">
        <v>500</v>
      </c>
      <c r="E116">
        <v>200</v>
      </c>
      <c r="G116" t="str">
        <f t="shared" si="3"/>
        <v>Active</v>
      </c>
      <c r="H116" s="1" t="str">
        <f t="shared" si="4"/>
        <v/>
      </c>
      <c r="J116">
        <f t="shared" si="5"/>
        <v>0</v>
      </c>
    </row>
    <row r="117" spans="1:10" x14ac:dyDescent="0.35">
      <c r="A117">
        <v>1116</v>
      </c>
      <c r="B117" s="1">
        <v>45796</v>
      </c>
      <c r="C117" t="s">
        <v>75</v>
      </c>
      <c r="D117">
        <v>50</v>
      </c>
      <c r="E117">
        <v>30</v>
      </c>
      <c r="G117" t="str">
        <f t="shared" si="3"/>
        <v>Active</v>
      </c>
      <c r="H117" s="1" t="str">
        <f t="shared" si="4"/>
        <v/>
      </c>
      <c r="J117">
        <f t="shared" si="5"/>
        <v>0</v>
      </c>
    </row>
    <row r="118" spans="1:10" x14ac:dyDescent="0.35">
      <c r="A118">
        <v>1117</v>
      </c>
      <c r="B118" s="1">
        <v>45301</v>
      </c>
      <c r="C118" t="s">
        <v>18</v>
      </c>
      <c r="D118">
        <v>200</v>
      </c>
      <c r="E118">
        <v>100</v>
      </c>
      <c r="G118" t="str">
        <f t="shared" si="3"/>
        <v>Active</v>
      </c>
      <c r="H118" s="1" t="str">
        <f t="shared" si="4"/>
        <v/>
      </c>
      <c r="J118">
        <f t="shared" si="5"/>
        <v>0</v>
      </c>
    </row>
    <row r="119" spans="1:10" x14ac:dyDescent="0.35">
      <c r="A119">
        <v>1118</v>
      </c>
      <c r="B119" s="1">
        <v>45599</v>
      </c>
      <c r="C119" t="s">
        <v>18</v>
      </c>
      <c r="D119">
        <v>200</v>
      </c>
      <c r="E119">
        <v>100</v>
      </c>
      <c r="G119" t="str">
        <f t="shared" si="3"/>
        <v>Active</v>
      </c>
      <c r="H119" s="1" t="str">
        <f t="shared" si="4"/>
        <v/>
      </c>
      <c r="J119">
        <f t="shared" si="5"/>
        <v>0</v>
      </c>
    </row>
    <row r="120" spans="1:10" x14ac:dyDescent="0.35">
      <c r="A120">
        <v>1119</v>
      </c>
      <c r="B120" s="1">
        <v>45499</v>
      </c>
      <c r="C120" t="s">
        <v>21</v>
      </c>
      <c r="D120">
        <v>500</v>
      </c>
      <c r="E120">
        <v>200</v>
      </c>
      <c r="F120" s="1">
        <v>45769</v>
      </c>
      <c r="G120" t="str">
        <f t="shared" si="3"/>
        <v>Churned</v>
      </c>
      <c r="H120" s="1">
        <f t="shared" si="4"/>
        <v>45748</v>
      </c>
      <c r="J120">
        <f t="shared" si="5"/>
        <v>1</v>
      </c>
    </row>
    <row r="121" spans="1:10" x14ac:dyDescent="0.35">
      <c r="A121">
        <v>1120</v>
      </c>
      <c r="B121" s="1">
        <v>45523</v>
      </c>
      <c r="C121" t="s">
        <v>21</v>
      </c>
      <c r="D121">
        <v>500</v>
      </c>
      <c r="E121">
        <v>200</v>
      </c>
      <c r="F121" s="1">
        <v>45731</v>
      </c>
      <c r="G121" t="str">
        <f t="shared" si="3"/>
        <v>Churned</v>
      </c>
      <c r="H121" s="1">
        <f t="shared" si="4"/>
        <v>45717</v>
      </c>
      <c r="J121">
        <f t="shared" si="5"/>
        <v>1</v>
      </c>
    </row>
    <row r="122" spans="1:10" x14ac:dyDescent="0.35">
      <c r="A122">
        <v>1121</v>
      </c>
      <c r="B122" s="1">
        <v>45667</v>
      </c>
      <c r="C122" t="s">
        <v>21</v>
      </c>
      <c r="D122">
        <v>500</v>
      </c>
      <c r="E122">
        <v>200</v>
      </c>
      <c r="G122" t="str">
        <f t="shared" si="3"/>
        <v>Active</v>
      </c>
      <c r="H122" s="1" t="str">
        <f t="shared" si="4"/>
        <v/>
      </c>
      <c r="J122">
        <f t="shared" si="5"/>
        <v>0</v>
      </c>
    </row>
    <row r="123" spans="1:10" x14ac:dyDescent="0.35">
      <c r="A123">
        <v>1122</v>
      </c>
      <c r="B123" s="1">
        <v>45794</v>
      </c>
      <c r="C123" t="s">
        <v>18</v>
      </c>
      <c r="D123">
        <v>200</v>
      </c>
      <c r="E123">
        <v>100</v>
      </c>
      <c r="G123" t="str">
        <f t="shared" si="3"/>
        <v>Active</v>
      </c>
      <c r="H123" s="1" t="str">
        <f t="shared" si="4"/>
        <v/>
      </c>
      <c r="J123">
        <f t="shared" si="5"/>
        <v>0</v>
      </c>
    </row>
    <row r="124" spans="1:10" x14ac:dyDescent="0.35">
      <c r="A124">
        <v>1123</v>
      </c>
      <c r="B124" s="1">
        <v>45831</v>
      </c>
      <c r="C124" t="s">
        <v>75</v>
      </c>
      <c r="D124">
        <v>50</v>
      </c>
      <c r="E124">
        <v>30</v>
      </c>
      <c r="G124" t="str">
        <f t="shared" si="3"/>
        <v>Active</v>
      </c>
      <c r="H124" s="1" t="str">
        <f t="shared" si="4"/>
        <v/>
      </c>
      <c r="J124">
        <f t="shared" si="5"/>
        <v>0</v>
      </c>
    </row>
    <row r="125" spans="1:10" x14ac:dyDescent="0.35">
      <c r="A125">
        <v>1124</v>
      </c>
      <c r="B125" s="1">
        <v>45541</v>
      </c>
      <c r="C125" t="s">
        <v>75</v>
      </c>
      <c r="D125">
        <v>50</v>
      </c>
      <c r="E125">
        <v>30</v>
      </c>
      <c r="G125" t="str">
        <f t="shared" si="3"/>
        <v>Active</v>
      </c>
      <c r="H125" s="1" t="str">
        <f t="shared" si="4"/>
        <v/>
      </c>
      <c r="J125">
        <f t="shared" si="5"/>
        <v>0</v>
      </c>
    </row>
    <row r="126" spans="1:10" x14ac:dyDescent="0.35">
      <c r="A126">
        <v>1125</v>
      </c>
      <c r="B126" s="1">
        <v>45529</v>
      </c>
      <c r="C126" t="s">
        <v>21</v>
      </c>
      <c r="D126">
        <v>500</v>
      </c>
      <c r="E126">
        <v>200</v>
      </c>
      <c r="F126" s="1">
        <v>45678</v>
      </c>
      <c r="G126" t="str">
        <f t="shared" si="3"/>
        <v>Churned</v>
      </c>
      <c r="H126" s="1">
        <f t="shared" si="4"/>
        <v>45658</v>
      </c>
      <c r="J126">
        <f t="shared" si="5"/>
        <v>1</v>
      </c>
    </row>
    <row r="127" spans="1:10" x14ac:dyDescent="0.35">
      <c r="A127">
        <v>1126</v>
      </c>
      <c r="B127" s="1">
        <v>45634</v>
      </c>
      <c r="C127" t="s">
        <v>18</v>
      </c>
      <c r="D127">
        <v>200</v>
      </c>
      <c r="E127">
        <v>100</v>
      </c>
      <c r="G127" t="str">
        <f t="shared" si="3"/>
        <v>Active</v>
      </c>
      <c r="H127" s="1" t="str">
        <f t="shared" si="4"/>
        <v/>
      </c>
      <c r="J127">
        <f t="shared" si="5"/>
        <v>0</v>
      </c>
    </row>
    <row r="128" spans="1:10" x14ac:dyDescent="0.35">
      <c r="A128">
        <v>1127</v>
      </c>
      <c r="B128" s="1">
        <v>45727</v>
      </c>
      <c r="C128" t="s">
        <v>75</v>
      </c>
      <c r="D128">
        <v>50</v>
      </c>
      <c r="E128">
        <v>30</v>
      </c>
      <c r="G128" t="str">
        <f t="shared" si="3"/>
        <v>Active</v>
      </c>
      <c r="H128" s="1" t="str">
        <f t="shared" si="4"/>
        <v/>
      </c>
      <c r="J128">
        <f t="shared" si="5"/>
        <v>0</v>
      </c>
    </row>
    <row r="129" spans="1:10" x14ac:dyDescent="0.35">
      <c r="A129">
        <v>1128</v>
      </c>
      <c r="B129" s="1">
        <v>45313</v>
      </c>
      <c r="C129" t="s">
        <v>18</v>
      </c>
      <c r="D129">
        <v>200</v>
      </c>
      <c r="E129">
        <v>100</v>
      </c>
      <c r="G129" t="str">
        <f t="shared" si="3"/>
        <v>Active</v>
      </c>
      <c r="H129" s="1" t="str">
        <f t="shared" si="4"/>
        <v/>
      </c>
      <c r="J129">
        <f t="shared" si="5"/>
        <v>0</v>
      </c>
    </row>
    <row r="130" spans="1:10" x14ac:dyDescent="0.35">
      <c r="A130">
        <v>1129</v>
      </c>
      <c r="B130" s="1">
        <v>45542</v>
      </c>
      <c r="C130" t="s">
        <v>75</v>
      </c>
      <c r="D130">
        <v>50</v>
      </c>
      <c r="E130">
        <v>30</v>
      </c>
      <c r="G130" t="str">
        <f t="shared" si="3"/>
        <v>Active</v>
      </c>
      <c r="H130" s="1" t="str">
        <f t="shared" si="4"/>
        <v/>
      </c>
      <c r="J130">
        <f t="shared" si="5"/>
        <v>0</v>
      </c>
    </row>
    <row r="131" spans="1:10" x14ac:dyDescent="0.35">
      <c r="A131">
        <v>1130</v>
      </c>
      <c r="B131" s="1">
        <v>45755</v>
      </c>
      <c r="C131" t="s">
        <v>18</v>
      </c>
      <c r="D131">
        <v>200</v>
      </c>
      <c r="E131">
        <v>100</v>
      </c>
      <c r="G131" t="str">
        <f t="shared" ref="G131:G194" si="6">IF(F131="","Active","Churned")</f>
        <v>Active</v>
      </c>
      <c r="H131" s="1" t="str">
        <f t="shared" ref="H131:H194" si="7">IF(F131="","",DATE(YEAR(F131),MONTH(F131),1))</f>
        <v/>
      </c>
      <c r="J131">
        <f t="shared" ref="J131:J194" si="8">IF(G131="Churned",1,0)</f>
        <v>0</v>
      </c>
    </row>
    <row r="132" spans="1:10" x14ac:dyDescent="0.35">
      <c r="A132">
        <v>1131</v>
      </c>
      <c r="B132" s="1">
        <v>45708</v>
      </c>
      <c r="C132" t="s">
        <v>18</v>
      </c>
      <c r="D132">
        <v>200</v>
      </c>
      <c r="E132">
        <v>100</v>
      </c>
      <c r="G132" t="str">
        <f t="shared" si="6"/>
        <v>Active</v>
      </c>
      <c r="H132" s="1" t="str">
        <f t="shared" si="7"/>
        <v/>
      </c>
      <c r="J132">
        <f t="shared" si="8"/>
        <v>0</v>
      </c>
    </row>
    <row r="133" spans="1:10" x14ac:dyDescent="0.35">
      <c r="A133">
        <v>1132</v>
      </c>
      <c r="B133" s="1">
        <v>45603</v>
      </c>
      <c r="C133" t="s">
        <v>75</v>
      </c>
      <c r="D133">
        <v>50</v>
      </c>
      <c r="E133">
        <v>30</v>
      </c>
      <c r="F133" s="1">
        <v>45779</v>
      </c>
      <c r="G133" t="str">
        <f t="shared" si="6"/>
        <v>Churned</v>
      </c>
      <c r="H133" s="1">
        <f t="shared" si="7"/>
        <v>45778</v>
      </c>
      <c r="J133">
        <f t="shared" si="8"/>
        <v>1</v>
      </c>
    </row>
    <row r="134" spans="1:10" x14ac:dyDescent="0.35">
      <c r="A134">
        <v>1133</v>
      </c>
      <c r="B134" s="1">
        <v>45381</v>
      </c>
      <c r="C134" t="s">
        <v>18</v>
      </c>
      <c r="D134">
        <v>200</v>
      </c>
      <c r="E134">
        <v>100</v>
      </c>
      <c r="G134" t="str">
        <f t="shared" si="6"/>
        <v>Active</v>
      </c>
      <c r="H134" s="1" t="str">
        <f t="shared" si="7"/>
        <v/>
      </c>
      <c r="J134">
        <f t="shared" si="8"/>
        <v>0</v>
      </c>
    </row>
    <row r="135" spans="1:10" x14ac:dyDescent="0.35">
      <c r="A135">
        <v>1134</v>
      </c>
      <c r="B135" s="1">
        <v>45337</v>
      </c>
      <c r="C135" t="s">
        <v>18</v>
      </c>
      <c r="D135">
        <v>200</v>
      </c>
      <c r="E135">
        <v>100</v>
      </c>
      <c r="G135" t="str">
        <f t="shared" si="6"/>
        <v>Active</v>
      </c>
      <c r="H135" s="1" t="str">
        <f t="shared" si="7"/>
        <v/>
      </c>
      <c r="J135">
        <f t="shared" si="8"/>
        <v>0</v>
      </c>
    </row>
    <row r="136" spans="1:10" x14ac:dyDescent="0.35">
      <c r="A136">
        <v>1135</v>
      </c>
      <c r="B136" s="1">
        <v>45820</v>
      </c>
      <c r="C136" t="s">
        <v>75</v>
      </c>
      <c r="D136">
        <v>50</v>
      </c>
      <c r="E136">
        <v>30</v>
      </c>
      <c r="G136" t="str">
        <f t="shared" si="6"/>
        <v>Active</v>
      </c>
      <c r="H136" s="1" t="str">
        <f t="shared" si="7"/>
        <v/>
      </c>
      <c r="J136">
        <f t="shared" si="8"/>
        <v>0</v>
      </c>
    </row>
    <row r="137" spans="1:10" x14ac:dyDescent="0.35">
      <c r="A137">
        <v>1136</v>
      </c>
      <c r="B137" s="1">
        <v>45720</v>
      </c>
      <c r="C137" t="s">
        <v>21</v>
      </c>
      <c r="D137">
        <v>500</v>
      </c>
      <c r="E137">
        <v>200</v>
      </c>
      <c r="G137" t="str">
        <f t="shared" si="6"/>
        <v>Active</v>
      </c>
      <c r="H137" s="1" t="str">
        <f t="shared" si="7"/>
        <v/>
      </c>
      <c r="J137">
        <f t="shared" si="8"/>
        <v>0</v>
      </c>
    </row>
    <row r="138" spans="1:10" x14ac:dyDescent="0.35">
      <c r="A138">
        <v>1137</v>
      </c>
      <c r="B138" s="1">
        <v>45299</v>
      </c>
      <c r="C138" t="s">
        <v>75</v>
      </c>
      <c r="D138">
        <v>50</v>
      </c>
      <c r="E138">
        <v>30</v>
      </c>
      <c r="F138" s="1">
        <v>45329</v>
      </c>
      <c r="G138" t="str">
        <f t="shared" si="6"/>
        <v>Churned</v>
      </c>
      <c r="H138" s="1">
        <f t="shared" si="7"/>
        <v>45323</v>
      </c>
      <c r="J138">
        <f t="shared" si="8"/>
        <v>1</v>
      </c>
    </row>
    <row r="139" spans="1:10" x14ac:dyDescent="0.35">
      <c r="A139">
        <v>1138</v>
      </c>
      <c r="B139" s="1">
        <v>45473</v>
      </c>
      <c r="C139" t="s">
        <v>75</v>
      </c>
      <c r="D139">
        <v>50</v>
      </c>
      <c r="E139">
        <v>30</v>
      </c>
      <c r="G139" t="str">
        <f t="shared" si="6"/>
        <v>Active</v>
      </c>
      <c r="H139" s="1" t="str">
        <f t="shared" si="7"/>
        <v/>
      </c>
      <c r="J139">
        <f t="shared" si="8"/>
        <v>0</v>
      </c>
    </row>
    <row r="140" spans="1:10" x14ac:dyDescent="0.35">
      <c r="A140">
        <v>1139</v>
      </c>
      <c r="B140" s="1">
        <v>45581</v>
      </c>
      <c r="C140" t="s">
        <v>21</v>
      </c>
      <c r="D140">
        <v>500</v>
      </c>
      <c r="E140">
        <v>200</v>
      </c>
      <c r="G140" t="str">
        <f t="shared" si="6"/>
        <v>Active</v>
      </c>
      <c r="H140" s="1" t="str">
        <f t="shared" si="7"/>
        <v/>
      </c>
      <c r="J140">
        <f t="shared" si="8"/>
        <v>0</v>
      </c>
    </row>
    <row r="141" spans="1:10" x14ac:dyDescent="0.35">
      <c r="A141">
        <v>1140</v>
      </c>
      <c r="B141" s="1">
        <v>45666</v>
      </c>
      <c r="C141" t="s">
        <v>18</v>
      </c>
      <c r="D141">
        <v>200</v>
      </c>
      <c r="E141">
        <v>100</v>
      </c>
      <c r="G141" t="str">
        <f t="shared" si="6"/>
        <v>Active</v>
      </c>
      <c r="H141" s="1" t="str">
        <f t="shared" si="7"/>
        <v/>
      </c>
      <c r="J141">
        <f t="shared" si="8"/>
        <v>0</v>
      </c>
    </row>
    <row r="142" spans="1:10" x14ac:dyDescent="0.35">
      <c r="A142">
        <v>1141</v>
      </c>
      <c r="B142" s="1">
        <v>45328</v>
      </c>
      <c r="C142" t="s">
        <v>75</v>
      </c>
      <c r="D142">
        <v>50</v>
      </c>
      <c r="E142">
        <v>30</v>
      </c>
      <c r="G142" t="str">
        <f t="shared" si="6"/>
        <v>Active</v>
      </c>
      <c r="H142" s="1" t="str">
        <f t="shared" si="7"/>
        <v/>
      </c>
      <c r="J142">
        <f t="shared" si="8"/>
        <v>0</v>
      </c>
    </row>
    <row r="143" spans="1:10" x14ac:dyDescent="0.35">
      <c r="A143">
        <v>1142</v>
      </c>
      <c r="B143" s="1">
        <v>45632</v>
      </c>
      <c r="C143" t="s">
        <v>21</v>
      </c>
      <c r="D143">
        <v>500</v>
      </c>
      <c r="E143">
        <v>200</v>
      </c>
      <c r="G143" t="str">
        <f t="shared" si="6"/>
        <v>Active</v>
      </c>
      <c r="H143" s="1" t="str">
        <f t="shared" si="7"/>
        <v/>
      </c>
      <c r="J143">
        <f t="shared" si="8"/>
        <v>0</v>
      </c>
    </row>
    <row r="144" spans="1:10" x14ac:dyDescent="0.35">
      <c r="A144">
        <v>1143</v>
      </c>
      <c r="B144" s="1">
        <v>45395</v>
      </c>
      <c r="C144" t="s">
        <v>18</v>
      </c>
      <c r="D144">
        <v>200</v>
      </c>
      <c r="E144">
        <v>100</v>
      </c>
      <c r="F144" s="1">
        <v>45684</v>
      </c>
      <c r="G144" t="str">
        <f t="shared" si="6"/>
        <v>Churned</v>
      </c>
      <c r="H144" s="1">
        <f t="shared" si="7"/>
        <v>45658</v>
      </c>
      <c r="J144">
        <f t="shared" si="8"/>
        <v>1</v>
      </c>
    </row>
    <row r="145" spans="1:10" x14ac:dyDescent="0.35">
      <c r="A145">
        <v>1144</v>
      </c>
      <c r="B145" s="1">
        <v>45814</v>
      </c>
      <c r="C145" t="s">
        <v>18</v>
      </c>
      <c r="D145">
        <v>200</v>
      </c>
      <c r="E145">
        <v>100</v>
      </c>
      <c r="G145" t="str">
        <f t="shared" si="6"/>
        <v>Active</v>
      </c>
      <c r="H145" s="1" t="str">
        <f t="shared" si="7"/>
        <v/>
      </c>
      <c r="J145">
        <f t="shared" si="8"/>
        <v>0</v>
      </c>
    </row>
    <row r="146" spans="1:10" x14ac:dyDescent="0.35">
      <c r="A146">
        <v>1145</v>
      </c>
      <c r="B146" s="1">
        <v>45604</v>
      </c>
      <c r="C146" t="s">
        <v>75</v>
      </c>
      <c r="D146">
        <v>50</v>
      </c>
      <c r="E146">
        <v>30</v>
      </c>
      <c r="G146" t="str">
        <f t="shared" si="6"/>
        <v>Active</v>
      </c>
      <c r="H146" s="1" t="str">
        <f t="shared" si="7"/>
        <v/>
      </c>
      <c r="J146">
        <f t="shared" si="8"/>
        <v>0</v>
      </c>
    </row>
    <row r="147" spans="1:10" x14ac:dyDescent="0.35">
      <c r="A147">
        <v>1146</v>
      </c>
      <c r="B147" s="1">
        <v>45462</v>
      </c>
      <c r="C147" t="s">
        <v>18</v>
      </c>
      <c r="D147">
        <v>200</v>
      </c>
      <c r="E147">
        <v>100</v>
      </c>
      <c r="G147" t="str">
        <f t="shared" si="6"/>
        <v>Active</v>
      </c>
      <c r="H147" s="1" t="str">
        <f t="shared" si="7"/>
        <v/>
      </c>
      <c r="J147">
        <f t="shared" si="8"/>
        <v>0</v>
      </c>
    </row>
    <row r="148" spans="1:10" x14ac:dyDescent="0.35">
      <c r="A148">
        <v>1147</v>
      </c>
      <c r="B148" s="1">
        <v>45745</v>
      </c>
      <c r="C148" t="s">
        <v>18</v>
      </c>
      <c r="D148">
        <v>200</v>
      </c>
      <c r="E148">
        <v>100</v>
      </c>
      <c r="G148" t="str">
        <f t="shared" si="6"/>
        <v>Active</v>
      </c>
      <c r="H148" s="1" t="str">
        <f t="shared" si="7"/>
        <v/>
      </c>
      <c r="J148">
        <f t="shared" si="8"/>
        <v>0</v>
      </c>
    </row>
    <row r="149" spans="1:10" x14ac:dyDescent="0.35">
      <c r="A149">
        <v>1148</v>
      </c>
      <c r="B149" s="1">
        <v>45788</v>
      </c>
      <c r="C149" t="s">
        <v>21</v>
      </c>
      <c r="D149">
        <v>500</v>
      </c>
      <c r="E149">
        <v>200</v>
      </c>
      <c r="G149" t="str">
        <f t="shared" si="6"/>
        <v>Active</v>
      </c>
      <c r="H149" s="1" t="str">
        <f t="shared" si="7"/>
        <v/>
      </c>
      <c r="J149">
        <f t="shared" si="8"/>
        <v>0</v>
      </c>
    </row>
    <row r="150" spans="1:10" x14ac:dyDescent="0.35">
      <c r="A150">
        <v>1149</v>
      </c>
      <c r="B150" s="1">
        <v>45823</v>
      </c>
      <c r="C150" t="s">
        <v>18</v>
      </c>
      <c r="D150">
        <v>200</v>
      </c>
      <c r="E150">
        <v>100</v>
      </c>
      <c r="G150" t="str">
        <f t="shared" si="6"/>
        <v>Active</v>
      </c>
      <c r="H150" s="1" t="str">
        <f t="shared" si="7"/>
        <v/>
      </c>
      <c r="J150">
        <f t="shared" si="8"/>
        <v>0</v>
      </c>
    </row>
    <row r="151" spans="1:10" x14ac:dyDescent="0.35">
      <c r="A151">
        <v>1150</v>
      </c>
      <c r="B151" s="1">
        <v>45730</v>
      </c>
      <c r="C151" t="s">
        <v>75</v>
      </c>
      <c r="D151">
        <v>50</v>
      </c>
      <c r="E151">
        <v>30</v>
      </c>
      <c r="G151" t="str">
        <f t="shared" si="6"/>
        <v>Active</v>
      </c>
      <c r="H151" s="1" t="str">
        <f t="shared" si="7"/>
        <v/>
      </c>
      <c r="J151">
        <f t="shared" si="8"/>
        <v>0</v>
      </c>
    </row>
    <row r="152" spans="1:10" x14ac:dyDescent="0.35">
      <c r="A152">
        <v>1151</v>
      </c>
      <c r="B152" s="1">
        <v>45480</v>
      </c>
      <c r="C152" t="s">
        <v>21</v>
      </c>
      <c r="D152">
        <v>500</v>
      </c>
      <c r="E152">
        <v>200</v>
      </c>
      <c r="F152" s="1">
        <v>45771</v>
      </c>
      <c r="G152" t="str">
        <f t="shared" si="6"/>
        <v>Churned</v>
      </c>
      <c r="H152" s="1">
        <f t="shared" si="7"/>
        <v>45748</v>
      </c>
      <c r="J152">
        <f t="shared" si="8"/>
        <v>1</v>
      </c>
    </row>
    <row r="153" spans="1:10" x14ac:dyDescent="0.35">
      <c r="A153">
        <v>1152</v>
      </c>
      <c r="B153" s="1">
        <v>45620</v>
      </c>
      <c r="C153" t="s">
        <v>21</v>
      </c>
      <c r="D153">
        <v>500</v>
      </c>
      <c r="E153">
        <v>200</v>
      </c>
      <c r="G153" t="str">
        <f t="shared" si="6"/>
        <v>Active</v>
      </c>
      <c r="H153" s="1" t="str">
        <f t="shared" si="7"/>
        <v/>
      </c>
      <c r="J153">
        <f t="shared" si="8"/>
        <v>0</v>
      </c>
    </row>
    <row r="154" spans="1:10" x14ac:dyDescent="0.35">
      <c r="A154">
        <v>1153</v>
      </c>
      <c r="B154" s="1">
        <v>45552</v>
      </c>
      <c r="C154" t="s">
        <v>75</v>
      </c>
      <c r="D154">
        <v>50</v>
      </c>
      <c r="E154">
        <v>30</v>
      </c>
      <c r="G154" t="str">
        <f t="shared" si="6"/>
        <v>Active</v>
      </c>
      <c r="H154" s="1" t="str">
        <f t="shared" si="7"/>
        <v/>
      </c>
      <c r="J154">
        <f t="shared" si="8"/>
        <v>0</v>
      </c>
    </row>
    <row r="155" spans="1:10" x14ac:dyDescent="0.35">
      <c r="A155">
        <v>1154</v>
      </c>
      <c r="B155" s="1">
        <v>45834</v>
      </c>
      <c r="C155" t="s">
        <v>75</v>
      </c>
      <c r="D155">
        <v>50</v>
      </c>
      <c r="E155">
        <v>30</v>
      </c>
      <c r="F155" s="1">
        <v>45838</v>
      </c>
      <c r="G155" t="str">
        <f t="shared" si="6"/>
        <v>Churned</v>
      </c>
      <c r="H155" s="1">
        <f t="shared" si="7"/>
        <v>45809</v>
      </c>
      <c r="J155">
        <f t="shared" si="8"/>
        <v>1</v>
      </c>
    </row>
    <row r="156" spans="1:10" x14ac:dyDescent="0.35">
      <c r="A156">
        <v>1155</v>
      </c>
      <c r="B156" s="1">
        <v>45394</v>
      </c>
      <c r="C156" t="s">
        <v>75</v>
      </c>
      <c r="D156">
        <v>50</v>
      </c>
      <c r="E156">
        <v>30</v>
      </c>
      <c r="G156" t="str">
        <f t="shared" si="6"/>
        <v>Active</v>
      </c>
      <c r="H156" s="1" t="str">
        <f t="shared" si="7"/>
        <v/>
      </c>
      <c r="J156">
        <f t="shared" si="8"/>
        <v>0</v>
      </c>
    </row>
    <row r="157" spans="1:10" x14ac:dyDescent="0.35">
      <c r="A157">
        <v>1156</v>
      </c>
      <c r="B157" s="1">
        <v>45644</v>
      </c>
      <c r="C157" t="s">
        <v>21</v>
      </c>
      <c r="D157">
        <v>500</v>
      </c>
      <c r="E157">
        <v>200</v>
      </c>
      <c r="G157" t="str">
        <f t="shared" si="6"/>
        <v>Active</v>
      </c>
      <c r="H157" s="1" t="str">
        <f t="shared" si="7"/>
        <v/>
      </c>
      <c r="J157">
        <f t="shared" si="8"/>
        <v>0</v>
      </c>
    </row>
    <row r="158" spans="1:10" x14ac:dyDescent="0.35">
      <c r="A158">
        <v>1157</v>
      </c>
      <c r="B158" s="1">
        <v>45774</v>
      </c>
      <c r="C158" t="s">
        <v>21</v>
      </c>
      <c r="D158">
        <v>500</v>
      </c>
      <c r="E158">
        <v>200</v>
      </c>
      <c r="G158" t="str">
        <f t="shared" si="6"/>
        <v>Active</v>
      </c>
      <c r="H158" s="1" t="str">
        <f t="shared" si="7"/>
        <v/>
      </c>
      <c r="J158">
        <f t="shared" si="8"/>
        <v>0</v>
      </c>
    </row>
    <row r="159" spans="1:10" x14ac:dyDescent="0.35">
      <c r="A159">
        <v>1158</v>
      </c>
      <c r="B159" s="1">
        <v>45462</v>
      </c>
      <c r="C159" t="s">
        <v>21</v>
      </c>
      <c r="D159">
        <v>500</v>
      </c>
      <c r="E159">
        <v>200</v>
      </c>
      <c r="G159" t="str">
        <f t="shared" si="6"/>
        <v>Active</v>
      </c>
      <c r="H159" s="1" t="str">
        <f t="shared" si="7"/>
        <v/>
      </c>
      <c r="J159">
        <f t="shared" si="8"/>
        <v>0</v>
      </c>
    </row>
    <row r="160" spans="1:10" x14ac:dyDescent="0.35">
      <c r="A160">
        <v>1159</v>
      </c>
      <c r="B160" s="1">
        <v>45442</v>
      </c>
      <c r="C160" t="s">
        <v>21</v>
      </c>
      <c r="D160">
        <v>500</v>
      </c>
      <c r="E160">
        <v>200</v>
      </c>
      <c r="G160" t="str">
        <f t="shared" si="6"/>
        <v>Active</v>
      </c>
      <c r="H160" s="1" t="str">
        <f t="shared" si="7"/>
        <v/>
      </c>
      <c r="J160">
        <f t="shared" si="8"/>
        <v>0</v>
      </c>
    </row>
    <row r="161" spans="1:10" x14ac:dyDescent="0.35">
      <c r="A161">
        <v>1160</v>
      </c>
      <c r="B161" s="1">
        <v>45774</v>
      </c>
      <c r="C161" t="s">
        <v>75</v>
      </c>
      <c r="D161">
        <v>50</v>
      </c>
      <c r="E161">
        <v>30</v>
      </c>
      <c r="G161" t="str">
        <f t="shared" si="6"/>
        <v>Active</v>
      </c>
      <c r="H161" s="1" t="str">
        <f t="shared" si="7"/>
        <v/>
      </c>
      <c r="J161">
        <f t="shared" si="8"/>
        <v>0</v>
      </c>
    </row>
    <row r="162" spans="1:10" x14ac:dyDescent="0.35">
      <c r="A162">
        <v>1161</v>
      </c>
      <c r="B162" s="1">
        <v>45624</v>
      </c>
      <c r="C162" t="s">
        <v>18</v>
      </c>
      <c r="D162">
        <v>200</v>
      </c>
      <c r="E162">
        <v>100</v>
      </c>
      <c r="G162" t="str">
        <f t="shared" si="6"/>
        <v>Active</v>
      </c>
      <c r="H162" s="1" t="str">
        <f t="shared" si="7"/>
        <v/>
      </c>
      <c r="J162">
        <f t="shared" si="8"/>
        <v>0</v>
      </c>
    </row>
    <row r="163" spans="1:10" x14ac:dyDescent="0.35">
      <c r="A163">
        <v>1162</v>
      </c>
      <c r="B163" s="1">
        <v>45793</v>
      </c>
      <c r="C163" t="s">
        <v>75</v>
      </c>
      <c r="D163">
        <v>50</v>
      </c>
      <c r="E163">
        <v>30</v>
      </c>
      <c r="G163" t="str">
        <f t="shared" si="6"/>
        <v>Active</v>
      </c>
      <c r="H163" s="1" t="str">
        <f t="shared" si="7"/>
        <v/>
      </c>
      <c r="J163">
        <f t="shared" si="8"/>
        <v>0</v>
      </c>
    </row>
    <row r="164" spans="1:10" x14ac:dyDescent="0.35">
      <c r="A164">
        <v>1163</v>
      </c>
      <c r="B164" s="1">
        <v>45328</v>
      </c>
      <c r="C164" t="s">
        <v>21</v>
      </c>
      <c r="D164">
        <v>500</v>
      </c>
      <c r="E164">
        <v>200</v>
      </c>
      <c r="G164" t="str">
        <f t="shared" si="6"/>
        <v>Active</v>
      </c>
      <c r="H164" s="1" t="str">
        <f t="shared" si="7"/>
        <v/>
      </c>
      <c r="J164">
        <f t="shared" si="8"/>
        <v>0</v>
      </c>
    </row>
    <row r="165" spans="1:10" x14ac:dyDescent="0.35">
      <c r="A165">
        <v>1164</v>
      </c>
      <c r="B165" s="1">
        <v>45558</v>
      </c>
      <c r="C165" t="s">
        <v>18</v>
      </c>
      <c r="D165">
        <v>200</v>
      </c>
      <c r="E165">
        <v>100</v>
      </c>
      <c r="G165" t="str">
        <f t="shared" si="6"/>
        <v>Active</v>
      </c>
      <c r="H165" s="1" t="str">
        <f t="shared" si="7"/>
        <v/>
      </c>
      <c r="J165">
        <f t="shared" si="8"/>
        <v>0</v>
      </c>
    </row>
    <row r="166" spans="1:10" x14ac:dyDescent="0.35">
      <c r="A166">
        <v>1165</v>
      </c>
      <c r="B166" s="1">
        <v>45604</v>
      </c>
      <c r="C166" t="s">
        <v>75</v>
      </c>
      <c r="D166">
        <v>50</v>
      </c>
      <c r="E166">
        <v>30</v>
      </c>
      <c r="G166" t="str">
        <f t="shared" si="6"/>
        <v>Active</v>
      </c>
      <c r="H166" s="1" t="str">
        <f t="shared" si="7"/>
        <v/>
      </c>
      <c r="J166">
        <f t="shared" si="8"/>
        <v>0</v>
      </c>
    </row>
    <row r="167" spans="1:10" x14ac:dyDescent="0.35">
      <c r="A167">
        <v>1166</v>
      </c>
      <c r="B167" s="1">
        <v>45761</v>
      </c>
      <c r="C167" t="s">
        <v>75</v>
      </c>
      <c r="D167">
        <v>50</v>
      </c>
      <c r="E167">
        <v>30</v>
      </c>
      <c r="G167" t="str">
        <f t="shared" si="6"/>
        <v>Active</v>
      </c>
      <c r="H167" s="1" t="str">
        <f t="shared" si="7"/>
        <v/>
      </c>
      <c r="J167">
        <f t="shared" si="8"/>
        <v>0</v>
      </c>
    </row>
    <row r="168" spans="1:10" x14ac:dyDescent="0.35">
      <c r="A168">
        <v>1167</v>
      </c>
      <c r="B168" s="1">
        <v>45302</v>
      </c>
      <c r="C168" t="s">
        <v>21</v>
      </c>
      <c r="D168">
        <v>500</v>
      </c>
      <c r="E168">
        <v>200</v>
      </c>
      <c r="F168" s="1">
        <v>45678</v>
      </c>
      <c r="G168" t="str">
        <f t="shared" si="6"/>
        <v>Churned</v>
      </c>
      <c r="H168" s="1">
        <f t="shared" si="7"/>
        <v>45658</v>
      </c>
      <c r="J168">
        <f t="shared" si="8"/>
        <v>1</v>
      </c>
    </row>
    <row r="169" spans="1:10" x14ac:dyDescent="0.35">
      <c r="A169">
        <v>1168</v>
      </c>
      <c r="B169" s="1">
        <v>45738</v>
      </c>
      <c r="C169" t="s">
        <v>18</v>
      </c>
      <c r="D169">
        <v>200</v>
      </c>
      <c r="E169">
        <v>100</v>
      </c>
      <c r="G169" t="str">
        <f t="shared" si="6"/>
        <v>Active</v>
      </c>
      <c r="H169" s="1" t="str">
        <f t="shared" si="7"/>
        <v/>
      </c>
      <c r="J169">
        <f t="shared" si="8"/>
        <v>0</v>
      </c>
    </row>
    <row r="170" spans="1:10" x14ac:dyDescent="0.35">
      <c r="A170">
        <v>1169</v>
      </c>
      <c r="B170" s="1">
        <v>45292</v>
      </c>
      <c r="C170" t="s">
        <v>21</v>
      </c>
      <c r="D170">
        <v>500</v>
      </c>
      <c r="E170">
        <v>200</v>
      </c>
      <c r="G170" t="str">
        <f t="shared" si="6"/>
        <v>Active</v>
      </c>
      <c r="H170" s="1" t="str">
        <f t="shared" si="7"/>
        <v/>
      </c>
      <c r="J170">
        <f t="shared" si="8"/>
        <v>0</v>
      </c>
    </row>
    <row r="171" spans="1:10" x14ac:dyDescent="0.35">
      <c r="A171">
        <v>1170</v>
      </c>
      <c r="B171" s="1">
        <v>45340</v>
      </c>
      <c r="C171" t="s">
        <v>18</v>
      </c>
      <c r="D171">
        <v>200</v>
      </c>
      <c r="E171">
        <v>100</v>
      </c>
      <c r="G171" t="str">
        <f t="shared" si="6"/>
        <v>Active</v>
      </c>
      <c r="H171" s="1" t="str">
        <f t="shared" si="7"/>
        <v/>
      </c>
      <c r="J171">
        <f t="shared" si="8"/>
        <v>0</v>
      </c>
    </row>
    <row r="172" spans="1:10" x14ac:dyDescent="0.35">
      <c r="A172">
        <v>1171</v>
      </c>
      <c r="B172" s="1">
        <v>45505</v>
      </c>
      <c r="C172" t="s">
        <v>21</v>
      </c>
      <c r="D172">
        <v>500</v>
      </c>
      <c r="E172">
        <v>200</v>
      </c>
      <c r="G172" t="str">
        <f t="shared" si="6"/>
        <v>Active</v>
      </c>
      <c r="H172" s="1" t="str">
        <f t="shared" si="7"/>
        <v/>
      </c>
      <c r="J172">
        <f t="shared" si="8"/>
        <v>0</v>
      </c>
    </row>
    <row r="173" spans="1:10" x14ac:dyDescent="0.35">
      <c r="A173">
        <v>1172</v>
      </c>
      <c r="B173" s="1">
        <v>45577</v>
      </c>
      <c r="C173" t="s">
        <v>21</v>
      </c>
      <c r="D173">
        <v>500</v>
      </c>
      <c r="E173">
        <v>200</v>
      </c>
      <c r="G173" t="str">
        <f t="shared" si="6"/>
        <v>Active</v>
      </c>
      <c r="H173" s="1" t="str">
        <f t="shared" si="7"/>
        <v/>
      </c>
      <c r="J173">
        <f t="shared" si="8"/>
        <v>0</v>
      </c>
    </row>
    <row r="174" spans="1:10" x14ac:dyDescent="0.35">
      <c r="A174">
        <v>1173</v>
      </c>
      <c r="B174" s="1">
        <v>45377</v>
      </c>
      <c r="C174" t="s">
        <v>75</v>
      </c>
      <c r="D174">
        <v>50</v>
      </c>
      <c r="E174">
        <v>30</v>
      </c>
      <c r="G174" t="str">
        <f t="shared" si="6"/>
        <v>Active</v>
      </c>
      <c r="H174" s="1" t="str">
        <f t="shared" si="7"/>
        <v/>
      </c>
      <c r="J174">
        <f t="shared" si="8"/>
        <v>0</v>
      </c>
    </row>
    <row r="175" spans="1:10" x14ac:dyDescent="0.35">
      <c r="A175">
        <v>1174</v>
      </c>
      <c r="B175" s="1">
        <v>45760</v>
      </c>
      <c r="C175" t="s">
        <v>75</v>
      </c>
      <c r="D175">
        <v>50</v>
      </c>
      <c r="E175">
        <v>30</v>
      </c>
      <c r="G175" t="str">
        <f t="shared" si="6"/>
        <v>Active</v>
      </c>
      <c r="H175" s="1" t="str">
        <f t="shared" si="7"/>
        <v/>
      </c>
      <c r="J175">
        <f t="shared" si="8"/>
        <v>0</v>
      </c>
    </row>
    <row r="176" spans="1:10" x14ac:dyDescent="0.35">
      <c r="A176">
        <v>1175</v>
      </c>
      <c r="B176" s="1">
        <v>45489</v>
      </c>
      <c r="C176" t="s">
        <v>21</v>
      </c>
      <c r="D176">
        <v>500</v>
      </c>
      <c r="E176">
        <v>200</v>
      </c>
      <c r="F176" s="1">
        <v>45548</v>
      </c>
      <c r="G176" t="str">
        <f t="shared" si="6"/>
        <v>Churned</v>
      </c>
      <c r="H176" s="1">
        <f t="shared" si="7"/>
        <v>45536</v>
      </c>
      <c r="J176">
        <f t="shared" si="8"/>
        <v>1</v>
      </c>
    </row>
    <row r="177" spans="1:10" x14ac:dyDescent="0.35">
      <c r="A177">
        <v>1176</v>
      </c>
      <c r="B177" s="1">
        <v>45333</v>
      </c>
      <c r="C177" t="s">
        <v>21</v>
      </c>
      <c r="D177">
        <v>500</v>
      </c>
      <c r="E177">
        <v>200</v>
      </c>
      <c r="G177" t="str">
        <f t="shared" si="6"/>
        <v>Active</v>
      </c>
      <c r="H177" s="1" t="str">
        <f t="shared" si="7"/>
        <v/>
      </c>
      <c r="J177">
        <f t="shared" si="8"/>
        <v>0</v>
      </c>
    </row>
    <row r="178" spans="1:10" x14ac:dyDescent="0.35">
      <c r="A178">
        <v>1177</v>
      </c>
      <c r="B178" s="1">
        <v>45325</v>
      </c>
      <c r="C178" t="s">
        <v>75</v>
      </c>
      <c r="D178">
        <v>50</v>
      </c>
      <c r="E178">
        <v>30</v>
      </c>
      <c r="G178" t="str">
        <f t="shared" si="6"/>
        <v>Active</v>
      </c>
      <c r="H178" s="1" t="str">
        <f t="shared" si="7"/>
        <v/>
      </c>
      <c r="J178">
        <f t="shared" si="8"/>
        <v>0</v>
      </c>
    </row>
    <row r="179" spans="1:10" x14ac:dyDescent="0.35">
      <c r="A179">
        <v>1178</v>
      </c>
      <c r="B179" s="1">
        <v>45687</v>
      </c>
      <c r="C179" t="s">
        <v>75</v>
      </c>
      <c r="D179">
        <v>50</v>
      </c>
      <c r="E179">
        <v>30</v>
      </c>
      <c r="F179" s="1">
        <v>45742</v>
      </c>
      <c r="G179" t="str">
        <f t="shared" si="6"/>
        <v>Churned</v>
      </c>
      <c r="H179" s="1">
        <f t="shared" si="7"/>
        <v>45717</v>
      </c>
      <c r="J179">
        <f t="shared" si="8"/>
        <v>1</v>
      </c>
    </row>
    <row r="180" spans="1:10" x14ac:dyDescent="0.35">
      <c r="A180">
        <v>1179</v>
      </c>
      <c r="B180" s="1">
        <v>45732</v>
      </c>
      <c r="C180" t="s">
        <v>21</v>
      </c>
      <c r="D180">
        <v>500</v>
      </c>
      <c r="E180">
        <v>200</v>
      </c>
      <c r="G180" t="str">
        <f t="shared" si="6"/>
        <v>Active</v>
      </c>
      <c r="H180" s="1" t="str">
        <f t="shared" si="7"/>
        <v/>
      </c>
      <c r="J180">
        <f t="shared" si="8"/>
        <v>0</v>
      </c>
    </row>
    <row r="181" spans="1:10" x14ac:dyDescent="0.35">
      <c r="A181">
        <v>1180</v>
      </c>
      <c r="B181" s="1">
        <v>45403</v>
      </c>
      <c r="C181" t="s">
        <v>18</v>
      </c>
      <c r="D181">
        <v>200</v>
      </c>
      <c r="E181">
        <v>100</v>
      </c>
      <c r="G181" t="str">
        <f t="shared" si="6"/>
        <v>Active</v>
      </c>
      <c r="H181" s="1" t="str">
        <f t="shared" si="7"/>
        <v/>
      </c>
      <c r="J181">
        <f t="shared" si="8"/>
        <v>0</v>
      </c>
    </row>
    <row r="182" spans="1:10" x14ac:dyDescent="0.35">
      <c r="A182">
        <v>1181</v>
      </c>
      <c r="B182" s="1">
        <v>45300</v>
      </c>
      <c r="C182" t="s">
        <v>75</v>
      </c>
      <c r="D182">
        <v>50</v>
      </c>
      <c r="E182">
        <v>30</v>
      </c>
      <c r="F182" s="1">
        <v>45446</v>
      </c>
      <c r="G182" t="str">
        <f t="shared" si="6"/>
        <v>Churned</v>
      </c>
      <c r="H182" s="1">
        <f t="shared" si="7"/>
        <v>45444</v>
      </c>
      <c r="J182">
        <f t="shared" si="8"/>
        <v>1</v>
      </c>
    </row>
    <row r="183" spans="1:10" x14ac:dyDescent="0.35">
      <c r="A183">
        <v>1182</v>
      </c>
      <c r="B183" s="1">
        <v>45657</v>
      </c>
      <c r="C183" t="s">
        <v>21</v>
      </c>
      <c r="D183">
        <v>500</v>
      </c>
      <c r="E183">
        <v>200</v>
      </c>
      <c r="G183" t="str">
        <f t="shared" si="6"/>
        <v>Active</v>
      </c>
      <c r="H183" s="1" t="str">
        <f t="shared" si="7"/>
        <v/>
      </c>
      <c r="J183">
        <f t="shared" si="8"/>
        <v>0</v>
      </c>
    </row>
    <row r="184" spans="1:10" x14ac:dyDescent="0.35">
      <c r="A184">
        <v>1183</v>
      </c>
      <c r="B184" s="1">
        <v>45824</v>
      </c>
      <c r="C184" t="s">
        <v>18</v>
      </c>
      <c r="D184">
        <v>200</v>
      </c>
      <c r="E184">
        <v>100</v>
      </c>
      <c r="G184" t="str">
        <f t="shared" si="6"/>
        <v>Active</v>
      </c>
      <c r="H184" s="1" t="str">
        <f t="shared" si="7"/>
        <v/>
      </c>
      <c r="J184">
        <f t="shared" si="8"/>
        <v>0</v>
      </c>
    </row>
    <row r="185" spans="1:10" x14ac:dyDescent="0.35">
      <c r="A185">
        <v>1184</v>
      </c>
      <c r="B185" s="1">
        <v>45620</v>
      </c>
      <c r="C185" t="s">
        <v>75</v>
      </c>
      <c r="D185">
        <v>50</v>
      </c>
      <c r="E185">
        <v>30</v>
      </c>
      <c r="G185" t="str">
        <f t="shared" si="6"/>
        <v>Active</v>
      </c>
      <c r="H185" s="1" t="str">
        <f t="shared" si="7"/>
        <v/>
      </c>
      <c r="J185">
        <f t="shared" si="8"/>
        <v>0</v>
      </c>
    </row>
    <row r="186" spans="1:10" x14ac:dyDescent="0.35">
      <c r="A186">
        <v>1185</v>
      </c>
      <c r="B186" s="1">
        <v>45637</v>
      </c>
      <c r="C186" t="s">
        <v>18</v>
      </c>
      <c r="D186">
        <v>200</v>
      </c>
      <c r="E186">
        <v>100</v>
      </c>
      <c r="F186" s="1">
        <v>45835</v>
      </c>
      <c r="G186" t="str">
        <f t="shared" si="6"/>
        <v>Churned</v>
      </c>
      <c r="H186" s="1">
        <f t="shared" si="7"/>
        <v>45809</v>
      </c>
      <c r="J186">
        <f t="shared" si="8"/>
        <v>1</v>
      </c>
    </row>
    <row r="187" spans="1:10" x14ac:dyDescent="0.35">
      <c r="A187">
        <v>1186</v>
      </c>
      <c r="B187" s="1">
        <v>45795</v>
      </c>
      <c r="C187" t="s">
        <v>18</v>
      </c>
      <c r="D187">
        <v>200</v>
      </c>
      <c r="E187">
        <v>100</v>
      </c>
      <c r="G187" t="str">
        <f t="shared" si="6"/>
        <v>Active</v>
      </c>
      <c r="H187" s="1" t="str">
        <f t="shared" si="7"/>
        <v/>
      </c>
      <c r="J187">
        <f t="shared" si="8"/>
        <v>0</v>
      </c>
    </row>
    <row r="188" spans="1:10" x14ac:dyDescent="0.35">
      <c r="A188">
        <v>1187</v>
      </c>
      <c r="B188" s="1">
        <v>45373</v>
      </c>
      <c r="C188" t="s">
        <v>21</v>
      </c>
      <c r="D188">
        <v>500</v>
      </c>
      <c r="E188">
        <v>200</v>
      </c>
      <c r="G188" t="str">
        <f t="shared" si="6"/>
        <v>Active</v>
      </c>
      <c r="H188" s="1" t="str">
        <f t="shared" si="7"/>
        <v/>
      </c>
      <c r="J188">
        <f t="shared" si="8"/>
        <v>0</v>
      </c>
    </row>
    <row r="189" spans="1:10" x14ac:dyDescent="0.35">
      <c r="A189">
        <v>1188</v>
      </c>
      <c r="B189" s="1">
        <v>45477</v>
      </c>
      <c r="C189" t="s">
        <v>18</v>
      </c>
      <c r="D189">
        <v>200</v>
      </c>
      <c r="E189">
        <v>100</v>
      </c>
      <c r="F189" s="1">
        <v>45539</v>
      </c>
      <c r="G189" t="str">
        <f t="shared" si="6"/>
        <v>Churned</v>
      </c>
      <c r="H189" s="1">
        <f t="shared" si="7"/>
        <v>45536</v>
      </c>
      <c r="J189">
        <f t="shared" si="8"/>
        <v>1</v>
      </c>
    </row>
    <row r="190" spans="1:10" x14ac:dyDescent="0.35">
      <c r="A190">
        <v>1189</v>
      </c>
      <c r="B190" s="1">
        <v>45569</v>
      </c>
      <c r="C190" t="s">
        <v>18</v>
      </c>
      <c r="D190">
        <v>200</v>
      </c>
      <c r="E190">
        <v>100</v>
      </c>
      <c r="G190" t="str">
        <f t="shared" si="6"/>
        <v>Active</v>
      </c>
      <c r="H190" s="1" t="str">
        <f t="shared" si="7"/>
        <v/>
      </c>
      <c r="J190">
        <f t="shared" si="8"/>
        <v>0</v>
      </c>
    </row>
    <row r="191" spans="1:10" x14ac:dyDescent="0.35">
      <c r="A191">
        <v>1190</v>
      </c>
      <c r="B191" s="1">
        <v>45687</v>
      </c>
      <c r="C191" t="s">
        <v>21</v>
      </c>
      <c r="D191">
        <v>500</v>
      </c>
      <c r="E191">
        <v>200</v>
      </c>
      <c r="G191" t="str">
        <f t="shared" si="6"/>
        <v>Active</v>
      </c>
      <c r="H191" s="1" t="str">
        <f t="shared" si="7"/>
        <v/>
      </c>
      <c r="J191">
        <f t="shared" si="8"/>
        <v>0</v>
      </c>
    </row>
    <row r="192" spans="1:10" x14ac:dyDescent="0.35">
      <c r="A192">
        <v>1191</v>
      </c>
      <c r="B192" s="1">
        <v>45752</v>
      </c>
      <c r="C192" t="s">
        <v>18</v>
      </c>
      <c r="D192">
        <v>200</v>
      </c>
      <c r="E192">
        <v>100</v>
      </c>
      <c r="G192" t="str">
        <f t="shared" si="6"/>
        <v>Active</v>
      </c>
      <c r="H192" s="1" t="str">
        <f t="shared" si="7"/>
        <v/>
      </c>
      <c r="J192">
        <f t="shared" si="8"/>
        <v>0</v>
      </c>
    </row>
    <row r="193" spans="1:10" x14ac:dyDescent="0.35">
      <c r="A193">
        <v>1192</v>
      </c>
      <c r="B193" s="1">
        <v>45793</v>
      </c>
      <c r="C193" t="s">
        <v>75</v>
      </c>
      <c r="D193">
        <v>50</v>
      </c>
      <c r="E193">
        <v>30</v>
      </c>
      <c r="G193" t="str">
        <f t="shared" si="6"/>
        <v>Active</v>
      </c>
      <c r="H193" s="1" t="str">
        <f t="shared" si="7"/>
        <v/>
      </c>
      <c r="J193">
        <f t="shared" si="8"/>
        <v>0</v>
      </c>
    </row>
    <row r="194" spans="1:10" x14ac:dyDescent="0.35">
      <c r="A194">
        <v>1193</v>
      </c>
      <c r="B194" s="1">
        <v>45315</v>
      </c>
      <c r="C194" t="s">
        <v>18</v>
      </c>
      <c r="D194">
        <v>200</v>
      </c>
      <c r="E194">
        <v>100</v>
      </c>
      <c r="F194" s="1">
        <v>45744</v>
      </c>
      <c r="G194" t="str">
        <f t="shared" si="6"/>
        <v>Churned</v>
      </c>
      <c r="H194" s="1">
        <f t="shared" si="7"/>
        <v>45717</v>
      </c>
      <c r="J194">
        <f t="shared" si="8"/>
        <v>1</v>
      </c>
    </row>
    <row r="195" spans="1:10" x14ac:dyDescent="0.35">
      <c r="A195">
        <v>1194</v>
      </c>
      <c r="B195" s="1">
        <v>45739</v>
      </c>
      <c r="C195" t="s">
        <v>18</v>
      </c>
      <c r="D195">
        <v>200</v>
      </c>
      <c r="E195">
        <v>100</v>
      </c>
      <c r="G195" t="str">
        <f t="shared" ref="G195:G258" si="9">IF(F195="","Active","Churned")</f>
        <v>Active</v>
      </c>
      <c r="H195" s="1" t="str">
        <f t="shared" ref="H195:H258" si="10">IF(F195="","",DATE(YEAR(F195),MONTH(F195),1))</f>
        <v/>
      </c>
      <c r="J195">
        <f t="shared" ref="J195:J258" si="11">IF(G195="Churned",1,0)</f>
        <v>0</v>
      </c>
    </row>
    <row r="196" spans="1:10" x14ac:dyDescent="0.35">
      <c r="A196">
        <v>1195</v>
      </c>
      <c r="B196" s="1">
        <v>45527</v>
      </c>
      <c r="C196" t="s">
        <v>21</v>
      </c>
      <c r="D196">
        <v>500</v>
      </c>
      <c r="E196">
        <v>200</v>
      </c>
      <c r="G196" t="str">
        <f t="shared" si="9"/>
        <v>Active</v>
      </c>
      <c r="H196" s="1" t="str">
        <f t="shared" si="10"/>
        <v/>
      </c>
      <c r="J196">
        <f t="shared" si="11"/>
        <v>0</v>
      </c>
    </row>
    <row r="197" spans="1:10" x14ac:dyDescent="0.35">
      <c r="A197">
        <v>1196</v>
      </c>
      <c r="B197" s="1">
        <v>45352</v>
      </c>
      <c r="C197" t="s">
        <v>21</v>
      </c>
      <c r="D197">
        <v>500</v>
      </c>
      <c r="E197">
        <v>200</v>
      </c>
      <c r="G197" t="str">
        <f t="shared" si="9"/>
        <v>Active</v>
      </c>
      <c r="H197" s="1" t="str">
        <f t="shared" si="10"/>
        <v/>
      </c>
      <c r="J197">
        <f t="shared" si="11"/>
        <v>0</v>
      </c>
    </row>
    <row r="198" spans="1:10" x14ac:dyDescent="0.35">
      <c r="A198">
        <v>1197</v>
      </c>
      <c r="B198" s="1">
        <v>45724</v>
      </c>
      <c r="C198" t="s">
        <v>75</v>
      </c>
      <c r="D198">
        <v>50</v>
      </c>
      <c r="E198">
        <v>30</v>
      </c>
      <c r="F198" s="1">
        <v>45831</v>
      </c>
      <c r="G198" t="str">
        <f t="shared" si="9"/>
        <v>Churned</v>
      </c>
      <c r="H198" s="1">
        <f t="shared" si="10"/>
        <v>45809</v>
      </c>
      <c r="J198">
        <f t="shared" si="11"/>
        <v>1</v>
      </c>
    </row>
    <row r="199" spans="1:10" x14ac:dyDescent="0.35">
      <c r="A199">
        <v>1198</v>
      </c>
      <c r="B199" s="1">
        <v>45506</v>
      </c>
      <c r="C199" t="s">
        <v>18</v>
      </c>
      <c r="D199">
        <v>200</v>
      </c>
      <c r="E199">
        <v>100</v>
      </c>
      <c r="G199" t="str">
        <f t="shared" si="9"/>
        <v>Active</v>
      </c>
      <c r="H199" s="1" t="str">
        <f t="shared" si="10"/>
        <v/>
      </c>
      <c r="J199">
        <f t="shared" si="11"/>
        <v>0</v>
      </c>
    </row>
    <row r="200" spans="1:10" x14ac:dyDescent="0.35">
      <c r="A200">
        <v>1199</v>
      </c>
      <c r="B200" s="1">
        <v>45612</v>
      </c>
      <c r="C200" t="s">
        <v>75</v>
      </c>
      <c r="D200">
        <v>50</v>
      </c>
      <c r="E200">
        <v>30</v>
      </c>
      <c r="G200" t="str">
        <f t="shared" si="9"/>
        <v>Active</v>
      </c>
      <c r="H200" s="1" t="str">
        <f t="shared" si="10"/>
        <v/>
      </c>
      <c r="J200">
        <f t="shared" si="11"/>
        <v>0</v>
      </c>
    </row>
    <row r="201" spans="1:10" x14ac:dyDescent="0.35">
      <c r="A201">
        <v>1200</v>
      </c>
      <c r="B201" s="1">
        <v>45376</v>
      </c>
      <c r="C201" t="s">
        <v>18</v>
      </c>
      <c r="D201">
        <v>200</v>
      </c>
      <c r="E201">
        <v>100</v>
      </c>
      <c r="F201" s="1">
        <v>45825</v>
      </c>
      <c r="G201" t="str">
        <f t="shared" si="9"/>
        <v>Churned</v>
      </c>
      <c r="H201" s="1">
        <f t="shared" si="10"/>
        <v>45809</v>
      </c>
      <c r="J201">
        <f t="shared" si="11"/>
        <v>1</v>
      </c>
    </row>
    <row r="202" spans="1:10" x14ac:dyDescent="0.35">
      <c r="A202">
        <v>1201</v>
      </c>
      <c r="B202" s="1">
        <v>45703</v>
      </c>
      <c r="C202" t="s">
        <v>18</v>
      </c>
      <c r="D202">
        <v>200</v>
      </c>
      <c r="E202">
        <v>100</v>
      </c>
      <c r="G202" t="str">
        <f t="shared" si="9"/>
        <v>Active</v>
      </c>
      <c r="H202" s="1" t="str">
        <f t="shared" si="10"/>
        <v/>
      </c>
      <c r="J202">
        <f t="shared" si="11"/>
        <v>0</v>
      </c>
    </row>
    <row r="203" spans="1:10" x14ac:dyDescent="0.35">
      <c r="A203">
        <v>1202</v>
      </c>
      <c r="B203" s="1">
        <v>45379</v>
      </c>
      <c r="C203" t="s">
        <v>21</v>
      </c>
      <c r="D203">
        <v>500</v>
      </c>
      <c r="E203">
        <v>200</v>
      </c>
      <c r="G203" t="str">
        <f t="shared" si="9"/>
        <v>Active</v>
      </c>
      <c r="H203" s="1" t="str">
        <f t="shared" si="10"/>
        <v/>
      </c>
      <c r="J203">
        <f t="shared" si="11"/>
        <v>0</v>
      </c>
    </row>
    <row r="204" spans="1:10" x14ac:dyDescent="0.35">
      <c r="A204">
        <v>1203</v>
      </c>
      <c r="B204" s="1">
        <v>45469</v>
      </c>
      <c r="C204" t="s">
        <v>18</v>
      </c>
      <c r="D204">
        <v>200</v>
      </c>
      <c r="E204">
        <v>100</v>
      </c>
      <c r="G204" t="str">
        <f t="shared" si="9"/>
        <v>Active</v>
      </c>
      <c r="H204" s="1" t="str">
        <f t="shared" si="10"/>
        <v/>
      </c>
      <c r="J204">
        <f t="shared" si="11"/>
        <v>0</v>
      </c>
    </row>
    <row r="205" spans="1:10" x14ac:dyDescent="0.35">
      <c r="A205">
        <v>1204</v>
      </c>
      <c r="B205" s="1">
        <v>45296</v>
      </c>
      <c r="C205" t="s">
        <v>21</v>
      </c>
      <c r="D205">
        <v>500</v>
      </c>
      <c r="E205">
        <v>200</v>
      </c>
      <c r="G205" t="str">
        <f t="shared" si="9"/>
        <v>Active</v>
      </c>
      <c r="H205" s="1" t="str">
        <f t="shared" si="10"/>
        <v/>
      </c>
      <c r="J205">
        <f t="shared" si="11"/>
        <v>0</v>
      </c>
    </row>
    <row r="206" spans="1:10" x14ac:dyDescent="0.35">
      <c r="A206">
        <v>1205</v>
      </c>
      <c r="B206" s="1">
        <v>45834</v>
      </c>
      <c r="C206" t="s">
        <v>18</v>
      </c>
      <c r="D206">
        <v>200</v>
      </c>
      <c r="E206">
        <v>100</v>
      </c>
      <c r="G206" t="str">
        <f t="shared" si="9"/>
        <v>Active</v>
      </c>
      <c r="H206" s="1" t="str">
        <f t="shared" si="10"/>
        <v/>
      </c>
      <c r="J206">
        <f t="shared" si="11"/>
        <v>0</v>
      </c>
    </row>
    <row r="207" spans="1:10" x14ac:dyDescent="0.35">
      <c r="A207">
        <v>1206</v>
      </c>
      <c r="B207" s="1">
        <v>45815</v>
      </c>
      <c r="C207" t="s">
        <v>18</v>
      </c>
      <c r="D207">
        <v>200</v>
      </c>
      <c r="E207">
        <v>100</v>
      </c>
      <c r="G207" t="str">
        <f t="shared" si="9"/>
        <v>Active</v>
      </c>
      <c r="H207" s="1" t="str">
        <f t="shared" si="10"/>
        <v/>
      </c>
      <c r="J207">
        <f t="shared" si="11"/>
        <v>0</v>
      </c>
    </row>
    <row r="208" spans="1:10" x14ac:dyDescent="0.35">
      <c r="A208">
        <v>1207</v>
      </c>
      <c r="B208" s="1">
        <v>45695</v>
      </c>
      <c r="C208" t="s">
        <v>75</v>
      </c>
      <c r="D208">
        <v>50</v>
      </c>
      <c r="E208">
        <v>30</v>
      </c>
      <c r="G208" t="str">
        <f t="shared" si="9"/>
        <v>Active</v>
      </c>
      <c r="H208" s="1" t="str">
        <f t="shared" si="10"/>
        <v/>
      </c>
      <c r="J208">
        <f t="shared" si="11"/>
        <v>0</v>
      </c>
    </row>
    <row r="209" spans="1:10" x14ac:dyDescent="0.35">
      <c r="A209">
        <v>1208</v>
      </c>
      <c r="B209" s="1">
        <v>45765</v>
      </c>
      <c r="C209" t="s">
        <v>18</v>
      </c>
      <c r="D209">
        <v>200</v>
      </c>
      <c r="E209">
        <v>100</v>
      </c>
      <c r="G209" t="str">
        <f t="shared" si="9"/>
        <v>Active</v>
      </c>
      <c r="H209" s="1" t="str">
        <f t="shared" si="10"/>
        <v/>
      </c>
      <c r="J209">
        <f t="shared" si="11"/>
        <v>0</v>
      </c>
    </row>
    <row r="210" spans="1:10" x14ac:dyDescent="0.35">
      <c r="A210">
        <v>1209</v>
      </c>
      <c r="B210" s="1">
        <v>45298</v>
      </c>
      <c r="C210" t="s">
        <v>75</v>
      </c>
      <c r="D210">
        <v>50</v>
      </c>
      <c r="E210">
        <v>30</v>
      </c>
      <c r="G210" t="str">
        <f t="shared" si="9"/>
        <v>Active</v>
      </c>
      <c r="H210" s="1" t="str">
        <f t="shared" si="10"/>
        <v/>
      </c>
      <c r="J210">
        <f t="shared" si="11"/>
        <v>0</v>
      </c>
    </row>
    <row r="211" spans="1:10" x14ac:dyDescent="0.35">
      <c r="A211">
        <v>1210</v>
      </c>
      <c r="B211" s="1">
        <v>45513</v>
      </c>
      <c r="C211" t="s">
        <v>21</v>
      </c>
      <c r="D211">
        <v>500</v>
      </c>
      <c r="E211">
        <v>200</v>
      </c>
      <c r="F211" s="1">
        <v>45724</v>
      </c>
      <c r="G211" t="str">
        <f t="shared" si="9"/>
        <v>Churned</v>
      </c>
      <c r="H211" s="1">
        <f t="shared" si="10"/>
        <v>45717</v>
      </c>
      <c r="J211">
        <f t="shared" si="11"/>
        <v>1</v>
      </c>
    </row>
    <row r="212" spans="1:10" x14ac:dyDescent="0.35">
      <c r="A212">
        <v>1211</v>
      </c>
      <c r="B212" s="1">
        <v>45736</v>
      </c>
      <c r="C212" t="s">
        <v>18</v>
      </c>
      <c r="D212">
        <v>200</v>
      </c>
      <c r="E212">
        <v>100</v>
      </c>
      <c r="G212" t="str">
        <f t="shared" si="9"/>
        <v>Active</v>
      </c>
      <c r="H212" s="1" t="str">
        <f t="shared" si="10"/>
        <v/>
      </c>
      <c r="J212">
        <f t="shared" si="11"/>
        <v>0</v>
      </c>
    </row>
    <row r="213" spans="1:10" x14ac:dyDescent="0.35">
      <c r="A213">
        <v>1212</v>
      </c>
      <c r="B213" s="1">
        <v>45774</v>
      </c>
      <c r="C213" t="s">
        <v>75</v>
      </c>
      <c r="D213">
        <v>50</v>
      </c>
      <c r="E213">
        <v>30</v>
      </c>
      <c r="G213" t="str">
        <f t="shared" si="9"/>
        <v>Active</v>
      </c>
      <c r="H213" s="1" t="str">
        <f t="shared" si="10"/>
        <v/>
      </c>
      <c r="J213">
        <f t="shared" si="11"/>
        <v>0</v>
      </c>
    </row>
    <row r="214" spans="1:10" x14ac:dyDescent="0.35">
      <c r="A214">
        <v>1213</v>
      </c>
      <c r="B214" s="1">
        <v>45540</v>
      </c>
      <c r="C214" t="s">
        <v>21</v>
      </c>
      <c r="D214">
        <v>500</v>
      </c>
      <c r="E214">
        <v>200</v>
      </c>
      <c r="G214" t="str">
        <f t="shared" si="9"/>
        <v>Active</v>
      </c>
      <c r="H214" s="1" t="str">
        <f t="shared" si="10"/>
        <v/>
      </c>
      <c r="J214">
        <f t="shared" si="11"/>
        <v>0</v>
      </c>
    </row>
    <row r="215" spans="1:10" x14ac:dyDescent="0.35">
      <c r="A215">
        <v>1214</v>
      </c>
      <c r="B215" s="1">
        <v>45376</v>
      </c>
      <c r="C215" t="s">
        <v>21</v>
      </c>
      <c r="D215">
        <v>500</v>
      </c>
      <c r="E215">
        <v>200</v>
      </c>
      <c r="F215" s="1">
        <v>45624</v>
      </c>
      <c r="G215" t="str">
        <f t="shared" si="9"/>
        <v>Churned</v>
      </c>
      <c r="H215" s="1">
        <f t="shared" si="10"/>
        <v>45597</v>
      </c>
      <c r="J215">
        <f t="shared" si="11"/>
        <v>1</v>
      </c>
    </row>
    <row r="216" spans="1:10" x14ac:dyDescent="0.35">
      <c r="A216">
        <v>1215</v>
      </c>
      <c r="B216" s="1">
        <v>45359</v>
      </c>
      <c r="C216" t="s">
        <v>21</v>
      </c>
      <c r="D216">
        <v>500</v>
      </c>
      <c r="E216">
        <v>200</v>
      </c>
      <c r="G216" t="str">
        <f t="shared" si="9"/>
        <v>Active</v>
      </c>
      <c r="H216" s="1" t="str">
        <f t="shared" si="10"/>
        <v/>
      </c>
      <c r="J216">
        <f t="shared" si="11"/>
        <v>0</v>
      </c>
    </row>
    <row r="217" spans="1:10" x14ac:dyDescent="0.35">
      <c r="A217">
        <v>1216</v>
      </c>
      <c r="B217" s="1">
        <v>45593</v>
      </c>
      <c r="C217" t="s">
        <v>75</v>
      </c>
      <c r="D217">
        <v>50</v>
      </c>
      <c r="E217">
        <v>30</v>
      </c>
      <c r="G217" t="str">
        <f t="shared" si="9"/>
        <v>Active</v>
      </c>
      <c r="H217" s="1" t="str">
        <f t="shared" si="10"/>
        <v/>
      </c>
      <c r="J217">
        <f t="shared" si="11"/>
        <v>0</v>
      </c>
    </row>
    <row r="218" spans="1:10" x14ac:dyDescent="0.35">
      <c r="A218">
        <v>1217</v>
      </c>
      <c r="B218" s="1">
        <v>45711</v>
      </c>
      <c r="C218" t="s">
        <v>75</v>
      </c>
      <c r="D218">
        <v>50</v>
      </c>
      <c r="E218">
        <v>30</v>
      </c>
      <c r="G218" t="str">
        <f t="shared" si="9"/>
        <v>Active</v>
      </c>
      <c r="H218" s="1" t="str">
        <f t="shared" si="10"/>
        <v/>
      </c>
      <c r="J218">
        <f t="shared" si="11"/>
        <v>0</v>
      </c>
    </row>
    <row r="219" spans="1:10" x14ac:dyDescent="0.35">
      <c r="A219">
        <v>1218</v>
      </c>
      <c r="B219" s="1">
        <v>45415</v>
      </c>
      <c r="C219" t="s">
        <v>75</v>
      </c>
      <c r="D219">
        <v>50</v>
      </c>
      <c r="E219">
        <v>30</v>
      </c>
      <c r="G219" t="str">
        <f t="shared" si="9"/>
        <v>Active</v>
      </c>
      <c r="H219" s="1" t="str">
        <f t="shared" si="10"/>
        <v/>
      </c>
      <c r="J219">
        <f t="shared" si="11"/>
        <v>0</v>
      </c>
    </row>
    <row r="220" spans="1:10" x14ac:dyDescent="0.35">
      <c r="A220">
        <v>1219</v>
      </c>
      <c r="B220" s="1">
        <v>45593</v>
      </c>
      <c r="C220" t="s">
        <v>18</v>
      </c>
      <c r="D220">
        <v>200</v>
      </c>
      <c r="E220">
        <v>100</v>
      </c>
      <c r="G220" t="str">
        <f t="shared" si="9"/>
        <v>Active</v>
      </c>
      <c r="H220" s="1" t="str">
        <f t="shared" si="10"/>
        <v/>
      </c>
      <c r="J220">
        <f t="shared" si="11"/>
        <v>0</v>
      </c>
    </row>
    <row r="221" spans="1:10" x14ac:dyDescent="0.35">
      <c r="A221">
        <v>1220</v>
      </c>
      <c r="B221" s="1">
        <v>45380</v>
      </c>
      <c r="C221" t="s">
        <v>75</v>
      </c>
      <c r="D221">
        <v>50</v>
      </c>
      <c r="E221">
        <v>30</v>
      </c>
      <c r="F221" s="1">
        <v>45601</v>
      </c>
      <c r="G221" t="str">
        <f t="shared" si="9"/>
        <v>Churned</v>
      </c>
      <c r="H221" s="1">
        <f t="shared" si="10"/>
        <v>45597</v>
      </c>
      <c r="J221">
        <f t="shared" si="11"/>
        <v>1</v>
      </c>
    </row>
    <row r="222" spans="1:10" x14ac:dyDescent="0.35">
      <c r="A222">
        <v>1221</v>
      </c>
      <c r="B222" s="1">
        <v>45782</v>
      </c>
      <c r="C222" t="s">
        <v>21</v>
      </c>
      <c r="D222">
        <v>500</v>
      </c>
      <c r="E222">
        <v>200</v>
      </c>
      <c r="G222" t="str">
        <f t="shared" si="9"/>
        <v>Active</v>
      </c>
      <c r="H222" s="1" t="str">
        <f t="shared" si="10"/>
        <v/>
      </c>
      <c r="J222">
        <f t="shared" si="11"/>
        <v>0</v>
      </c>
    </row>
    <row r="223" spans="1:10" x14ac:dyDescent="0.35">
      <c r="A223">
        <v>1222</v>
      </c>
      <c r="B223" s="1">
        <v>45331</v>
      </c>
      <c r="C223" t="s">
        <v>18</v>
      </c>
      <c r="D223">
        <v>200</v>
      </c>
      <c r="E223">
        <v>100</v>
      </c>
      <c r="F223" s="1">
        <v>45748</v>
      </c>
      <c r="G223" t="str">
        <f t="shared" si="9"/>
        <v>Churned</v>
      </c>
      <c r="H223" s="1">
        <f t="shared" si="10"/>
        <v>45748</v>
      </c>
      <c r="J223">
        <f t="shared" si="11"/>
        <v>1</v>
      </c>
    </row>
    <row r="224" spans="1:10" x14ac:dyDescent="0.35">
      <c r="A224">
        <v>1223</v>
      </c>
      <c r="B224" s="1">
        <v>45716</v>
      </c>
      <c r="C224" t="s">
        <v>21</v>
      </c>
      <c r="D224">
        <v>500</v>
      </c>
      <c r="E224">
        <v>200</v>
      </c>
      <c r="F224" s="1">
        <v>45800</v>
      </c>
      <c r="G224" t="str">
        <f t="shared" si="9"/>
        <v>Churned</v>
      </c>
      <c r="H224" s="1">
        <f t="shared" si="10"/>
        <v>45778</v>
      </c>
      <c r="J224">
        <f t="shared" si="11"/>
        <v>1</v>
      </c>
    </row>
    <row r="225" spans="1:10" x14ac:dyDescent="0.35">
      <c r="A225">
        <v>1224</v>
      </c>
      <c r="B225" s="1">
        <v>45615</v>
      </c>
      <c r="C225" t="s">
        <v>18</v>
      </c>
      <c r="D225">
        <v>200</v>
      </c>
      <c r="E225">
        <v>100</v>
      </c>
      <c r="G225" t="str">
        <f t="shared" si="9"/>
        <v>Active</v>
      </c>
      <c r="H225" s="1" t="str">
        <f t="shared" si="10"/>
        <v/>
      </c>
      <c r="J225">
        <f t="shared" si="11"/>
        <v>0</v>
      </c>
    </row>
    <row r="226" spans="1:10" x14ac:dyDescent="0.35">
      <c r="A226">
        <v>1225</v>
      </c>
      <c r="B226" s="1">
        <v>45812</v>
      </c>
      <c r="C226" t="s">
        <v>21</v>
      </c>
      <c r="D226">
        <v>500</v>
      </c>
      <c r="E226">
        <v>200</v>
      </c>
      <c r="F226" s="1">
        <v>45838</v>
      </c>
      <c r="G226" t="str">
        <f t="shared" si="9"/>
        <v>Churned</v>
      </c>
      <c r="H226" s="1">
        <f t="shared" si="10"/>
        <v>45809</v>
      </c>
      <c r="J226">
        <f t="shared" si="11"/>
        <v>1</v>
      </c>
    </row>
    <row r="227" spans="1:10" x14ac:dyDescent="0.35">
      <c r="A227">
        <v>1226</v>
      </c>
      <c r="B227" s="1">
        <v>45571</v>
      </c>
      <c r="C227" t="s">
        <v>75</v>
      </c>
      <c r="D227">
        <v>50</v>
      </c>
      <c r="E227">
        <v>30</v>
      </c>
      <c r="F227" s="1">
        <v>45734</v>
      </c>
      <c r="G227" t="str">
        <f t="shared" si="9"/>
        <v>Churned</v>
      </c>
      <c r="H227" s="1">
        <f t="shared" si="10"/>
        <v>45717</v>
      </c>
      <c r="J227">
        <f t="shared" si="11"/>
        <v>1</v>
      </c>
    </row>
    <row r="228" spans="1:10" x14ac:dyDescent="0.35">
      <c r="A228">
        <v>1227</v>
      </c>
      <c r="B228" s="1">
        <v>45722</v>
      </c>
      <c r="C228" t="s">
        <v>21</v>
      </c>
      <c r="D228">
        <v>500</v>
      </c>
      <c r="E228">
        <v>200</v>
      </c>
      <c r="G228" t="str">
        <f t="shared" si="9"/>
        <v>Active</v>
      </c>
      <c r="H228" s="1" t="str">
        <f t="shared" si="10"/>
        <v/>
      </c>
      <c r="J228">
        <f t="shared" si="11"/>
        <v>0</v>
      </c>
    </row>
    <row r="229" spans="1:10" x14ac:dyDescent="0.35">
      <c r="A229">
        <v>1228</v>
      </c>
      <c r="B229" s="1">
        <v>45476</v>
      </c>
      <c r="C229" t="s">
        <v>21</v>
      </c>
      <c r="D229">
        <v>500</v>
      </c>
      <c r="E229">
        <v>200</v>
      </c>
      <c r="G229" t="str">
        <f t="shared" si="9"/>
        <v>Active</v>
      </c>
      <c r="H229" s="1" t="str">
        <f t="shared" si="10"/>
        <v/>
      </c>
      <c r="J229">
        <f t="shared" si="11"/>
        <v>0</v>
      </c>
    </row>
    <row r="230" spans="1:10" x14ac:dyDescent="0.35">
      <c r="A230">
        <v>1229</v>
      </c>
      <c r="B230" s="1">
        <v>45687</v>
      </c>
      <c r="C230" t="s">
        <v>21</v>
      </c>
      <c r="D230">
        <v>500</v>
      </c>
      <c r="E230">
        <v>200</v>
      </c>
      <c r="F230" s="1">
        <v>45790</v>
      </c>
      <c r="G230" t="str">
        <f t="shared" si="9"/>
        <v>Churned</v>
      </c>
      <c r="H230" s="1">
        <f t="shared" si="10"/>
        <v>45778</v>
      </c>
      <c r="J230">
        <f t="shared" si="11"/>
        <v>1</v>
      </c>
    </row>
    <row r="231" spans="1:10" x14ac:dyDescent="0.35">
      <c r="A231">
        <v>1230</v>
      </c>
      <c r="B231" s="1">
        <v>45664</v>
      </c>
      <c r="C231" t="s">
        <v>21</v>
      </c>
      <c r="D231">
        <v>500</v>
      </c>
      <c r="E231">
        <v>200</v>
      </c>
      <c r="G231" t="str">
        <f t="shared" si="9"/>
        <v>Active</v>
      </c>
      <c r="H231" s="1" t="str">
        <f t="shared" si="10"/>
        <v/>
      </c>
      <c r="J231">
        <f t="shared" si="11"/>
        <v>0</v>
      </c>
    </row>
    <row r="232" spans="1:10" x14ac:dyDescent="0.35">
      <c r="A232">
        <v>1231</v>
      </c>
      <c r="B232" s="1">
        <v>45327</v>
      </c>
      <c r="C232" t="s">
        <v>18</v>
      </c>
      <c r="D232">
        <v>200</v>
      </c>
      <c r="E232">
        <v>100</v>
      </c>
      <c r="G232" t="str">
        <f t="shared" si="9"/>
        <v>Active</v>
      </c>
      <c r="H232" s="1" t="str">
        <f t="shared" si="10"/>
        <v/>
      </c>
      <c r="J232">
        <f t="shared" si="11"/>
        <v>0</v>
      </c>
    </row>
    <row r="233" spans="1:10" x14ac:dyDescent="0.35">
      <c r="A233">
        <v>1232</v>
      </c>
      <c r="B233" s="1">
        <v>45766</v>
      </c>
      <c r="C233" t="s">
        <v>21</v>
      </c>
      <c r="D233">
        <v>500</v>
      </c>
      <c r="E233">
        <v>200</v>
      </c>
      <c r="G233" t="str">
        <f t="shared" si="9"/>
        <v>Active</v>
      </c>
      <c r="H233" s="1" t="str">
        <f t="shared" si="10"/>
        <v/>
      </c>
      <c r="J233">
        <f t="shared" si="11"/>
        <v>0</v>
      </c>
    </row>
    <row r="234" spans="1:10" x14ac:dyDescent="0.35">
      <c r="A234">
        <v>1233</v>
      </c>
      <c r="B234" s="1">
        <v>45619</v>
      </c>
      <c r="C234" t="s">
        <v>18</v>
      </c>
      <c r="D234">
        <v>200</v>
      </c>
      <c r="E234">
        <v>100</v>
      </c>
      <c r="G234" t="str">
        <f t="shared" si="9"/>
        <v>Active</v>
      </c>
      <c r="H234" s="1" t="str">
        <f t="shared" si="10"/>
        <v/>
      </c>
      <c r="J234">
        <f t="shared" si="11"/>
        <v>0</v>
      </c>
    </row>
    <row r="235" spans="1:10" x14ac:dyDescent="0.35">
      <c r="A235">
        <v>1234</v>
      </c>
      <c r="B235" s="1">
        <v>45586</v>
      </c>
      <c r="C235" t="s">
        <v>75</v>
      </c>
      <c r="D235">
        <v>50</v>
      </c>
      <c r="E235">
        <v>30</v>
      </c>
      <c r="F235" s="1">
        <v>45714</v>
      </c>
      <c r="G235" t="str">
        <f t="shared" si="9"/>
        <v>Churned</v>
      </c>
      <c r="H235" s="1">
        <f t="shared" si="10"/>
        <v>45689</v>
      </c>
      <c r="J235">
        <f t="shared" si="11"/>
        <v>1</v>
      </c>
    </row>
    <row r="236" spans="1:10" x14ac:dyDescent="0.35">
      <c r="A236">
        <v>1235</v>
      </c>
      <c r="B236" s="1">
        <v>45712</v>
      </c>
      <c r="C236" t="s">
        <v>21</v>
      </c>
      <c r="D236">
        <v>500</v>
      </c>
      <c r="E236">
        <v>200</v>
      </c>
      <c r="F236" s="1">
        <v>45747</v>
      </c>
      <c r="G236" t="str">
        <f t="shared" si="9"/>
        <v>Churned</v>
      </c>
      <c r="H236" s="1">
        <f t="shared" si="10"/>
        <v>45717</v>
      </c>
      <c r="J236">
        <f t="shared" si="11"/>
        <v>1</v>
      </c>
    </row>
    <row r="237" spans="1:10" x14ac:dyDescent="0.35">
      <c r="A237">
        <v>1236</v>
      </c>
      <c r="B237" s="1">
        <v>45752</v>
      </c>
      <c r="C237" t="s">
        <v>75</v>
      </c>
      <c r="D237">
        <v>50</v>
      </c>
      <c r="E237">
        <v>30</v>
      </c>
      <c r="G237" t="str">
        <f t="shared" si="9"/>
        <v>Active</v>
      </c>
      <c r="H237" s="1" t="str">
        <f t="shared" si="10"/>
        <v/>
      </c>
      <c r="J237">
        <f t="shared" si="11"/>
        <v>0</v>
      </c>
    </row>
    <row r="238" spans="1:10" x14ac:dyDescent="0.35">
      <c r="A238">
        <v>1237</v>
      </c>
      <c r="B238" s="1">
        <v>45618</v>
      </c>
      <c r="C238" t="s">
        <v>21</v>
      </c>
      <c r="D238">
        <v>500</v>
      </c>
      <c r="E238">
        <v>200</v>
      </c>
      <c r="G238" t="str">
        <f t="shared" si="9"/>
        <v>Active</v>
      </c>
      <c r="H238" s="1" t="str">
        <f t="shared" si="10"/>
        <v/>
      </c>
      <c r="J238">
        <f t="shared" si="11"/>
        <v>0</v>
      </c>
    </row>
    <row r="239" spans="1:10" x14ac:dyDescent="0.35">
      <c r="A239">
        <v>1238</v>
      </c>
      <c r="B239" s="1">
        <v>45771</v>
      </c>
      <c r="C239" t="s">
        <v>18</v>
      </c>
      <c r="D239">
        <v>200</v>
      </c>
      <c r="E239">
        <v>100</v>
      </c>
      <c r="G239" t="str">
        <f t="shared" si="9"/>
        <v>Active</v>
      </c>
      <c r="H239" s="1" t="str">
        <f t="shared" si="10"/>
        <v/>
      </c>
      <c r="J239">
        <f t="shared" si="11"/>
        <v>0</v>
      </c>
    </row>
    <row r="240" spans="1:10" x14ac:dyDescent="0.35">
      <c r="A240">
        <v>1239</v>
      </c>
      <c r="B240" s="1">
        <v>45433</v>
      </c>
      <c r="C240" t="s">
        <v>18</v>
      </c>
      <c r="D240">
        <v>200</v>
      </c>
      <c r="E240">
        <v>100</v>
      </c>
      <c r="F240" s="1">
        <v>45805</v>
      </c>
      <c r="G240" t="str">
        <f t="shared" si="9"/>
        <v>Churned</v>
      </c>
      <c r="H240" s="1">
        <f t="shared" si="10"/>
        <v>45778</v>
      </c>
      <c r="J240">
        <f t="shared" si="11"/>
        <v>1</v>
      </c>
    </row>
    <row r="241" spans="1:10" x14ac:dyDescent="0.35">
      <c r="A241">
        <v>1240</v>
      </c>
      <c r="B241" s="1">
        <v>45790</v>
      </c>
      <c r="C241" t="s">
        <v>21</v>
      </c>
      <c r="D241">
        <v>500</v>
      </c>
      <c r="E241">
        <v>200</v>
      </c>
      <c r="G241" t="str">
        <f t="shared" si="9"/>
        <v>Active</v>
      </c>
      <c r="H241" s="1" t="str">
        <f t="shared" si="10"/>
        <v/>
      </c>
      <c r="J241">
        <f t="shared" si="11"/>
        <v>0</v>
      </c>
    </row>
    <row r="242" spans="1:10" x14ac:dyDescent="0.35">
      <c r="A242">
        <v>1241</v>
      </c>
      <c r="B242" s="1">
        <v>45541</v>
      </c>
      <c r="C242" t="s">
        <v>18</v>
      </c>
      <c r="D242">
        <v>200</v>
      </c>
      <c r="E242">
        <v>100</v>
      </c>
      <c r="F242" s="1">
        <v>45732</v>
      </c>
      <c r="G242" t="str">
        <f t="shared" si="9"/>
        <v>Churned</v>
      </c>
      <c r="H242" s="1">
        <f t="shared" si="10"/>
        <v>45717</v>
      </c>
      <c r="J242">
        <f t="shared" si="11"/>
        <v>1</v>
      </c>
    </row>
    <row r="243" spans="1:10" x14ac:dyDescent="0.35">
      <c r="A243">
        <v>1242</v>
      </c>
      <c r="B243" s="1">
        <v>45725</v>
      </c>
      <c r="C243" t="s">
        <v>75</v>
      </c>
      <c r="D243">
        <v>50</v>
      </c>
      <c r="E243">
        <v>30</v>
      </c>
      <c r="F243" s="1">
        <v>45827</v>
      </c>
      <c r="G243" t="str">
        <f t="shared" si="9"/>
        <v>Churned</v>
      </c>
      <c r="H243" s="1">
        <f t="shared" si="10"/>
        <v>45809</v>
      </c>
      <c r="J243">
        <f t="shared" si="11"/>
        <v>1</v>
      </c>
    </row>
    <row r="244" spans="1:10" x14ac:dyDescent="0.35">
      <c r="A244">
        <v>1243</v>
      </c>
      <c r="B244" s="1">
        <v>45428</v>
      </c>
      <c r="C244" t="s">
        <v>75</v>
      </c>
      <c r="D244">
        <v>50</v>
      </c>
      <c r="E244">
        <v>30</v>
      </c>
      <c r="G244" t="str">
        <f t="shared" si="9"/>
        <v>Active</v>
      </c>
      <c r="H244" s="1" t="str">
        <f t="shared" si="10"/>
        <v/>
      </c>
      <c r="J244">
        <f t="shared" si="11"/>
        <v>0</v>
      </c>
    </row>
    <row r="245" spans="1:10" x14ac:dyDescent="0.35">
      <c r="A245">
        <v>1244</v>
      </c>
      <c r="B245" s="1">
        <v>45404</v>
      </c>
      <c r="C245" t="s">
        <v>21</v>
      </c>
      <c r="D245">
        <v>500</v>
      </c>
      <c r="E245">
        <v>200</v>
      </c>
      <c r="G245" t="str">
        <f t="shared" si="9"/>
        <v>Active</v>
      </c>
      <c r="H245" s="1" t="str">
        <f t="shared" si="10"/>
        <v/>
      </c>
      <c r="J245">
        <f t="shared" si="11"/>
        <v>0</v>
      </c>
    </row>
    <row r="246" spans="1:10" x14ac:dyDescent="0.35">
      <c r="A246">
        <v>1245</v>
      </c>
      <c r="B246" s="1">
        <v>45742</v>
      </c>
      <c r="C246" t="s">
        <v>75</v>
      </c>
      <c r="D246">
        <v>50</v>
      </c>
      <c r="E246">
        <v>30</v>
      </c>
      <c r="G246" t="str">
        <f t="shared" si="9"/>
        <v>Active</v>
      </c>
      <c r="H246" s="1" t="str">
        <f t="shared" si="10"/>
        <v/>
      </c>
      <c r="J246">
        <f t="shared" si="11"/>
        <v>0</v>
      </c>
    </row>
    <row r="247" spans="1:10" x14ac:dyDescent="0.35">
      <c r="A247">
        <v>1246</v>
      </c>
      <c r="B247" s="1">
        <v>45807</v>
      </c>
      <c r="C247" t="s">
        <v>21</v>
      </c>
      <c r="D247">
        <v>500</v>
      </c>
      <c r="E247">
        <v>200</v>
      </c>
      <c r="G247" t="str">
        <f t="shared" si="9"/>
        <v>Active</v>
      </c>
      <c r="H247" s="1" t="str">
        <f t="shared" si="10"/>
        <v/>
      </c>
      <c r="J247">
        <f t="shared" si="11"/>
        <v>0</v>
      </c>
    </row>
    <row r="248" spans="1:10" x14ac:dyDescent="0.35">
      <c r="A248">
        <v>1247</v>
      </c>
      <c r="B248" s="1">
        <v>45440</v>
      </c>
      <c r="C248" t="s">
        <v>18</v>
      </c>
      <c r="D248">
        <v>200</v>
      </c>
      <c r="E248">
        <v>100</v>
      </c>
      <c r="F248" s="1">
        <v>45525</v>
      </c>
      <c r="G248" t="str">
        <f t="shared" si="9"/>
        <v>Churned</v>
      </c>
      <c r="H248" s="1">
        <f t="shared" si="10"/>
        <v>45505</v>
      </c>
      <c r="J248">
        <f t="shared" si="11"/>
        <v>1</v>
      </c>
    </row>
    <row r="249" spans="1:10" x14ac:dyDescent="0.35">
      <c r="A249">
        <v>1248</v>
      </c>
      <c r="B249" s="1">
        <v>45806</v>
      </c>
      <c r="C249" t="s">
        <v>21</v>
      </c>
      <c r="D249">
        <v>500</v>
      </c>
      <c r="E249">
        <v>200</v>
      </c>
      <c r="G249" t="str">
        <f t="shared" si="9"/>
        <v>Active</v>
      </c>
      <c r="H249" s="1" t="str">
        <f t="shared" si="10"/>
        <v/>
      </c>
      <c r="J249">
        <f t="shared" si="11"/>
        <v>0</v>
      </c>
    </row>
    <row r="250" spans="1:10" x14ac:dyDescent="0.35">
      <c r="A250">
        <v>1249</v>
      </c>
      <c r="B250" s="1">
        <v>45449</v>
      </c>
      <c r="C250" t="s">
        <v>21</v>
      </c>
      <c r="D250">
        <v>500</v>
      </c>
      <c r="E250">
        <v>200</v>
      </c>
      <c r="G250" t="str">
        <f t="shared" si="9"/>
        <v>Active</v>
      </c>
      <c r="H250" s="1" t="str">
        <f t="shared" si="10"/>
        <v/>
      </c>
      <c r="J250">
        <f t="shared" si="11"/>
        <v>0</v>
      </c>
    </row>
    <row r="251" spans="1:10" x14ac:dyDescent="0.35">
      <c r="A251">
        <v>1250</v>
      </c>
      <c r="B251" s="1">
        <v>45577</v>
      </c>
      <c r="C251" t="s">
        <v>18</v>
      </c>
      <c r="D251">
        <v>200</v>
      </c>
      <c r="E251">
        <v>100</v>
      </c>
      <c r="G251" t="str">
        <f t="shared" si="9"/>
        <v>Active</v>
      </c>
      <c r="H251" s="1" t="str">
        <f t="shared" si="10"/>
        <v/>
      </c>
      <c r="J251">
        <f t="shared" si="11"/>
        <v>0</v>
      </c>
    </row>
    <row r="252" spans="1:10" x14ac:dyDescent="0.35">
      <c r="A252">
        <v>1251</v>
      </c>
      <c r="B252" s="1">
        <v>45718</v>
      </c>
      <c r="C252" t="s">
        <v>75</v>
      </c>
      <c r="D252">
        <v>50</v>
      </c>
      <c r="E252">
        <v>30</v>
      </c>
      <c r="G252" t="str">
        <f t="shared" si="9"/>
        <v>Active</v>
      </c>
      <c r="H252" s="1" t="str">
        <f t="shared" si="10"/>
        <v/>
      </c>
      <c r="J252">
        <f t="shared" si="11"/>
        <v>0</v>
      </c>
    </row>
    <row r="253" spans="1:10" x14ac:dyDescent="0.35">
      <c r="A253">
        <v>1252</v>
      </c>
      <c r="B253" s="1">
        <v>45343</v>
      </c>
      <c r="C253" t="s">
        <v>75</v>
      </c>
      <c r="D253">
        <v>50</v>
      </c>
      <c r="E253">
        <v>30</v>
      </c>
      <c r="G253" t="str">
        <f t="shared" si="9"/>
        <v>Active</v>
      </c>
      <c r="H253" s="1" t="str">
        <f t="shared" si="10"/>
        <v/>
      </c>
      <c r="J253">
        <f t="shared" si="11"/>
        <v>0</v>
      </c>
    </row>
    <row r="254" spans="1:10" x14ac:dyDescent="0.35">
      <c r="A254">
        <v>1253</v>
      </c>
      <c r="B254" s="1">
        <v>45635</v>
      </c>
      <c r="C254" t="s">
        <v>18</v>
      </c>
      <c r="D254">
        <v>200</v>
      </c>
      <c r="E254">
        <v>100</v>
      </c>
      <c r="G254" t="str">
        <f t="shared" si="9"/>
        <v>Active</v>
      </c>
      <c r="H254" s="1" t="str">
        <f t="shared" si="10"/>
        <v/>
      </c>
      <c r="J254">
        <f t="shared" si="11"/>
        <v>0</v>
      </c>
    </row>
    <row r="255" spans="1:10" x14ac:dyDescent="0.35">
      <c r="A255">
        <v>1254</v>
      </c>
      <c r="B255" s="1">
        <v>45397</v>
      </c>
      <c r="C255" t="s">
        <v>21</v>
      </c>
      <c r="D255">
        <v>500</v>
      </c>
      <c r="E255">
        <v>200</v>
      </c>
      <c r="G255" t="str">
        <f t="shared" si="9"/>
        <v>Active</v>
      </c>
      <c r="H255" s="1" t="str">
        <f t="shared" si="10"/>
        <v/>
      </c>
      <c r="J255">
        <f t="shared" si="11"/>
        <v>0</v>
      </c>
    </row>
    <row r="256" spans="1:10" x14ac:dyDescent="0.35">
      <c r="A256">
        <v>1255</v>
      </c>
      <c r="B256" s="1">
        <v>45320</v>
      </c>
      <c r="C256" t="s">
        <v>18</v>
      </c>
      <c r="D256">
        <v>200</v>
      </c>
      <c r="E256">
        <v>100</v>
      </c>
      <c r="G256" t="str">
        <f t="shared" si="9"/>
        <v>Active</v>
      </c>
      <c r="H256" s="1" t="str">
        <f t="shared" si="10"/>
        <v/>
      </c>
      <c r="J256">
        <f t="shared" si="11"/>
        <v>0</v>
      </c>
    </row>
    <row r="257" spans="1:10" x14ac:dyDescent="0.35">
      <c r="A257">
        <v>1256</v>
      </c>
      <c r="B257" s="1">
        <v>45702</v>
      </c>
      <c r="C257" t="s">
        <v>75</v>
      </c>
      <c r="D257">
        <v>50</v>
      </c>
      <c r="E257">
        <v>30</v>
      </c>
      <c r="G257" t="str">
        <f t="shared" si="9"/>
        <v>Active</v>
      </c>
      <c r="H257" s="1" t="str">
        <f t="shared" si="10"/>
        <v/>
      </c>
      <c r="J257">
        <f t="shared" si="11"/>
        <v>0</v>
      </c>
    </row>
    <row r="258" spans="1:10" x14ac:dyDescent="0.35">
      <c r="A258">
        <v>1257</v>
      </c>
      <c r="B258" s="1">
        <v>45379</v>
      </c>
      <c r="C258" t="s">
        <v>21</v>
      </c>
      <c r="D258">
        <v>500</v>
      </c>
      <c r="E258">
        <v>200</v>
      </c>
      <c r="F258" s="1">
        <v>45463</v>
      </c>
      <c r="G258" t="str">
        <f t="shared" si="9"/>
        <v>Churned</v>
      </c>
      <c r="H258" s="1">
        <f t="shared" si="10"/>
        <v>45444</v>
      </c>
      <c r="J258">
        <f t="shared" si="11"/>
        <v>1</v>
      </c>
    </row>
    <row r="259" spans="1:10" x14ac:dyDescent="0.35">
      <c r="A259">
        <v>1258</v>
      </c>
      <c r="B259" s="1">
        <v>45348</v>
      </c>
      <c r="C259" t="s">
        <v>18</v>
      </c>
      <c r="D259">
        <v>200</v>
      </c>
      <c r="E259">
        <v>100</v>
      </c>
      <c r="G259" t="str">
        <f t="shared" ref="G259:G322" si="12">IF(F259="","Active","Churned")</f>
        <v>Active</v>
      </c>
      <c r="H259" s="1" t="str">
        <f t="shared" ref="H259:H322" si="13">IF(F259="","",DATE(YEAR(F259),MONTH(F259),1))</f>
        <v/>
      </c>
      <c r="J259">
        <f t="shared" ref="J259:J322" si="14">IF(G259="Churned",1,0)</f>
        <v>0</v>
      </c>
    </row>
    <row r="260" spans="1:10" x14ac:dyDescent="0.35">
      <c r="A260">
        <v>1259</v>
      </c>
      <c r="B260" s="1">
        <v>45422</v>
      </c>
      <c r="C260" t="s">
        <v>75</v>
      </c>
      <c r="D260">
        <v>50</v>
      </c>
      <c r="E260">
        <v>30</v>
      </c>
      <c r="G260" t="str">
        <f t="shared" si="12"/>
        <v>Active</v>
      </c>
      <c r="H260" s="1" t="str">
        <f t="shared" si="13"/>
        <v/>
      </c>
      <c r="J260">
        <f t="shared" si="14"/>
        <v>0</v>
      </c>
    </row>
    <row r="261" spans="1:10" x14ac:dyDescent="0.35">
      <c r="A261">
        <v>1260</v>
      </c>
      <c r="B261" s="1">
        <v>45827</v>
      </c>
      <c r="C261" t="s">
        <v>18</v>
      </c>
      <c r="D261">
        <v>200</v>
      </c>
      <c r="E261">
        <v>100</v>
      </c>
      <c r="G261" t="str">
        <f t="shared" si="12"/>
        <v>Active</v>
      </c>
      <c r="H261" s="1" t="str">
        <f t="shared" si="13"/>
        <v/>
      </c>
      <c r="J261">
        <f t="shared" si="14"/>
        <v>0</v>
      </c>
    </row>
    <row r="262" spans="1:10" x14ac:dyDescent="0.35">
      <c r="A262">
        <v>1261</v>
      </c>
      <c r="B262" s="1">
        <v>45783</v>
      </c>
      <c r="C262" t="s">
        <v>18</v>
      </c>
      <c r="D262">
        <v>200</v>
      </c>
      <c r="E262">
        <v>100</v>
      </c>
      <c r="G262" t="str">
        <f t="shared" si="12"/>
        <v>Active</v>
      </c>
      <c r="H262" s="1" t="str">
        <f t="shared" si="13"/>
        <v/>
      </c>
      <c r="J262">
        <f t="shared" si="14"/>
        <v>0</v>
      </c>
    </row>
    <row r="263" spans="1:10" x14ac:dyDescent="0.35">
      <c r="A263">
        <v>1262</v>
      </c>
      <c r="B263" s="1">
        <v>45784</v>
      </c>
      <c r="C263" t="s">
        <v>21</v>
      </c>
      <c r="D263">
        <v>500</v>
      </c>
      <c r="E263">
        <v>200</v>
      </c>
      <c r="G263" t="str">
        <f t="shared" si="12"/>
        <v>Active</v>
      </c>
      <c r="H263" s="1" t="str">
        <f t="shared" si="13"/>
        <v/>
      </c>
      <c r="J263">
        <f t="shared" si="14"/>
        <v>0</v>
      </c>
    </row>
    <row r="264" spans="1:10" x14ac:dyDescent="0.35">
      <c r="A264">
        <v>1263</v>
      </c>
      <c r="B264" s="1">
        <v>45669</v>
      </c>
      <c r="C264" t="s">
        <v>75</v>
      </c>
      <c r="D264">
        <v>50</v>
      </c>
      <c r="E264">
        <v>30</v>
      </c>
      <c r="F264" s="1">
        <v>45828</v>
      </c>
      <c r="G264" t="str">
        <f t="shared" si="12"/>
        <v>Churned</v>
      </c>
      <c r="H264" s="1">
        <f t="shared" si="13"/>
        <v>45809</v>
      </c>
      <c r="J264">
        <f t="shared" si="14"/>
        <v>1</v>
      </c>
    </row>
    <row r="265" spans="1:10" x14ac:dyDescent="0.35">
      <c r="A265">
        <v>1264</v>
      </c>
      <c r="B265" s="1">
        <v>45639</v>
      </c>
      <c r="C265" t="s">
        <v>18</v>
      </c>
      <c r="D265">
        <v>200</v>
      </c>
      <c r="E265">
        <v>100</v>
      </c>
      <c r="G265" t="str">
        <f t="shared" si="12"/>
        <v>Active</v>
      </c>
      <c r="H265" s="1" t="str">
        <f t="shared" si="13"/>
        <v/>
      </c>
      <c r="J265">
        <f t="shared" si="14"/>
        <v>0</v>
      </c>
    </row>
    <row r="266" spans="1:10" x14ac:dyDescent="0.35">
      <c r="A266">
        <v>1265</v>
      </c>
      <c r="B266" s="1">
        <v>45369</v>
      </c>
      <c r="C266" t="s">
        <v>75</v>
      </c>
      <c r="D266">
        <v>50</v>
      </c>
      <c r="E266">
        <v>30</v>
      </c>
      <c r="F266" s="1">
        <v>45466</v>
      </c>
      <c r="G266" t="str">
        <f t="shared" si="12"/>
        <v>Churned</v>
      </c>
      <c r="H266" s="1">
        <f t="shared" si="13"/>
        <v>45444</v>
      </c>
      <c r="J266">
        <f t="shared" si="14"/>
        <v>1</v>
      </c>
    </row>
    <row r="267" spans="1:10" x14ac:dyDescent="0.35">
      <c r="A267">
        <v>1266</v>
      </c>
      <c r="B267" s="1">
        <v>45383</v>
      </c>
      <c r="C267" t="s">
        <v>21</v>
      </c>
      <c r="D267">
        <v>500</v>
      </c>
      <c r="E267">
        <v>200</v>
      </c>
      <c r="G267" t="str">
        <f t="shared" si="12"/>
        <v>Active</v>
      </c>
      <c r="H267" s="1" t="str">
        <f t="shared" si="13"/>
        <v/>
      </c>
      <c r="J267">
        <f t="shared" si="14"/>
        <v>0</v>
      </c>
    </row>
    <row r="268" spans="1:10" x14ac:dyDescent="0.35">
      <c r="A268">
        <v>1267</v>
      </c>
      <c r="B268" s="1">
        <v>45439</v>
      </c>
      <c r="C268" t="s">
        <v>21</v>
      </c>
      <c r="D268">
        <v>500</v>
      </c>
      <c r="E268">
        <v>200</v>
      </c>
      <c r="G268" t="str">
        <f t="shared" si="12"/>
        <v>Active</v>
      </c>
      <c r="H268" s="1" t="str">
        <f t="shared" si="13"/>
        <v/>
      </c>
      <c r="J268">
        <f t="shared" si="14"/>
        <v>0</v>
      </c>
    </row>
    <row r="269" spans="1:10" x14ac:dyDescent="0.35">
      <c r="A269">
        <v>1268</v>
      </c>
      <c r="B269" s="1">
        <v>45434</v>
      </c>
      <c r="C269" t="s">
        <v>21</v>
      </c>
      <c r="D269">
        <v>500</v>
      </c>
      <c r="E269">
        <v>200</v>
      </c>
      <c r="F269" s="1">
        <v>45813</v>
      </c>
      <c r="G269" t="str">
        <f t="shared" si="12"/>
        <v>Churned</v>
      </c>
      <c r="H269" s="1">
        <f t="shared" si="13"/>
        <v>45809</v>
      </c>
      <c r="J269">
        <f t="shared" si="14"/>
        <v>1</v>
      </c>
    </row>
    <row r="270" spans="1:10" x14ac:dyDescent="0.35">
      <c r="A270">
        <v>1269</v>
      </c>
      <c r="B270" s="1">
        <v>45685</v>
      </c>
      <c r="C270" t="s">
        <v>18</v>
      </c>
      <c r="D270">
        <v>200</v>
      </c>
      <c r="E270">
        <v>100</v>
      </c>
      <c r="G270" t="str">
        <f t="shared" si="12"/>
        <v>Active</v>
      </c>
      <c r="H270" s="1" t="str">
        <f t="shared" si="13"/>
        <v/>
      </c>
      <c r="J270">
        <f t="shared" si="14"/>
        <v>0</v>
      </c>
    </row>
    <row r="271" spans="1:10" x14ac:dyDescent="0.35">
      <c r="A271">
        <v>1270</v>
      </c>
      <c r="B271" s="1">
        <v>45780</v>
      </c>
      <c r="C271" t="s">
        <v>21</v>
      </c>
      <c r="D271">
        <v>500</v>
      </c>
      <c r="E271">
        <v>200</v>
      </c>
      <c r="G271" t="str">
        <f t="shared" si="12"/>
        <v>Active</v>
      </c>
      <c r="H271" s="1" t="str">
        <f t="shared" si="13"/>
        <v/>
      </c>
      <c r="J271">
        <f t="shared" si="14"/>
        <v>0</v>
      </c>
    </row>
    <row r="272" spans="1:10" x14ac:dyDescent="0.35">
      <c r="A272">
        <v>1271</v>
      </c>
      <c r="B272" s="1">
        <v>45619</v>
      </c>
      <c r="C272" t="s">
        <v>18</v>
      </c>
      <c r="D272">
        <v>200</v>
      </c>
      <c r="E272">
        <v>100</v>
      </c>
      <c r="G272" t="str">
        <f t="shared" si="12"/>
        <v>Active</v>
      </c>
      <c r="H272" s="1" t="str">
        <f t="shared" si="13"/>
        <v/>
      </c>
      <c r="J272">
        <f t="shared" si="14"/>
        <v>0</v>
      </c>
    </row>
    <row r="273" spans="1:10" x14ac:dyDescent="0.35">
      <c r="A273">
        <v>1272</v>
      </c>
      <c r="B273" s="1">
        <v>45756</v>
      </c>
      <c r="C273" t="s">
        <v>75</v>
      </c>
      <c r="D273">
        <v>50</v>
      </c>
      <c r="E273">
        <v>30</v>
      </c>
      <c r="G273" t="str">
        <f t="shared" si="12"/>
        <v>Active</v>
      </c>
      <c r="H273" s="1" t="str">
        <f t="shared" si="13"/>
        <v/>
      </c>
      <c r="J273">
        <f t="shared" si="14"/>
        <v>0</v>
      </c>
    </row>
    <row r="274" spans="1:10" x14ac:dyDescent="0.35">
      <c r="A274">
        <v>1273</v>
      </c>
      <c r="B274" s="1">
        <v>45589</v>
      </c>
      <c r="C274" t="s">
        <v>18</v>
      </c>
      <c r="D274">
        <v>200</v>
      </c>
      <c r="E274">
        <v>100</v>
      </c>
      <c r="F274" s="1">
        <v>45794</v>
      </c>
      <c r="G274" t="str">
        <f t="shared" si="12"/>
        <v>Churned</v>
      </c>
      <c r="H274" s="1">
        <f t="shared" si="13"/>
        <v>45778</v>
      </c>
      <c r="J274">
        <f t="shared" si="14"/>
        <v>1</v>
      </c>
    </row>
    <row r="275" spans="1:10" x14ac:dyDescent="0.35">
      <c r="A275">
        <v>1274</v>
      </c>
      <c r="B275" s="1">
        <v>45669</v>
      </c>
      <c r="C275" t="s">
        <v>18</v>
      </c>
      <c r="D275">
        <v>200</v>
      </c>
      <c r="E275">
        <v>100</v>
      </c>
      <c r="G275" t="str">
        <f t="shared" si="12"/>
        <v>Active</v>
      </c>
      <c r="H275" s="1" t="str">
        <f t="shared" si="13"/>
        <v/>
      </c>
      <c r="J275">
        <f t="shared" si="14"/>
        <v>0</v>
      </c>
    </row>
    <row r="276" spans="1:10" x14ac:dyDescent="0.35">
      <c r="A276">
        <v>1275</v>
      </c>
      <c r="B276" s="1">
        <v>45601</v>
      </c>
      <c r="C276" t="s">
        <v>21</v>
      </c>
      <c r="D276">
        <v>500</v>
      </c>
      <c r="E276">
        <v>200</v>
      </c>
      <c r="G276" t="str">
        <f t="shared" si="12"/>
        <v>Active</v>
      </c>
      <c r="H276" s="1" t="str">
        <f t="shared" si="13"/>
        <v/>
      </c>
      <c r="J276">
        <f t="shared" si="14"/>
        <v>0</v>
      </c>
    </row>
    <row r="277" spans="1:10" x14ac:dyDescent="0.35">
      <c r="A277">
        <v>1276</v>
      </c>
      <c r="B277" s="1">
        <v>45701</v>
      </c>
      <c r="C277" t="s">
        <v>18</v>
      </c>
      <c r="D277">
        <v>200</v>
      </c>
      <c r="E277">
        <v>100</v>
      </c>
      <c r="F277" s="1">
        <v>45754</v>
      </c>
      <c r="G277" t="str">
        <f t="shared" si="12"/>
        <v>Churned</v>
      </c>
      <c r="H277" s="1">
        <f t="shared" si="13"/>
        <v>45748</v>
      </c>
      <c r="J277">
        <f t="shared" si="14"/>
        <v>1</v>
      </c>
    </row>
    <row r="278" spans="1:10" x14ac:dyDescent="0.35">
      <c r="A278">
        <v>1277</v>
      </c>
      <c r="B278" s="1">
        <v>45831</v>
      </c>
      <c r="C278" t="s">
        <v>21</v>
      </c>
      <c r="D278">
        <v>500</v>
      </c>
      <c r="E278">
        <v>200</v>
      </c>
      <c r="F278" s="1">
        <v>45838</v>
      </c>
      <c r="G278" t="str">
        <f t="shared" si="12"/>
        <v>Churned</v>
      </c>
      <c r="H278" s="1">
        <f t="shared" si="13"/>
        <v>45809</v>
      </c>
      <c r="J278">
        <f t="shared" si="14"/>
        <v>1</v>
      </c>
    </row>
    <row r="279" spans="1:10" x14ac:dyDescent="0.35">
      <c r="A279">
        <v>1278</v>
      </c>
      <c r="B279" s="1">
        <v>45770</v>
      </c>
      <c r="C279" t="s">
        <v>21</v>
      </c>
      <c r="D279">
        <v>500</v>
      </c>
      <c r="E279">
        <v>200</v>
      </c>
      <c r="F279" s="1">
        <v>45813</v>
      </c>
      <c r="G279" t="str">
        <f t="shared" si="12"/>
        <v>Churned</v>
      </c>
      <c r="H279" s="1">
        <f t="shared" si="13"/>
        <v>45809</v>
      </c>
      <c r="J279">
        <f t="shared" si="14"/>
        <v>1</v>
      </c>
    </row>
    <row r="280" spans="1:10" x14ac:dyDescent="0.35">
      <c r="A280">
        <v>1279</v>
      </c>
      <c r="B280" s="1">
        <v>45544</v>
      </c>
      <c r="C280" t="s">
        <v>21</v>
      </c>
      <c r="D280">
        <v>500</v>
      </c>
      <c r="E280">
        <v>200</v>
      </c>
      <c r="G280" t="str">
        <f t="shared" si="12"/>
        <v>Active</v>
      </c>
      <c r="H280" s="1" t="str">
        <f t="shared" si="13"/>
        <v/>
      </c>
      <c r="J280">
        <f t="shared" si="14"/>
        <v>0</v>
      </c>
    </row>
    <row r="281" spans="1:10" x14ac:dyDescent="0.35">
      <c r="A281">
        <v>1280</v>
      </c>
      <c r="B281" s="1">
        <v>45775</v>
      </c>
      <c r="C281" t="s">
        <v>75</v>
      </c>
      <c r="D281">
        <v>50</v>
      </c>
      <c r="E281">
        <v>30</v>
      </c>
      <c r="G281" t="str">
        <f t="shared" si="12"/>
        <v>Active</v>
      </c>
      <c r="H281" s="1" t="str">
        <f t="shared" si="13"/>
        <v/>
      </c>
      <c r="J281">
        <f t="shared" si="14"/>
        <v>0</v>
      </c>
    </row>
    <row r="282" spans="1:10" x14ac:dyDescent="0.35">
      <c r="A282">
        <v>1281</v>
      </c>
      <c r="B282" s="1">
        <v>45465</v>
      </c>
      <c r="C282" t="s">
        <v>75</v>
      </c>
      <c r="D282">
        <v>50</v>
      </c>
      <c r="E282">
        <v>30</v>
      </c>
      <c r="G282" t="str">
        <f t="shared" si="12"/>
        <v>Active</v>
      </c>
      <c r="H282" s="1" t="str">
        <f t="shared" si="13"/>
        <v/>
      </c>
      <c r="J282">
        <f t="shared" si="14"/>
        <v>0</v>
      </c>
    </row>
    <row r="283" spans="1:10" x14ac:dyDescent="0.35">
      <c r="A283">
        <v>1282</v>
      </c>
      <c r="B283" s="1">
        <v>45375</v>
      </c>
      <c r="C283" t="s">
        <v>18</v>
      </c>
      <c r="D283">
        <v>200</v>
      </c>
      <c r="E283">
        <v>100</v>
      </c>
      <c r="F283" s="1">
        <v>45832</v>
      </c>
      <c r="G283" t="str">
        <f t="shared" si="12"/>
        <v>Churned</v>
      </c>
      <c r="H283" s="1">
        <f t="shared" si="13"/>
        <v>45809</v>
      </c>
      <c r="J283">
        <f t="shared" si="14"/>
        <v>1</v>
      </c>
    </row>
    <row r="284" spans="1:10" x14ac:dyDescent="0.35">
      <c r="A284">
        <v>1283</v>
      </c>
      <c r="B284" s="1">
        <v>45422</v>
      </c>
      <c r="C284" t="s">
        <v>21</v>
      </c>
      <c r="D284">
        <v>500</v>
      </c>
      <c r="E284">
        <v>200</v>
      </c>
      <c r="G284" t="str">
        <f t="shared" si="12"/>
        <v>Active</v>
      </c>
      <c r="H284" s="1" t="str">
        <f t="shared" si="13"/>
        <v/>
      </c>
      <c r="J284">
        <f t="shared" si="14"/>
        <v>0</v>
      </c>
    </row>
    <row r="285" spans="1:10" x14ac:dyDescent="0.35">
      <c r="A285">
        <v>1284</v>
      </c>
      <c r="B285" s="1">
        <v>45726</v>
      </c>
      <c r="C285" t="s">
        <v>75</v>
      </c>
      <c r="D285">
        <v>50</v>
      </c>
      <c r="E285">
        <v>30</v>
      </c>
      <c r="G285" t="str">
        <f t="shared" si="12"/>
        <v>Active</v>
      </c>
      <c r="H285" s="1" t="str">
        <f t="shared" si="13"/>
        <v/>
      </c>
      <c r="J285">
        <f t="shared" si="14"/>
        <v>0</v>
      </c>
    </row>
    <row r="286" spans="1:10" x14ac:dyDescent="0.35">
      <c r="A286">
        <v>1285</v>
      </c>
      <c r="B286" s="1">
        <v>45792</v>
      </c>
      <c r="C286" t="s">
        <v>21</v>
      </c>
      <c r="D286">
        <v>500</v>
      </c>
      <c r="E286">
        <v>200</v>
      </c>
      <c r="G286" t="str">
        <f t="shared" si="12"/>
        <v>Active</v>
      </c>
      <c r="H286" s="1" t="str">
        <f t="shared" si="13"/>
        <v/>
      </c>
      <c r="J286">
        <f t="shared" si="14"/>
        <v>0</v>
      </c>
    </row>
    <row r="287" spans="1:10" x14ac:dyDescent="0.35">
      <c r="A287">
        <v>1286</v>
      </c>
      <c r="B287" s="1">
        <v>45527</v>
      </c>
      <c r="C287" t="s">
        <v>21</v>
      </c>
      <c r="D287">
        <v>500</v>
      </c>
      <c r="E287">
        <v>200</v>
      </c>
      <c r="G287" t="str">
        <f t="shared" si="12"/>
        <v>Active</v>
      </c>
      <c r="H287" s="1" t="str">
        <f t="shared" si="13"/>
        <v/>
      </c>
      <c r="J287">
        <f t="shared" si="14"/>
        <v>0</v>
      </c>
    </row>
    <row r="288" spans="1:10" x14ac:dyDescent="0.35">
      <c r="A288">
        <v>1287</v>
      </c>
      <c r="B288" s="1">
        <v>45711</v>
      </c>
      <c r="C288" t="s">
        <v>75</v>
      </c>
      <c r="D288">
        <v>50</v>
      </c>
      <c r="E288">
        <v>30</v>
      </c>
      <c r="F288" s="1">
        <v>45773</v>
      </c>
      <c r="G288" t="str">
        <f t="shared" si="12"/>
        <v>Churned</v>
      </c>
      <c r="H288" s="1">
        <f t="shared" si="13"/>
        <v>45748</v>
      </c>
      <c r="J288">
        <f t="shared" si="14"/>
        <v>1</v>
      </c>
    </row>
    <row r="289" spans="1:10" x14ac:dyDescent="0.35">
      <c r="A289">
        <v>1288</v>
      </c>
      <c r="B289" s="1">
        <v>45557</v>
      </c>
      <c r="C289" t="s">
        <v>18</v>
      </c>
      <c r="D289">
        <v>200</v>
      </c>
      <c r="E289">
        <v>100</v>
      </c>
      <c r="G289" t="str">
        <f t="shared" si="12"/>
        <v>Active</v>
      </c>
      <c r="H289" s="1" t="str">
        <f t="shared" si="13"/>
        <v/>
      </c>
      <c r="J289">
        <f t="shared" si="14"/>
        <v>0</v>
      </c>
    </row>
    <row r="290" spans="1:10" x14ac:dyDescent="0.35">
      <c r="A290">
        <v>1289</v>
      </c>
      <c r="B290" s="1">
        <v>45506</v>
      </c>
      <c r="C290" t="s">
        <v>21</v>
      </c>
      <c r="D290">
        <v>500</v>
      </c>
      <c r="E290">
        <v>200</v>
      </c>
      <c r="G290" t="str">
        <f t="shared" si="12"/>
        <v>Active</v>
      </c>
      <c r="H290" s="1" t="str">
        <f t="shared" si="13"/>
        <v/>
      </c>
      <c r="J290">
        <f t="shared" si="14"/>
        <v>0</v>
      </c>
    </row>
    <row r="291" spans="1:10" x14ac:dyDescent="0.35">
      <c r="A291">
        <v>1290</v>
      </c>
      <c r="B291" s="1">
        <v>45541</v>
      </c>
      <c r="C291" t="s">
        <v>18</v>
      </c>
      <c r="D291">
        <v>200</v>
      </c>
      <c r="E291">
        <v>100</v>
      </c>
      <c r="G291" t="str">
        <f t="shared" si="12"/>
        <v>Active</v>
      </c>
      <c r="H291" s="1" t="str">
        <f t="shared" si="13"/>
        <v/>
      </c>
      <c r="J291">
        <f t="shared" si="14"/>
        <v>0</v>
      </c>
    </row>
    <row r="292" spans="1:10" x14ac:dyDescent="0.35">
      <c r="A292">
        <v>1291</v>
      </c>
      <c r="B292" s="1">
        <v>45486</v>
      </c>
      <c r="C292" t="s">
        <v>75</v>
      </c>
      <c r="D292">
        <v>50</v>
      </c>
      <c r="E292">
        <v>30</v>
      </c>
      <c r="F292" s="1">
        <v>45535</v>
      </c>
      <c r="G292" t="str">
        <f t="shared" si="12"/>
        <v>Churned</v>
      </c>
      <c r="H292" s="1">
        <f t="shared" si="13"/>
        <v>45505</v>
      </c>
      <c r="J292">
        <f t="shared" si="14"/>
        <v>1</v>
      </c>
    </row>
    <row r="293" spans="1:10" x14ac:dyDescent="0.35">
      <c r="A293">
        <v>1292</v>
      </c>
      <c r="B293" s="1">
        <v>45384</v>
      </c>
      <c r="C293" t="s">
        <v>75</v>
      </c>
      <c r="D293">
        <v>50</v>
      </c>
      <c r="E293">
        <v>30</v>
      </c>
      <c r="F293" s="1">
        <v>45498</v>
      </c>
      <c r="G293" t="str">
        <f t="shared" si="12"/>
        <v>Churned</v>
      </c>
      <c r="H293" s="1">
        <f t="shared" si="13"/>
        <v>45474</v>
      </c>
      <c r="J293">
        <f t="shared" si="14"/>
        <v>1</v>
      </c>
    </row>
    <row r="294" spans="1:10" x14ac:dyDescent="0.35">
      <c r="A294">
        <v>1293</v>
      </c>
      <c r="B294" s="1">
        <v>45686</v>
      </c>
      <c r="C294" t="s">
        <v>75</v>
      </c>
      <c r="D294">
        <v>50</v>
      </c>
      <c r="E294">
        <v>30</v>
      </c>
      <c r="G294" t="str">
        <f t="shared" si="12"/>
        <v>Active</v>
      </c>
      <c r="H294" s="1" t="str">
        <f t="shared" si="13"/>
        <v/>
      </c>
      <c r="J294">
        <f t="shared" si="14"/>
        <v>0</v>
      </c>
    </row>
    <row r="295" spans="1:10" x14ac:dyDescent="0.35">
      <c r="A295">
        <v>1294</v>
      </c>
      <c r="B295" s="1">
        <v>45376</v>
      </c>
      <c r="C295" t="s">
        <v>21</v>
      </c>
      <c r="D295">
        <v>500</v>
      </c>
      <c r="E295">
        <v>200</v>
      </c>
      <c r="F295" s="1">
        <v>45803</v>
      </c>
      <c r="G295" t="str">
        <f t="shared" si="12"/>
        <v>Churned</v>
      </c>
      <c r="H295" s="1">
        <f t="shared" si="13"/>
        <v>45778</v>
      </c>
      <c r="J295">
        <f t="shared" si="14"/>
        <v>1</v>
      </c>
    </row>
    <row r="296" spans="1:10" x14ac:dyDescent="0.35">
      <c r="A296">
        <v>1295</v>
      </c>
      <c r="B296" s="1">
        <v>45755</v>
      </c>
      <c r="C296" t="s">
        <v>18</v>
      </c>
      <c r="D296">
        <v>200</v>
      </c>
      <c r="E296">
        <v>100</v>
      </c>
      <c r="G296" t="str">
        <f t="shared" si="12"/>
        <v>Active</v>
      </c>
      <c r="H296" s="1" t="str">
        <f t="shared" si="13"/>
        <v/>
      </c>
      <c r="J296">
        <f t="shared" si="14"/>
        <v>0</v>
      </c>
    </row>
    <row r="297" spans="1:10" x14ac:dyDescent="0.35">
      <c r="A297">
        <v>1296</v>
      </c>
      <c r="B297" s="1">
        <v>45814</v>
      </c>
      <c r="C297" t="s">
        <v>75</v>
      </c>
      <c r="D297">
        <v>50</v>
      </c>
      <c r="E297">
        <v>30</v>
      </c>
      <c r="G297" t="str">
        <f t="shared" si="12"/>
        <v>Active</v>
      </c>
      <c r="H297" s="1" t="str">
        <f t="shared" si="13"/>
        <v/>
      </c>
      <c r="J297">
        <f t="shared" si="14"/>
        <v>0</v>
      </c>
    </row>
    <row r="298" spans="1:10" x14ac:dyDescent="0.35">
      <c r="A298">
        <v>1297</v>
      </c>
      <c r="B298" s="1">
        <v>45300</v>
      </c>
      <c r="C298" t="s">
        <v>75</v>
      </c>
      <c r="D298">
        <v>50</v>
      </c>
      <c r="E298">
        <v>30</v>
      </c>
      <c r="G298" t="str">
        <f t="shared" si="12"/>
        <v>Active</v>
      </c>
      <c r="H298" s="1" t="str">
        <f t="shared" si="13"/>
        <v/>
      </c>
      <c r="J298">
        <f t="shared" si="14"/>
        <v>0</v>
      </c>
    </row>
    <row r="299" spans="1:10" x14ac:dyDescent="0.35">
      <c r="A299">
        <v>1298</v>
      </c>
      <c r="B299" s="1">
        <v>45650</v>
      </c>
      <c r="C299" t="s">
        <v>18</v>
      </c>
      <c r="D299">
        <v>200</v>
      </c>
      <c r="E299">
        <v>100</v>
      </c>
      <c r="G299" t="str">
        <f t="shared" si="12"/>
        <v>Active</v>
      </c>
      <c r="H299" s="1" t="str">
        <f t="shared" si="13"/>
        <v/>
      </c>
      <c r="J299">
        <f t="shared" si="14"/>
        <v>0</v>
      </c>
    </row>
    <row r="300" spans="1:10" x14ac:dyDescent="0.35">
      <c r="A300">
        <v>1299</v>
      </c>
      <c r="B300" s="1">
        <v>45774</v>
      </c>
      <c r="C300" t="s">
        <v>21</v>
      </c>
      <c r="D300">
        <v>500</v>
      </c>
      <c r="E300">
        <v>200</v>
      </c>
      <c r="G300" t="str">
        <f t="shared" si="12"/>
        <v>Active</v>
      </c>
      <c r="H300" s="1" t="str">
        <f t="shared" si="13"/>
        <v/>
      </c>
      <c r="J300">
        <f t="shared" si="14"/>
        <v>0</v>
      </c>
    </row>
    <row r="301" spans="1:10" x14ac:dyDescent="0.35">
      <c r="A301">
        <v>1300</v>
      </c>
      <c r="B301" s="1">
        <v>45336</v>
      </c>
      <c r="C301" t="s">
        <v>21</v>
      </c>
      <c r="D301">
        <v>500</v>
      </c>
      <c r="E301">
        <v>200</v>
      </c>
      <c r="G301" t="str">
        <f t="shared" si="12"/>
        <v>Active</v>
      </c>
      <c r="H301" s="1" t="str">
        <f t="shared" si="13"/>
        <v/>
      </c>
      <c r="J301">
        <f t="shared" si="14"/>
        <v>0</v>
      </c>
    </row>
    <row r="302" spans="1:10" x14ac:dyDescent="0.35">
      <c r="A302">
        <v>1301</v>
      </c>
      <c r="B302" s="1">
        <v>45692</v>
      </c>
      <c r="C302" t="s">
        <v>75</v>
      </c>
      <c r="D302">
        <v>50</v>
      </c>
      <c r="E302">
        <v>30</v>
      </c>
      <c r="G302" t="str">
        <f t="shared" si="12"/>
        <v>Active</v>
      </c>
      <c r="H302" s="1" t="str">
        <f t="shared" si="13"/>
        <v/>
      </c>
      <c r="J302">
        <f t="shared" si="14"/>
        <v>0</v>
      </c>
    </row>
    <row r="303" spans="1:10" x14ac:dyDescent="0.35">
      <c r="A303">
        <v>1302</v>
      </c>
      <c r="B303" s="1">
        <v>45658</v>
      </c>
      <c r="C303" t="s">
        <v>18</v>
      </c>
      <c r="D303">
        <v>200</v>
      </c>
      <c r="E303">
        <v>100</v>
      </c>
      <c r="G303" t="str">
        <f t="shared" si="12"/>
        <v>Active</v>
      </c>
      <c r="H303" s="1" t="str">
        <f t="shared" si="13"/>
        <v/>
      </c>
      <c r="J303">
        <f t="shared" si="14"/>
        <v>0</v>
      </c>
    </row>
    <row r="304" spans="1:10" x14ac:dyDescent="0.35">
      <c r="A304">
        <v>1303</v>
      </c>
      <c r="B304" s="1">
        <v>45633</v>
      </c>
      <c r="C304" t="s">
        <v>21</v>
      </c>
      <c r="D304">
        <v>500</v>
      </c>
      <c r="E304">
        <v>200</v>
      </c>
      <c r="G304" t="str">
        <f t="shared" si="12"/>
        <v>Active</v>
      </c>
      <c r="H304" s="1" t="str">
        <f t="shared" si="13"/>
        <v/>
      </c>
      <c r="J304">
        <f t="shared" si="14"/>
        <v>0</v>
      </c>
    </row>
    <row r="305" spans="1:10" x14ac:dyDescent="0.35">
      <c r="A305">
        <v>1304</v>
      </c>
      <c r="B305" s="1">
        <v>45724</v>
      </c>
      <c r="C305" t="s">
        <v>75</v>
      </c>
      <c r="D305">
        <v>50</v>
      </c>
      <c r="E305">
        <v>30</v>
      </c>
      <c r="G305" t="str">
        <f t="shared" si="12"/>
        <v>Active</v>
      </c>
      <c r="H305" s="1" t="str">
        <f t="shared" si="13"/>
        <v/>
      </c>
      <c r="J305">
        <f t="shared" si="14"/>
        <v>0</v>
      </c>
    </row>
    <row r="306" spans="1:10" x14ac:dyDescent="0.35">
      <c r="A306">
        <v>1305</v>
      </c>
      <c r="B306" s="1">
        <v>45394</v>
      </c>
      <c r="C306" t="s">
        <v>75</v>
      </c>
      <c r="D306">
        <v>50</v>
      </c>
      <c r="E306">
        <v>30</v>
      </c>
      <c r="G306" t="str">
        <f t="shared" si="12"/>
        <v>Active</v>
      </c>
      <c r="H306" s="1" t="str">
        <f t="shared" si="13"/>
        <v/>
      </c>
      <c r="J306">
        <f t="shared" si="14"/>
        <v>0</v>
      </c>
    </row>
    <row r="307" spans="1:10" x14ac:dyDescent="0.35">
      <c r="A307">
        <v>1306</v>
      </c>
      <c r="B307" s="1">
        <v>45797</v>
      </c>
      <c r="C307" t="s">
        <v>18</v>
      </c>
      <c r="D307">
        <v>200</v>
      </c>
      <c r="E307">
        <v>100</v>
      </c>
      <c r="G307" t="str">
        <f t="shared" si="12"/>
        <v>Active</v>
      </c>
      <c r="H307" s="1" t="str">
        <f t="shared" si="13"/>
        <v/>
      </c>
      <c r="J307">
        <f t="shared" si="14"/>
        <v>0</v>
      </c>
    </row>
    <row r="308" spans="1:10" x14ac:dyDescent="0.35">
      <c r="A308">
        <v>1307</v>
      </c>
      <c r="B308" s="1">
        <v>45742</v>
      </c>
      <c r="C308" t="s">
        <v>21</v>
      </c>
      <c r="D308">
        <v>500</v>
      </c>
      <c r="E308">
        <v>200</v>
      </c>
      <c r="G308" t="str">
        <f t="shared" si="12"/>
        <v>Active</v>
      </c>
      <c r="H308" s="1" t="str">
        <f t="shared" si="13"/>
        <v/>
      </c>
      <c r="J308">
        <f t="shared" si="14"/>
        <v>0</v>
      </c>
    </row>
    <row r="309" spans="1:10" x14ac:dyDescent="0.35">
      <c r="A309">
        <v>1308</v>
      </c>
      <c r="B309" s="1">
        <v>45430</v>
      </c>
      <c r="C309" t="s">
        <v>75</v>
      </c>
      <c r="D309">
        <v>50</v>
      </c>
      <c r="E309">
        <v>30</v>
      </c>
      <c r="F309" s="1">
        <v>45749</v>
      </c>
      <c r="G309" t="str">
        <f t="shared" si="12"/>
        <v>Churned</v>
      </c>
      <c r="H309" s="1">
        <f t="shared" si="13"/>
        <v>45748</v>
      </c>
      <c r="J309">
        <f t="shared" si="14"/>
        <v>1</v>
      </c>
    </row>
    <row r="310" spans="1:10" x14ac:dyDescent="0.35">
      <c r="A310">
        <v>1309</v>
      </c>
      <c r="B310" s="1">
        <v>45532</v>
      </c>
      <c r="C310" t="s">
        <v>75</v>
      </c>
      <c r="D310">
        <v>50</v>
      </c>
      <c r="E310">
        <v>30</v>
      </c>
      <c r="F310" s="1">
        <v>45598</v>
      </c>
      <c r="G310" t="str">
        <f t="shared" si="12"/>
        <v>Churned</v>
      </c>
      <c r="H310" s="1">
        <f t="shared" si="13"/>
        <v>45597</v>
      </c>
      <c r="J310">
        <f t="shared" si="14"/>
        <v>1</v>
      </c>
    </row>
    <row r="311" spans="1:10" x14ac:dyDescent="0.35">
      <c r="A311">
        <v>1310</v>
      </c>
      <c r="B311" s="1">
        <v>45509</v>
      </c>
      <c r="C311" t="s">
        <v>75</v>
      </c>
      <c r="D311">
        <v>50</v>
      </c>
      <c r="E311">
        <v>30</v>
      </c>
      <c r="G311" t="str">
        <f t="shared" si="12"/>
        <v>Active</v>
      </c>
      <c r="H311" s="1" t="str">
        <f t="shared" si="13"/>
        <v/>
      </c>
      <c r="J311">
        <f t="shared" si="14"/>
        <v>0</v>
      </c>
    </row>
    <row r="312" spans="1:10" x14ac:dyDescent="0.35">
      <c r="A312">
        <v>1311</v>
      </c>
      <c r="B312" s="1">
        <v>45542</v>
      </c>
      <c r="C312" t="s">
        <v>75</v>
      </c>
      <c r="D312">
        <v>50</v>
      </c>
      <c r="E312">
        <v>30</v>
      </c>
      <c r="G312" t="str">
        <f t="shared" si="12"/>
        <v>Active</v>
      </c>
      <c r="H312" s="1" t="str">
        <f t="shared" si="13"/>
        <v/>
      </c>
      <c r="J312">
        <f t="shared" si="14"/>
        <v>0</v>
      </c>
    </row>
    <row r="313" spans="1:10" x14ac:dyDescent="0.35">
      <c r="A313">
        <v>1312</v>
      </c>
      <c r="B313" s="1">
        <v>45619</v>
      </c>
      <c r="C313" t="s">
        <v>75</v>
      </c>
      <c r="D313">
        <v>50</v>
      </c>
      <c r="E313">
        <v>30</v>
      </c>
      <c r="F313" s="1">
        <v>45734</v>
      </c>
      <c r="G313" t="str">
        <f t="shared" si="12"/>
        <v>Churned</v>
      </c>
      <c r="H313" s="1">
        <f t="shared" si="13"/>
        <v>45717</v>
      </c>
      <c r="J313">
        <f t="shared" si="14"/>
        <v>1</v>
      </c>
    </row>
    <row r="314" spans="1:10" x14ac:dyDescent="0.35">
      <c r="A314">
        <v>1313</v>
      </c>
      <c r="B314" s="1">
        <v>45323</v>
      </c>
      <c r="C314" t="s">
        <v>21</v>
      </c>
      <c r="D314">
        <v>500</v>
      </c>
      <c r="E314">
        <v>200</v>
      </c>
      <c r="F314" s="1">
        <v>45712</v>
      </c>
      <c r="G314" t="str">
        <f t="shared" si="12"/>
        <v>Churned</v>
      </c>
      <c r="H314" s="1">
        <f t="shared" si="13"/>
        <v>45689</v>
      </c>
      <c r="J314">
        <f t="shared" si="14"/>
        <v>1</v>
      </c>
    </row>
    <row r="315" spans="1:10" x14ac:dyDescent="0.35">
      <c r="A315">
        <v>1314</v>
      </c>
      <c r="B315" s="1">
        <v>45392</v>
      </c>
      <c r="C315" t="s">
        <v>18</v>
      </c>
      <c r="D315">
        <v>200</v>
      </c>
      <c r="E315">
        <v>100</v>
      </c>
      <c r="G315" t="str">
        <f t="shared" si="12"/>
        <v>Active</v>
      </c>
      <c r="H315" s="1" t="str">
        <f t="shared" si="13"/>
        <v/>
      </c>
      <c r="J315">
        <f t="shared" si="14"/>
        <v>0</v>
      </c>
    </row>
    <row r="316" spans="1:10" x14ac:dyDescent="0.35">
      <c r="A316">
        <v>1315</v>
      </c>
      <c r="B316" s="1">
        <v>45469</v>
      </c>
      <c r="C316" t="s">
        <v>75</v>
      </c>
      <c r="D316">
        <v>50</v>
      </c>
      <c r="E316">
        <v>30</v>
      </c>
      <c r="G316" t="str">
        <f t="shared" si="12"/>
        <v>Active</v>
      </c>
      <c r="H316" s="1" t="str">
        <f t="shared" si="13"/>
        <v/>
      </c>
      <c r="J316">
        <f t="shared" si="14"/>
        <v>0</v>
      </c>
    </row>
    <row r="317" spans="1:10" x14ac:dyDescent="0.35">
      <c r="A317">
        <v>1316</v>
      </c>
      <c r="B317" s="1">
        <v>45370</v>
      </c>
      <c r="C317" t="s">
        <v>21</v>
      </c>
      <c r="D317">
        <v>500</v>
      </c>
      <c r="E317">
        <v>200</v>
      </c>
      <c r="G317" t="str">
        <f t="shared" si="12"/>
        <v>Active</v>
      </c>
      <c r="H317" s="1" t="str">
        <f t="shared" si="13"/>
        <v/>
      </c>
      <c r="J317">
        <f t="shared" si="14"/>
        <v>0</v>
      </c>
    </row>
    <row r="318" spans="1:10" x14ac:dyDescent="0.35">
      <c r="A318">
        <v>1317</v>
      </c>
      <c r="B318" s="1">
        <v>45611</v>
      </c>
      <c r="C318" t="s">
        <v>21</v>
      </c>
      <c r="D318">
        <v>500</v>
      </c>
      <c r="E318">
        <v>200</v>
      </c>
      <c r="G318" t="str">
        <f t="shared" si="12"/>
        <v>Active</v>
      </c>
      <c r="H318" s="1" t="str">
        <f t="shared" si="13"/>
        <v/>
      </c>
      <c r="J318">
        <f t="shared" si="14"/>
        <v>0</v>
      </c>
    </row>
    <row r="319" spans="1:10" x14ac:dyDescent="0.35">
      <c r="A319">
        <v>1318</v>
      </c>
      <c r="B319" s="1">
        <v>45563</v>
      </c>
      <c r="C319" t="s">
        <v>21</v>
      </c>
      <c r="D319">
        <v>500</v>
      </c>
      <c r="E319">
        <v>200</v>
      </c>
      <c r="G319" t="str">
        <f t="shared" si="12"/>
        <v>Active</v>
      </c>
      <c r="H319" s="1" t="str">
        <f t="shared" si="13"/>
        <v/>
      </c>
      <c r="J319">
        <f t="shared" si="14"/>
        <v>0</v>
      </c>
    </row>
    <row r="320" spans="1:10" x14ac:dyDescent="0.35">
      <c r="A320">
        <v>1319</v>
      </c>
      <c r="B320" s="1">
        <v>45360</v>
      </c>
      <c r="C320" t="s">
        <v>75</v>
      </c>
      <c r="D320">
        <v>50</v>
      </c>
      <c r="E320">
        <v>30</v>
      </c>
      <c r="G320" t="str">
        <f t="shared" si="12"/>
        <v>Active</v>
      </c>
      <c r="H320" s="1" t="str">
        <f t="shared" si="13"/>
        <v/>
      </c>
      <c r="J320">
        <f t="shared" si="14"/>
        <v>0</v>
      </c>
    </row>
    <row r="321" spans="1:10" x14ac:dyDescent="0.35">
      <c r="A321">
        <v>1320</v>
      </c>
      <c r="B321" s="1">
        <v>45483</v>
      </c>
      <c r="C321" t="s">
        <v>21</v>
      </c>
      <c r="D321">
        <v>500</v>
      </c>
      <c r="E321">
        <v>200</v>
      </c>
      <c r="G321" t="str">
        <f t="shared" si="12"/>
        <v>Active</v>
      </c>
      <c r="H321" s="1" t="str">
        <f t="shared" si="13"/>
        <v/>
      </c>
      <c r="J321">
        <f t="shared" si="14"/>
        <v>0</v>
      </c>
    </row>
    <row r="322" spans="1:10" x14ac:dyDescent="0.35">
      <c r="A322">
        <v>1321</v>
      </c>
      <c r="B322" s="1">
        <v>45514</v>
      </c>
      <c r="C322" t="s">
        <v>21</v>
      </c>
      <c r="D322">
        <v>500</v>
      </c>
      <c r="E322">
        <v>200</v>
      </c>
      <c r="G322" t="str">
        <f t="shared" si="12"/>
        <v>Active</v>
      </c>
      <c r="H322" s="1" t="str">
        <f t="shared" si="13"/>
        <v/>
      </c>
      <c r="J322">
        <f t="shared" si="14"/>
        <v>0</v>
      </c>
    </row>
    <row r="323" spans="1:10" x14ac:dyDescent="0.35">
      <c r="A323">
        <v>1322</v>
      </c>
      <c r="B323" s="1">
        <v>45440</v>
      </c>
      <c r="C323" t="s">
        <v>21</v>
      </c>
      <c r="D323">
        <v>500</v>
      </c>
      <c r="E323">
        <v>200</v>
      </c>
      <c r="G323" t="str">
        <f t="shared" ref="G323:G386" si="15">IF(F323="","Active","Churned")</f>
        <v>Active</v>
      </c>
      <c r="H323" s="1" t="str">
        <f t="shared" ref="H323:H386" si="16">IF(F323="","",DATE(YEAR(F323),MONTH(F323),1))</f>
        <v/>
      </c>
      <c r="J323">
        <f t="shared" ref="J323:J386" si="17">IF(G323="Churned",1,0)</f>
        <v>0</v>
      </c>
    </row>
    <row r="324" spans="1:10" x14ac:dyDescent="0.35">
      <c r="A324">
        <v>1323</v>
      </c>
      <c r="B324" s="1">
        <v>45404</v>
      </c>
      <c r="C324" t="s">
        <v>18</v>
      </c>
      <c r="D324">
        <v>200</v>
      </c>
      <c r="E324">
        <v>100</v>
      </c>
      <c r="G324" t="str">
        <f t="shared" si="15"/>
        <v>Active</v>
      </c>
      <c r="H324" s="1" t="str">
        <f t="shared" si="16"/>
        <v/>
      </c>
      <c r="J324">
        <f t="shared" si="17"/>
        <v>0</v>
      </c>
    </row>
    <row r="325" spans="1:10" x14ac:dyDescent="0.35">
      <c r="A325">
        <v>1324</v>
      </c>
      <c r="B325" s="1">
        <v>45484</v>
      </c>
      <c r="C325" t="s">
        <v>21</v>
      </c>
      <c r="D325">
        <v>500</v>
      </c>
      <c r="E325">
        <v>200</v>
      </c>
      <c r="G325" t="str">
        <f t="shared" si="15"/>
        <v>Active</v>
      </c>
      <c r="H325" s="1" t="str">
        <f t="shared" si="16"/>
        <v/>
      </c>
      <c r="J325">
        <f t="shared" si="17"/>
        <v>0</v>
      </c>
    </row>
    <row r="326" spans="1:10" x14ac:dyDescent="0.35">
      <c r="A326">
        <v>1325</v>
      </c>
      <c r="B326" s="1">
        <v>45573</v>
      </c>
      <c r="C326" t="s">
        <v>75</v>
      </c>
      <c r="D326">
        <v>50</v>
      </c>
      <c r="E326">
        <v>30</v>
      </c>
      <c r="G326" t="str">
        <f t="shared" si="15"/>
        <v>Active</v>
      </c>
      <c r="H326" s="1" t="str">
        <f t="shared" si="16"/>
        <v/>
      </c>
      <c r="J326">
        <f t="shared" si="17"/>
        <v>0</v>
      </c>
    </row>
    <row r="327" spans="1:10" x14ac:dyDescent="0.35">
      <c r="A327">
        <v>1326</v>
      </c>
      <c r="B327" s="1">
        <v>45754</v>
      </c>
      <c r="C327" t="s">
        <v>21</v>
      </c>
      <c r="D327">
        <v>500</v>
      </c>
      <c r="E327">
        <v>200</v>
      </c>
      <c r="G327" t="str">
        <f t="shared" si="15"/>
        <v>Active</v>
      </c>
      <c r="H327" s="1" t="str">
        <f t="shared" si="16"/>
        <v/>
      </c>
      <c r="J327">
        <f t="shared" si="17"/>
        <v>0</v>
      </c>
    </row>
    <row r="328" spans="1:10" x14ac:dyDescent="0.35">
      <c r="A328">
        <v>1327</v>
      </c>
      <c r="B328" s="1">
        <v>45641</v>
      </c>
      <c r="C328" t="s">
        <v>21</v>
      </c>
      <c r="D328">
        <v>500</v>
      </c>
      <c r="E328">
        <v>200</v>
      </c>
      <c r="G328" t="str">
        <f t="shared" si="15"/>
        <v>Active</v>
      </c>
      <c r="H328" s="1" t="str">
        <f t="shared" si="16"/>
        <v/>
      </c>
      <c r="J328">
        <f t="shared" si="17"/>
        <v>0</v>
      </c>
    </row>
    <row r="329" spans="1:10" x14ac:dyDescent="0.35">
      <c r="A329">
        <v>1328</v>
      </c>
      <c r="B329" s="1">
        <v>45825</v>
      </c>
      <c r="C329" t="s">
        <v>21</v>
      </c>
      <c r="D329">
        <v>500</v>
      </c>
      <c r="E329">
        <v>200</v>
      </c>
      <c r="G329" t="str">
        <f t="shared" si="15"/>
        <v>Active</v>
      </c>
      <c r="H329" s="1" t="str">
        <f t="shared" si="16"/>
        <v/>
      </c>
      <c r="J329">
        <f t="shared" si="17"/>
        <v>0</v>
      </c>
    </row>
    <row r="330" spans="1:10" x14ac:dyDescent="0.35">
      <c r="A330">
        <v>1329</v>
      </c>
      <c r="B330" s="1">
        <v>45707</v>
      </c>
      <c r="C330" t="s">
        <v>21</v>
      </c>
      <c r="D330">
        <v>500</v>
      </c>
      <c r="E330">
        <v>200</v>
      </c>
      <c r="G330" t="str">
        <f t="shared" si="15"/>
        <v>Active</v>
      </c>
      <c r="H330" s="1" t="str">
        <f t="shared" si="16"/>
        <v/>
      </c>
      <c r="J330">
        <f t="shared" si="17"/>
        <v>0</v>
      </c>
    </row>
    <row r="331" spans="1:10" x14ac:dyDescent="0.35">
      <c r="A331">
        <v>1330</v>
      </c>
      <c r="B331" s="1">
        <v>45782</v>
      </c>
      <c r="C331" t="s">
        <v>21</v>
      </c>
      <c r="D331">
        <v>500</v>
      </c>
      <c r="E331">
        <v>200</v>
      </c>
      <c r="G331" t="str">
        <f t="shared" si="15"/>
        <v>Active</v>
      </c>
      <c r="H331" s="1" t="str">
        <f t="shared" si="16"/>
        <v/>
      </c>
      <c r="J331">
        <f t="shared" si="17"/>
        <v>0</v>
      </c>
    </row>
    <row r="332" spans="1:10" x14ac:dyDescent="0.35">
      <c r="A332">
        <v>1331</v>
      </c>
      <c r="B332" s="1">
        <v>45745</v>
      </c>
      <c r="C332" t="s">
        <v>18</v>
      </c>
      <c r="D332">
        <v>200</v>
      </c>
      <c r="E332">
        <v>100</v>
      </c>
      <c r="G332" t="str">
        <f t="shared" si="15"/>
        <v>Active</v>
      </c>
      <c r="H332" s="1" t="str">
        <f t="shared" si="16"/>
        <v/>
      </c>
      <c r="J332">
        <f t="shared" si="17"/>
        <v>0</v>
      </c>
    </row>
    <row r="333" spans="1:10" x14ac:dyDescent="0.35">
      <c r="A333">
        <v>1332</v>
      </c>
      <c r="B333" s="1">
        <v>45678</v>
      </c>
      <c r="C333" t="s">
        <v>18</v>
      </c>
      <c r="D333">
        <v>200</v>
      </c>
      <c r="E333">
        <v>100</v>
      </c>
      <c r="F333" s="1">
        <v>45761</v>
      </c>
      <c r="G333" t="str">
        <f t="shared" si="15"/>
        <v>Churned</v>
      </c>
      <c r="H333" s="1">
        <f t="shared" si="16"/>
        <v>45748</v>
      </c>
      <c r="J333">
        <f t="shared" si="17"/>
        <v>1</v>
      </c>
    </row>
    <row r="334" spans="1:10" x14ac:dyDescent="0.35">
      <c r="A334">
        <v>1333</v>
      </c>
      <c r="B334" s="1">
        <v>45595</v>
      </c>
      <c r="C334" t="s">
        <v>21</v>
      </c>
      <c r="D334">
        <v>500</v>
      </c>
      <c r="E334">
        <v>200</v>
      </c>
      <c r="G334" t="str">
        <f t="shared" si="15"/>
        <v>Active</v>
      </c>
      <c r="H334" s="1" t="str">
        <f t="shared" si="16"/>
        <v/>
      </c>
      <c r="J334">
        <f t="shared" si="17"/>
        <v>0</v>
      </c>
    </row>
    <row r="335" spans="1:10" x14ac:dyDescent="0.35">
      <c r="A335">
        <v>1334</v>
      </c>
      <c r="B335" s="1">
        <v>45517</v>
      </c>
      <c r="C335" t="s">
        <v>21</v>
      </c>
      <c r="D335">
        <v>500</v>
      </c>
      <c r="E335">
        <v>200</v>
      </c>
      <c r="G335" t="str">
        <f t="shared" si="15"/>
        <v>Active</v>
      </c>
      <c r="H335" s="1" t="str">
        <f t="shared" si="16"/>
        <v/>
      </c>
      <c r="J335">
        <f t="shared" si="17"/>
        <v>0</v>
      </c>
    </row>
    <row r="336" spans="1:10" x14ac:dyDescent="0.35">
      <c r="A336">
        <v>1335</v>
      </c>
      <c r="B336" s="1">
        <v>45754</v>
      </c>
      <c r="C336" t="s">
        <v>18</v>
      </c>
      <c r="D336">
        <v>200</v>
      </c>
      <c r="E336">
        <v>100</v>
      </c>
      <c r="G336" t="str">
        <f t="shared" si="15"/>
        <v>Active</v>
      </c>
      <c r="H336" s="1" t="str">
        <f t="shared" si="16"/>
        <v/>
      </c>
      <c r="J336">
        <f t="shared" si="17"/>
        <v>0</v>
      </c>
    </row>
    <row r="337" spans="1:10" x14ac:dyDescent="0.35">
      <c r="A337">
        <v>1336</v>
      </c>
      <c r="B337" s="1">
        <v>45617</v>
      </c>
      <c r="C337" t="s">
        <v>21</v>
      </c>
      <c r="D337">
        <v>500</v>
      </c>
      <c r="E337">
        <v>200</v>
      </c>
      <c r="G337" t="str">
        <f t="shared" si="15"/>
        <v>Active</v>
      </c>
      <c r="H337" s="1" t="str">
        <f t="shared" si="16"/>
        <v/>
      </c>
      <c r="J337">
        <f t="shared" si="17"/>
        <v>0</v>
      </c>
    </row>
    <row r="338" spans="1:10" x14ac:dyDescent="0.35">
      <c r="A338">
        <v>1337</v>
      </c>
      <c r="B338" s="1">
        <v>45524</v>
      </c>
      <c r="C338" t="s">
        <v>75</v>
      </c>
      <c r="D338">
        <v>50</v>
      </c>
      <c r="E338">
        <v>30</v>
      </c>
      <c r="F338" s="1">
        <v>45638</v>
      </c>
      <c r="G338" t="str">
        <f t="shared" si="15"/>
        <v>Churned</v>
      </c>
      <c r="H338" s="1">
        <f t="shared" si="16"/>
        <v>45627</v>
      </c>
      <c r="J338">
        <f t="shared" si="17"/>
        <v>1</v>
      </c>
    </row>
    <row r="339" spans="1:10" x14ac:dyDescent="0.35">
      <c r="A339">
        <v>1338</v>
      </c>
      <c r="B339" s="1">
        <v>45675</v>
      </c>
      <c r="C339" t="s">
        <v>75</v>
      </c>
      <c r="D339">
        <v>50</v>
      </c>
      <c r="E339">
        <v>30</v>
      </c>
      <c r="G339" t="str">
        <f t="shared" si="15"/>
        <v>Active</v>
      </c>
      <c r="H339" s="1" t="str">
        <f t="shared" si="16"/>
        <v/>
      </c>
      <c r="J339">
        <f t="shared" si="17"/>
        <v>0</v>
      </c>
    </row>
    <row r="340" spans="1:10" x14ac:dyDescent="0.35">
      <c r="A340">
        <v>1339</v>
      </c>
      <c r="B340" s="1">
        <v>45349</v>
      </c>
      <c r="C340" t="s">
        <v>75</v>
      </c>
      <c r="D340">
        <v>50</v>
      </c>
      <c r="E340">
        <v>30</v>
      </c>
      <c r="G340" t="str">
        <f t="shared" si="15"/>
        <v>Active</v>
      </c>
      <c r="H340" s="1" t="str">
        <f t="shared" si="16"/>
        <v/>
      </c>
      <c r="J340">
        <f t="shared" si="17"/>
        <v>0</v>
      </c>
    </row>
    <row r="341" spans="1:10" x14ac:dyDescent="0.35">
      <c r="A341">
        <v>1340</v>
      </c>
      <c r="B341" s="1">
        <v>45565</v>
      </c>
      <c r="C341" t="s">
        <v>75</v>
      </c>
      <c r="D341">
        <v>50</v>
      </c>
      <c r="E341">
        <v>30</v>
      </c>
      <c r="G341" t="str">
        <f t="shared" si="15"/>
        <v>Active</v>
      </c>
      <c r="H341" s="1" t="str">
        <f t="shared" si="16"/>
        <v/>
      </c>
      <c r="J341">
        <f t="shared" si="17"/>
        <v>0</v>
      </c>
    </row>
    <row r="342" spans="1:10" x14ac:dyDescent="0.35">
      <c r="A342">
        <v>1341</v>
      </c>
      <c r="B342" s="1">
        <v>45525</v>
      </c>
      <c r="C342" t="s">
        <v>75</v>
      </c>
      <c r="D342">
        <v>50</v>
      </c>
      <c r="E342">
        <v>30</v>
      </c>
      <c r="G342" t="str">
        <f t="shared" si="15"/>
        <v>Active</v>
      </c>
      <c r="H342" s="1" t="str">
        <f t="shared" si="16"/>
        <v/>
      </c>
      <c r="J342">
        <f t="shared" si="17"/>
        <v>0</v>
      </c>
    </row>
    <row r="343" spans="1:10" x14ac:dyDescent="0.35">
      <c r="A343">
        <v>1342</v>
      </c>
      <c r="B343" s="1">
        <v>45626</v>
      </c>
      <c r="C343" t="s">
        <v>75</v>
      </c>
      <c r="D343">
        <v>50</v>
      </c>
      <c r="E343">
        <v>30</v>
      </c>
      <c r="G343" t="str">
        <f t="shared" si="15"/>
        <v>Active</v>
      </c>
      <c r="H343" s="1" t="str">
        <f t="shared" si="16"/>
        <v/>
      </c>
      <c r="J343">
        <f t="shared" si="17"/>
        <v>0</v>
      </c>
    </row>
    <row r="344" spans="1:10" x14ac:dyDescent="0.35">
      <c r="A344">
        <v>1343</v>
      </c>
      <c r="B344" s="1">
        <v>45410</v>
      </c>
      <c r="C344" t="s">
        <v>18</v>
      </c>
      <c r="D344">
        <v>200</v>
      </c>
      <c r="E344">
        <v>100</v>
      </c>
      <c r="G344" t="str">
        <f t="shared" si="15"/>
        <v>Active</v>
      </c>
      <c r="H344" s="1" t="str">
        <f t="shared" si="16"/>
        <v/>
      </c>
      <c r="J344">
        <f t="shared" si="17"/>
        <v>0</v>
      </c>
    </row>
    <row r="345" spans="1:10" x14ac:dyDescent="0.35">
      <c r="A345">
        <v>1344</v>
      </c>
      <c r="B345" s="1">
        <v>45674</v>
      </c>
      <c r="C345" t="s">
        <v>21</v>
      </c>
      <c r="D345">
        <v>500</v>
      </c>
      <c r="E345">
        <v>200</v>
      </c>
      <c r="G345" t="str">
        <f t="shared" si="15"/>
        <v>Active</v>
      </c>
      <c r="H345" s="1" t="str">
        <f t="shared" si="16"/>
        <v/>
      </c>
      <c r="J345">
        <f t="shared" si="17"/>
        <v>0</v>
      </c>
    </row>
    <row r="346" spans="1:10" x14ac:dyDescent="0.35">
      <c r="A346">
        <v>1345</v>
      </c>
      <c r="B346" s="1">
        <v>45519</v>
      </c>
      <c r="C346" t="s">
        <v>21</v>
      </c>
      <c r="D346">
        <v>500</v>
      </c>
      <c r="E346">
        <v>200</v>
      </c>
      <c r="G346" t="str">
        <f t="shared" si="15"/>
        <v>Active</v>
      </c>
      <c r="H346" s="1" t="str">
        <f t="shared" si="16"/>
        <v/>
      </c>
      <c r="J346">
        <f t="shared" si="17"/>
        <v>0</v>
      </c>
    </row>
    <row r="347" spans="1:10" x14ac:dyDescent="0.35">
      <c r="A347">
        <v>1346</v>
      </c>
      <c r="B347" s="1">
        <v>45373</v>
      </c>
      <c r="C347" t="s">
        <v>18</v>
      </c>
      <c r="D347">
        <v>200</v>
      </c>
      <c r="E347">
        <v>100</v>
      </c>
      <c r="F347" s="1">
        <v>45475</v>
      </c>
      <c r="G347" t="str">
        <f t="shared" si="15"/>
        <v>Churned</v>
      </c>
      <c r="H347" s="1">
        <f t="shared" si="16"/>
        <v>45474</v>
      </c>
      <c r="J347">
        <f t="shared" si="17"/>
        <v>1</v>
      </c>
    </row>
    <row r="348" spans="1:10" x14ac:dyDescent="0.35">
      <c r="A348">
        <v>1347</v>
      </c>
      <c r="B348" s="1">
        <v>45609</v>
      </c>
      <c r="C348" t="s">
        <v>75</v>
      </c>
      <c r="D348">
        <v>50</v>
      </c>
      <c r="E348">
        <v>30</v>
      </c>
      <c r="F348" s="1">
        <v>45767</v>
      </c>
      <c r="G348" t="str">
        <f t="shared" si="15"/>
        <v>Churned</v>
      </c>
      <c r="H348" s="1">
        <f t="shared" si="16"/>
        <v>45748</v>
      </c>
      <c r="J348">
        <f t="shared" si="17"/>
        <v>1</v>
      </c>
    </row>
    <row r="349" spans="1:10" x14ac:dyDescent="0.35">
      <c r="A349">
        <v>1348</v>
      </c>
      <c r="B349" s="1">
        <v>45833</v>
      </c>
      <c r="C349" t="s">
        <v>21</v>
      </c>
      <c r="D349">
        <v>500</v>
      </c>
      <c r="E349">
        <v>200</v>
      </c>
      <c r="G349" t="str">
        <f t="shared" si="15"/>
        <v>Active</v>
      </c>
      <c r="H349" s="1" t="str">
        <f t="shared" si="16"/>
        <v/>
      </c>
      <c r="J349">
        <f t="shared" si="17"/>
        <v>0</v>
      </c>
    </row>
    <row r="350" spans="1:10" x14ac:dyDescent="0.35">
      <c r="A350">
        <v>1349</v>
      </c>
      <c r="B350" s="1">
        <v>45413</v>
      </c>
      <c r="C350" t="s">
        <v>18</v>
      </c>
      <c r="D350">
        <v>200</v>
      </c>
      <c r="E350">
        <v>100</v>
      </c>
      <c r="G350" t="str">
        <f t="shared" si="15"/>
        <v>Active</v>
      </c>
      <c r="H350" s="1" t="str">
        <f t="shared" si="16"/>
        <v/>
      </c>
      <c r="J350">
        <f t="shared" si="17"/>
        <v>0</v>
      </c>
    </row>
    <row r="351" spans="1:10" x14ac:dyDescent="0.35">
      <c r="A351">
        <v>1350</v>
      </c>
      <c r="B351" s="1">
        <v>45612</v>
      </c>
      <c r="C351" t="s">
        <v>18</v>
      </c>
      <c r="D351">
        <v>200</v>
      </c>
      <c r="E351">
        <v>100</v>
      </c>
      <c r="G351" t="str">
        <f t="shared" si="15"/>
        <v>Active</v>
      </c>
      <c r="H351" s="1" t="str">
        <f t="shared" si="16"/>
        <v/>
      </c>
      <c r="J351">
        <f t="shared" si="17"/>
        <v>0</v>
      </c>
    </row>
    <row r="352" spans="1:10" x14ac:dyDescent="0.35">
      <c r="A352">
        <v>1351</v>
      </c>
      <c r="B352" s="1">
        <v>45536</v>
      </c>
      <c r="C352" t="s">
        <v>21</v>
      </c>
      <c r="D352">
        <v>500</v>
      </c>
      <c r="E352">
        <v>200</v>
      </c>
      <c r="G352" t="str">
        <f t="shared" si="15"/>
        <v>Active</v>
      </c>
      <c r="H352" s="1" t="str">
        <f t="shared" si="16"/>
        <v/>
      </c>
      <c r="J352">
        <f t="shared" si="17"/>
        <v>0</v>
      </c>
    </row>
    <row r="353" spans="1:10" x14ac:dyDescent="0.35">
      <c r="A353">
        <v>1352</v>
      </c>
      <c r="B353" s="1">
        <v>45343</v>
      </c>
      <c r="C353" t="s">
        <v>21</v>
      </c>
      <c r="D353">
        <v>500</v>
      </c>
      <c r="E353">
        <v>200</v>
      </c>
      <c r="F353" s="1">
        <v>45591</v>
      </c>
      <c r="G353" t="str">
        <f t="shared" si="15"/>
        <v>Churned</v>
      </c>
      <c r="H353" s="1">
        <f t="shared" si="16"/>
        <v>45566</v>
      </c>
      <c r="J353">
        <f t="shared" si="17"/>
        <v>1</v>
      </c>
    </row>
    <row r="354" spans="1:10" x14ac:dyDescent="0.35">
      <c r="A354">
        <v>1353</v>
      </c>
      <c r="B354" s="1">
        <v>45502</v>
      </c>
      <c r="C354" t="s">
        <v>21</v>
      </c>
      <c r="D354">
        <v>500</v>
      </c>
      <c r="E354">
        <v>200</v>
      </c>
      <c r="G354" t="str">
        <f t="shared" si="15"/>
        <v>Active</v>
      </c>
      <c r="H354" s="1" t="str">
        <f t="shared" si="16"/>
        <v/>
      </c>
      <c r="J354">
        <f t="shared" si="17"/>
        <v>0</v>
      </c>
    </row>
    <row r="355" spans="1:10" x14ac:dyDescent="0.35">
      <c r="A355">
        <v>1354</v>
      </c>
      <c r="B355" s="1">
        <v>45478</v>
      </c>
      <c r="C355" t="s">
        <v>21</v>
      </c>
      <c r="D355">
        <v>500</v>
      </c>
      <c r="E355">
        <v>200</v>
      </c>
      <c r="G355" t="str">
        <f t="shared" si="15"/>
        <v>Active</v>
      </c>
      <c r="H355" s="1" t="str">
        <f t="shared" si="16"/>
        <v/>
      </c>
      <c r="J355">
        <f t="shared" si="17"/>
        <v>0</v>
      </c>
    </row>
    <row r="356" spans="1:10" x14ac:dyDescent="0.35">
      <c r="A356">
        <v>1355</v>
      </c>
      <c r="B356" s="1">
        <v>45630</v>
      </c>
      <c r="C356" t="s">
        <v>21</v>
      </c>
      <c r="D356">
        <v>500</v>
      </c>
      <c r="E356">
        <v>200</v>
      </c>
      <c r="F356" s="1">
        <v>45720</v>
      </c>
      <c r="G356" t="str">
        <f t="shared" si="15"/>
        <v>Churned</v>
      </c>
      <c r="H356" s="1">
        <f t="shared" si="16"/>
        <v>45717</v>
      </c>
      <c r="J356">
        <f t="shared" si="17"/>
        <v>1</v>
      </c>
    </row>
    <row r="357" spans="1:10" x14ac:dyDescent="0.35">
      <c r="A357">
        <v>1356</v>
      </c>
      <c r="B357" s="1">
        <v>45654</v>
      </c>
      <c r="C357" t="s">
        <v>18</v>
      </c>
      <c r="D357">
        <v>200</v>
      </c>
      <c r="E357">
        <v>100</v>
      </c>
      <c r="G357" t="str">
        <f t="shared" si="15"/>
        <v>Active</v>
      </c>
      <c r="H357" s="1" t="str">
        <f t="shared" si="16"/>
        <v/>
      </c>
      <c r="J357">
        <f t="shared" si="17"/>
        <v>0</v>
      </c>
    </row>
    <row r="358" spans="1:10" x14ac:dyDescent="0.35">
      <c r="A358">
        <v>1357</v>
      </c>
      <c r="B358" s="1">
        <v>45724</v>
      </c>
      <c r="C358" t="s">
        <v>21</v>
      </c>
      <c r="D358">
        <v>500</v>
      </c>
      <c r="E358">
        <v>200</v>
      </c>
      <c r="G358" t="str">
        <f t="shared" si="15"/>
        <v>Active</v>
      </c>
      <c r="H358" s="1" t="str">
        <f t="shared" si="16"/>
        <v/>
      </c>
      <c r="J358">
        <f t="shared" si="17"/>
        <v>0</v>
      </c>
    </row>
    <row r="359" spans="1:10" x14ac:dyDescent="0.35">
      <c r="A359">
        <v>1358</v>
      </c>
      <c r="B359" s="1">
        <v>45459</v>
      </c>
      <c r="C359" t="s">
        <v>21</v>
      </c>
      <c r="D359">
        <v>500</v>
      </c>
      <c r="E359">
        <v>200</v>
      </c>
      <c r="F359" s="1">
        <v>45738</v>
      </c>
      <c r="G359" t="str">
        <f t="shared" si="15"/>
        <v>Churned</v>
      </c>
      <c r="H359" s="1">
        <f t="shared" si="16"/>
        <v>45717</v>
      </c>
      <c r="J359">
        <f t="shared" si="17"/>
        <v>1</v>
      </c>
    </row>
    <row r="360" spans="1:10" x14ac:dyDescent="0.35">
      <c r="A360">
        <v>1359</v>
      </c>
      <c r="B360" s="1">
        <v>45771</v>
      </c>
      <c r="C360" t="s">
        <v>75</v>
      </c>
      <c r="D360">
        <v>50</v>
      </c>
      <c r="E360">
        <v>30</v>
      </c>
      <c r="F360" s="1">
        <v>45833</v>
      </c>
      <c r="G360" t="str">
        <f t="shared" si="15"/>
        <v>Churned</v>
      </c>
      <c r="H360" s="1">
        <f t="shared" si="16"/>
        <v>45809</v>
      </c>
      <c r="J360">
        <f t="shared" si="17"/>
        <v>1</v>
      </c>
    </row>
    <row r="361" spans="1:10" x14ac:dyDescent="0.35">
      <c r="A361">
        <v>1360</v>
      </c>
      <c r="B361" s="1">
        <v>45314</v>
      </c>
      <c r="C361" t="s">
        <v>75</v>
      </c>
      <c r="D361">
        <v>50</v>
      </c>
      <c r="E361">
        <v>30</v>
      </c>
      <c r="G361" t="str">
        <f t="shared" si="15"/>
        <v>Active</v>
      </c>
      <c r="H361" s="1" t="str">
        <f t="shared" si="16"/>
        <v/>
      </c>
      <c r="J361">
        <f t="shared" si="17"/>
        <v>0</v>
      </c>
    </row>
    <row r="362" spans="1:10" x14ac:dyDescent="0.35">
      <c r="A362">
        <v>1361</v>
      </c>
      <c r="B362" s="1">
        <v>45836</v>
      </c>
      <c r="C362" t="s">
        <v>21</v>
      </c>
      <c r="D362">
        <v>500</v>
      </c>
      <c r="E362">
        <v>200</v>
      </c>
      <c r="G362" t="str">
        <f t="shared" si="15"/>
        <v>Active</v>
      </c>
      <c r="H362" s="1" t="str">
        <f t="shared" si="16"/>
        <v/>
      </c>
      <c r="J362">
        <f t="shared" si="17"/>
        <v>0</v>
      </c>
    </row>
    <row r="363" spans="1:10" x14ac:dyDescent="0.35">
      <c r="A363">
        <v>1362</v>
      </c>
      <c r="B363" s="1">
        <v>45784</v>
      </c>
      <c r="C363" t="s">
        <v>21</v>
      </c>
      <c r="D363">
        <v>500</v>
      </c>
      <c r="E363">
        <v>200</v>
      </c>
      <c r="G363" t="str">
        <f t="shared" si="15"/>
        <v>Active</v>
      </c>
      <c r="H363" s="1" t="str">
        <f t="shared" si="16"/>
        <v/>
      </c>
      <c r="J363">
        <f t="shared" si="17"/>
        <v>0</v>
      </c>
    </row>
    <row r="364" spans="1:10" x14ac:dyDescent="0.35">
      <c r="A364">
        <v>1363</v>
      </c>
      <c r="B364" s="1">
        <v>45388</v>
      </c>
      <c r="C364" t="s">
        <v>18</v>
      </c>
      <c r="D364">
        <v>200</v>
      </c>
      <c r="E364">
        <v>100</v>
      </c>
      <c r="G364" t="str">
        <f t="shared" si="15"/>
        <v>Active</v>
      </c>
      <c r="H364" s="1" t="str">
        <f t="shared" si="16"/>
        <v/>
      </c>
      <c r="J364">
        <f t="shared" si="17"/>
        <v>0</v>
      </c>
    </row>
    <row r="365" spans="1:10" x14ac:dyDescent="0.35">
      <c r="A365">
        <v>1364</v>
      </c>
      <c r="B365" s="1">
        <v>45834</v>
      </c>
      <c r="C365" t="s">
        <v>75</v>
      </c>
      <c r="D365">
        <v>50</v>
      </c>
      <c r="E365">
        <v>30</v>
      </c>
      <c r="G365" t="str">
        <f t="shared" si="15"/>
        <v>Active</v>
      </c>
      <c r="H365" s="1" t="str">
        <f t="shared" si="16"/>
        <v/>
      </c>
      <c r="J365">
        <f t="shared" si="17"/>
        <v>0</v>
      </c>
    </row>
    <row r="366" spans="1:10" x14ac:dyDescent="0.35">
      <c r="A366">
        <v>1365</v>
      </c>
      <c r="B366" s="1">
        <v>45750</v>
      </c>
      <c r="C366" t="s">
        <v>18</v>
      </c>
      <c r="D366">
        <v>200</v>
      </c>
      <c r="E366">
        <v>100</v>
      </c>
      <c r="G366" t="str">
        <f t="shared" si="15"/>
        <v>Active</v>
      </c>
      <c r="H366" s="1" t="str">
        <f t="shared" si="16"/>
        <v/>
      </c>
      <c r="J366">
        <f t="shared" si="17"/>
        <v>0</v>
      </c>
    </row>
    <row r="367" spans="1:10" x14ac:dyDescent="0.35">
      <c r="A367">
        <v>1366</v>
      </c>
      <c r="B367" s="1">
        <v>45351</v>
      </c>
      <c r="C367" t="s">
        <v>75</v>
      </c>
      <c r="D367">
        <v>50</v>
      </c>
      <c r="E367">
        <v>30</v>
      </c>
      <c r="G367" t="str">
        <f t="shared" si="15"/>
        <v>Active</v>
      </c>
      <c r="H367" s="1" t="str">
        <f t="shared" si="16"/>
        <v/>
      </c>
      <c r="J367">
        <f t="shared" si="17"/>
        <v>0</v>
      </c>
    </row>
    <row r="368" spans="1:10" x14ac:dyDescent="0.35">
      <c r="A368">
        <v>1367</v>
      </c>
      <c r="B368" s="1">
        <v>45671</v>
      </c>
      <c r="C368" t="s">
        <v>18</v>
      </c>
      <c r="D368">
        <v>200</v>
      </c>
      <c r="E368">
        <v>100</v>
      </c>
      <c r="G368" t="str">
        <f t="shared" si="15"/>
        <v>Active</v>
      </c>
      <c r="H368" s="1" t="str">
        <f t="shared" si="16"/>
        <v/>
      </c>
      <c r="J368">
        <f t="shared" si="17"/>
        <v>0</v>
      </c>
    </row>
    <row r="369" spans="1:10" x14ac:dyDescent="0.35">
      <c r="A369">
        <v>1368</v>
      </c>
      <c r="B369" s="1">
        <v>45636</v>
      </c>
      <c r="C369" t="s">
        <v>75</v>
      </c>
      <c r="D369">
        <v>50</v>
      </c>
      <c r="E369">
        <v>30</v>
      </c>
      <c r="G369" t="str">
        <f t="shared" si="15"/>
        <v>Active</v>
      </c>
      <c r="H369" s="1" t="str">
        <f t="shared" si="16"/>
        <v/>
      </c>
      <c r="J369">
        <f t="shared" si="17"/>
        <v>0</v>
      </c>
    </row>
    <row r="370" spans="1:10" x14ac:dyDescent="0.35">
      <c r="A370">
        <v>1369</v>
      </c>
      <c r="B370" s="1">
        <v>45526</v>
      </c>
      <c r="C370" t="s">
        <v>18</v>
      </c>
      <c r="D370">
        <v>200</v>
      </c>
      <c r="E370">
        <v>100</v>
      </c>
      <c r="G370" t="str">
        <f t="shared" si="15"/>
        <v>Active</v>
      </c>
      <c r="H370" s="1" t="str">
        <f t="shared" si="16"/>
        <v/>
      </c>
      <c r="J370">
        <f t="shared" si="17"/>
        <v>0</v>
      </c>
    </row>
    <row r="371" spans="1:10" x14ac:dyDescent="0.35">
      <c r="A371">
        <v>1370</v>
      </c>
      <c r="B371" s="1">
        <v>45610</v>
      </c>
      <c r="C371" t="s">
        <v>18</v>
      </c>
      <c r="D371">
        <v>200</v>
      </c>
      <c r="E371">
        <v>100</v>
      </c>
      <c r="G371" t="str">
        <f t="shared" si="15"/>
        <v>Active</v>
      </c>
      <c r="H371" s="1" t="str">
        <f t="shared" si="16"/>
        <v/>
      </c>
      <c r="J371">
        <f t="shared" si="17"/>
        <v>0</v>
      </c>
    </row>
    <row r="372" spans="1:10" x14ac:dyDescent="0.35">
      <c r="A372">
        <v>1371</v>
      </c>
      <c r="B372" s="1">
        <v>45444</v>
      </c>
      <c r="C372" t="s">
        <v>21</v>
      </c>
      <c r="D372">
        <v>500</v>
      </c>
      <c r="E372">
        <v>200</v>
      </c>
      <c r="G372" t="str">
        <f t="shared" si="15"/>
        <v>Active</v>
      </c>
      <c r="H372" s="1" t="str">
        <f t="shared" si="16"/>
        <v/>
      </c>
      <c r="J372">
        <f t="shared" si="17"/>
        <v>0</v>
      </c>
    </row>
    <row r="373" spans="1:10" x14ac:dyDescent="0.35">
      <c r="A373">
        <v>1372</v>
      </c>
      <c r="B373" s="1">
        <v>45806</v>
      </c>
      <c r="C373" t="s">
        <v>75</v>
      </c>
      <c r="D373">
        <v>50</v>
      </c>
      <c r="E373">
        <v>30</v>
      </c>
      <c r="G373" t="str">
        <f t="shared" si="15"/>
        <v>Active</v>
      </c>
      <c r="H373" s="1" t="str">
        <f t="shared" si="16"/>
        <v/>
      </c>
      <c r="J373">
        <f t="shared" si="17"/>
        <v>0</v>
      </c>
    </row>
    <row r="374" spans="1:10" x14ac:dyDescent="0.35">
      <c r="A374">
        <v>1373</v>
      </c>
      <c r="B374" s="1">
        <v>45330</v>
      </c>
      <c r="C374" t="s">
        <v>21</v>
      </c>
      <c r="D374">
        <v>500</v>
      </c>
      <c r="E374">
        <v>200</v>
      </c>
      <c r="G374" t="str">
        <f t="shared" si="15"/>
        <v>Active</v>
      </c>
      <c r="H374" s="1" t="str">
        <f t="shared" si="16"/>
        <v/>
      </c>
      <c r="J374">
        <f t="shared" si="17"/>
        <v>0</v>
      </c>
    </row>
    <row r="375" spans="1:10" x14ac:dyDescent="0.35">
      <c r="A375">
        <v>1374</v>
      </c>
      <c r="B375" s="1">
        <v>45589</v>
      </c>
      <c r="C375" t="s">
        <v>75</v>
      </c>
      <c r="D375">
        <v>50</v>
      </c>
      <c r="E375">
        <v>30</v>
      </c>
      <c r="G375" t="str">
        <f t="shared" si="15"/>
        <v>Active</v>
      </c>
      <c r="H375" s="1" t="str">
        <f t="shared" si="16"/>
        <v/>
      </c>
      <c r="J375">
        <f t="shared" si="17"/>
        <v>0</v>
      </c>
    </row>
    <row r="376" spans="1:10" x14ac:dyDescent="0.35">
      <c r="A376">
        <v>1375</v>
      </c>
      <c r="B376" s="1">
        <v>45464</v>
      </c>
      <c r="C376" t="s">
        <v>75</v>
      </c>
      <c r="D376">
        <v>50</v>
      </c>
      <c r="E376">
        <v>30</v>
      </c>
      <c r="G376" t="str">
        <f t="shared" si="15"/>
        <v>Active</v>
      </c>
      <c r="H376" s="1" t="str">
        <f t="shared" si="16"/>
        <v/>
      </c>
      <c r="J376">
        <f t="shared" si="17"/>
        <v>0</v>
      </c>
    </row>
    <row r="377" spans="1:10" x14ac:dyDescent="0.35">
      <c r="A377">
        <v>1376</v>
      </c>
      <c r="B377" s="1">
        <v>45627</v>
      </c>
      <c r="C377" t="s">
        <v>21</v>
      </c>
      <c r="D377">
        <v>500</v>
      </c>
      <c r="E377">
        <v>200</v>
      </c>
      <c r="G377" t="str">
        <f t="shared" si="15"/>
        <v>Active</v>
      </c>
      <c r="H377" s="1" t="str">
        <f t="shared" si="16"/>
        <v/>
      </c>
      <c r="J377">
        <f t="shared" si="17"/>
        <v>0</v>
      </c>
    </row>
    <row r="378" spans="1:10" x14ac:dyDescent="0.35">
      <c r="A378">
        <v>1377</v>
      </c>
      <c r="B378" s="1">
        <v>45723</v>
      </c>
      <c r="C378" t="s">
        <v>21</v>
      </c>
      <c r="D378">
        <v>500</v>
      </c>
      <c r="E378">
        <v>200</v>
      </c>
      <c r="G378" t="str">
        <f t="shared" si="15"/>
        <v>Active</v>
      </c>
      <c r="H378" s="1" t="str">
        <f t="shared" si="16"/>
        <v/>
      </c>
      <c r="J378">
        <f t="shared" si="17"/>
        <v>0</v>
      </c>
    </row>
    <row r="379" spans="1:10" x14ac:dyDescent="0.35">
      <c r="A379">
        <v>1378</v>
      </c>
      <c r="B379" s="1">
        <v>45792</v>
      </c>
      <c r="C379" t="s">
        <v>18</v>
      </c>
      <c r="D379">
        <v>200</v>
      </c>
      <c r="E379">
        <v>100</v>
      </c>
      <c r="G379" t="str">
        <f t="shared" si="15"/>
        <v>Active</v>
      </c>
      <c r="H379" s="1" t="str">
        <f t="shared" si="16"/>
        <v/>
      </c>
      <c r="J379">
        <f t="shared" si="17"/>
        <v>0</v>
      </c>
    </row>
    <row r="380" spans="1:10" x14ac:dyDescent="0.35">
      <c r="A380">
        <v>1379</v>
      </c>
      <c r="B380" s="1">
        <v>45540</v>
      </c>
      <c r="C380" t="s">
        <v>75</v>
      </c>
      <c r="D380">
        <v>50</v>
      </c>
      <c r="E380">
        <v>30</v>
      </c>
      <c r="F380" s="1">
        <v>45699</v>
      </c>
      <c r="G380" t="str">
        <f t="shared" si="15"/>
        <v>Churned</v>
      </c>
      <c r="H380" s="1">
        <f t="shared" si="16"/>
        <v>45689</v>
      </c>
      <c r="J380">
        <f t="shared" si="17"/>
        <v>1</v>
      </c>
    </row>
    <row r="381" spans="1:10" x14ac:dyDescent="0.35">
      <c r="A381">
        <v>1380</v>
      </c>
      <c r="B381" s="1">
        <v>45381</v>
      </c>
      <c r="C381" t="s">
        <v>18</v>
      </c>
      <c r="D381">
        <v>200</v>
      </c>
      <c r="E381">
        <v>100</v>
      </c>
      <c r="F381" s="1">
        <v>45805</v>
      </c>
      <c r="G381" t="str">
        <f t="shared" si="15"/>
        <v>Churned</v>
      </c>
      <c r="H381" s="1">
        <f t="shared" si="16"/>
        <v>45778</v>
      </c>
      <c r="J381">
        <f t="shared" si="17"/>
        <v>1</v>
      </c>
    </row>
    <row r="382" spans="1:10" x14ac:dyDescent="0.35">
      <c r="A382">
        <v>1381</v>
      </c>
      <c r="B382" s="1">
        <v>45782</v>
      </c>
      <c r="C382" t="s">
        <v>75</v>
      </c>
      <c r="D382">
        <v>50</v>
      </c>
      <c r="E382">
        <v>30</v>
      </c>
      <c r="G382" t="str">
        <f t="shared" si="15"/>
        <v>Active</v>
      </c>
      <c r="H382" s="1" t="str">
        <f t="shared" si="16"/>
        <v/>
      </c>
      <c r="J382">
        <f t="shared" si="17"/>
        <v>0</v>
      </c>
    </row>
    <row r="383" spans="1:10" x14ac:dyDescent="0.35">
      <c r="A383">
        <v>1382</v>
      </c>
      <c r="B383" s="1">
        <v>45755</v>
      </c>
      <c r="C383" t="s">
        <v>18</v>
      </c>
      <c r="D383">
        <v>200</v>
      </c>
      <c r="E383">
        <v>100</v>
      </c>
      <c r="F383" s="1">
        <v>45791</v>
      </c>
      <c r="G383" t="str">
        <f t="shared" si="15"/>
        <v>Churned</v>
      </c>
      <c r="H383" s="1">
        <f t="shared" si="16"/>
        <v>45778</v>
      </c>
      <c r="J383">
        <f t="shared" si="17"/>
        <v>1</v>
      </c>
    </row>
    <row r="384" spans="1:10" x14ac:dyDescent="0.35">
      <c r="A384">
        <v>1383</v>
      </c>
      <c r="B384" s="1">
        <v>45427</v>
      </c>
      <c r="C384" t="s">
        <v>75</v>
      </c>
      <c r="D384">
        <v>50</v>
      </c>
      <c r="E384">
        <v>30</v>
      </c>
      <c r="G384" t="str">
        <f t="shared" si="15"/>
        <v>Active</v>
      </c>
      <c r="H384" s="1" t="str">
        <f t="shared" si="16"/>
        <v/>
      </c>
      <c r="J384">
        <f t="shared" si="17"/>
        <v>0</v>
      </c>
    </row>
    <row r="385" spans="1:10" x14ac:dyDescent="0.35">
      <c r="A385">
        <v>1384</v>
      </c>
      <c r="B385" s="1">
        <v>45655</v>
      </c>
      <c r="C385" t="s">
        <v>75</v>
      </c>
      <c r="D385">
        <v>50</v>
      </c>
      <c r="E385">
        <v>30</v>
      </c>
      <c r="G385" t="str">
        <f t="shared" si="15"/>
        <v>Active</v>
      </c>
      <c r="H385" s="1" t="str">
        <f t="shared" si="16"/>
        <v/>
      </c>
      <c r="J385">
        <f t="shared" si="17"/>
        <v>0</v>
      </c>
    </row>
    <row r="386" spans="1:10" x14ac:dyDescent="0.35">
      <c r="A386">
        <v>1385</v>
      </c>
      <c r="B386" s="1">
        <v>45331</v>
      </c>
      <c r="C386" t="s">
        <v>75</v>
      </c>
      <c r="D386">
        <v>50</v>
      </c>
      <c r="E386">
        <v>30</v>
      </c>
      <c r="G386" t="str">
        <f t="shared" si="15"/>
        <v>Active</v>
      </c>
      <c r="H386" s="1" t="str">
        <f t="shared" si="16"/>
        <v/>
      </c>
      <c r="J386">
        <f t="shared" si="17"/>
        <v>0</v>
      </c>
    </row>
    <row r="387" spans="1:10" x14ac:dyDescent="0.35">
      <c r="A387">
        <v>1386</v>
      </c>
      <c r="B387" s="1">
        <v>45389</v>
      </c>
      <c r="C387" t="s">
        <v>21</v>
      </c>
      <c r="D387">
        <v>500</v>
      </c>
      <c r="E387">
        <v>200</v>
      </c>
      <c r="F387" s="1">
        <v>45580</v>
      </c>
      <c r="G387" t="str">
        <f t="shared" ref="G387:G450" si="18">IF(F387="","Active","Churned")</f>
        <v>Churned</v>
      </c>
      <c r="H387" s="1">
        <f t="shared" ref="H387:H450" si="19">IF(F387="","",DATE(YEAR(F387),MONTH(F387),1))</f>
        <v>45566</v>
      </c>
      <c r="J387">
        <f t="shared" ref="J387:J450" si="20">IF(G387="Churned",1,0)</f>
        <v>1</v>
      </c>
    </row>
    <row r="388" spans="1:10" x14ac:dyDescent="0.35">
      <c r="A388">
        <v>1387</v>
      </c>
      <c r="B388" s="1">
        <v>45438</v>
      </c>
      <c r="C388" t="s">
        <v>21</v>
      </c>
      <c r="D388">
        <v>500</v>
      </c>
      <c r="E388">
        <v>200</v>
      </c>
      <c r="G388" t="str">
        <f t="shared" si="18"/>
        <v>Active</v>
      </c>
      <c r="H388" s="1" t="str">
        <f t="shared" si="19"/>
        <v/>
      </c>
      <c r="J388">
        <f t="shared" si="20"/>
        <v>0</v>
      </c>
    </row>
    <row r="389" spans="1:10" x14ac:dyDescent="0.35">
      <c r="A389">
        <v>1388</v>
      </c>
      <c r="B389" s="1">
        <v>45401</v>
      </c>
      <c r="C389" t="s">
        <v>75</v>
      </c>
      <c r="D389">
        <v>50</v>
      </c>
      <c r="E389">
        <v>30</v>
      </c>
      <c r="G389" t="str">
        <f t="shared" si="18"/>
        <v>Active</v>
      </c>
      <c r="H389" s="1" t="str">
        <f t="shared" si="19"/>
        <v/>
      </c>
      <c r="J389">
        <f t="shared" si="20"/>
        <v>0</v>
      </c>
    </row>
    <row r="390" spans="1:10" x14ac:dyDescent="0.35">
      <c r="A390">
        <v>1389</v>
      </c>
      <c r="B390" s="1">
        <v>45445</v>
      </c>
      <c r="C390" t="s">
        <v>75</v>
      </c>
      <c r="D390">
        <v>50</v>
      </c>
      <c r="E390">
        <v>30</v>
      </c>
      <c r="G390" t="str">
        <f t="shared" si="18"/>
        <v>Active</v>
      </c>
      <c r="H390" s="1" t="str">
        <f t="shared" si="19"/>
        <v/>
      </c>
      <c r="J390">
        <f t="shared" si="20"/>
        <v>0</v>
      </c>
    </row>
    <row r="391" spans="1:10" x14ac:dyDescent="0.35">
      <c r="A391">
        <v>1390</v>
      </c>
      <c r="B391" s="1">
        <v>45738</v>
      </c>
      <c r="C391" t="s">
        <v>18</v>
      </c>
      <c r="D391">
        <v>200</v>
      </c>
      <c r="E391">
        <v>100</v>
      </c>
      <c r="G391" t="str">
        <f t="shared" si="18"/>
        <v>Active</v>
      </c>
      <c r="H391" s="1" t="str">
        <f t="shared" si="19"/>
        <v/>
      </c>
      <c r="J391">
        <f t="shared" si="20"/>
        <v>0</v>
      </c>
    </row>
    <row r="392" spans="1:10" x14ac:dyDescent="0.35">
      <c r="A392">
        <v>1391</v>
      </c>
      <c r="B392" s="1">
        <v>45679</v>
      </c>
      <c r="C392" t="s">
        <v>18</v>
      </c>
      <c r="D392">
        <v>200</v>
      </c>
      <c r="E392">
        <v>100</v>
      </c>
      <c r="G392" t="str">
        <f t="shared" si="18"/>
        <v>Active</v>
      </c>
      <c r="H392" s="1" t="str">
        <f t="shared" si="19"/>
        <v/>
      </c>
      <c r="J392">
        <f t="shared" si="20"/>
        <v>0</v>
      </c>
    </row>
    <row r="393" spans="1:10" x14ac:dyDescent="0.35">
      <c r="A393">
        <v>1392</v>
      </c>
      <c r="B393" s="1">
        <v>45646</v>
      </c>
      <c r="C393" t="s">
        <v>18</v>
      </c>
      <c r="D393">
        <v>200</v>
      </c>
      <c r="E393">
        <v>100</v>
      </c>
      <c r="G393" t="str">
        <f t="shared" si="18"/>
        <v>Active</v>
      </c>
      <c r="H393" s="1" t="str">
        <f t="shared" si="19"/>
        <v/>
      </c>
      <c r="J393">
        <f t="shared" si="20"/>
        <v>0</v>
      </c>
    </row>
    <row r="394" spans="1:10" x14ac:dyDescent="0.35">
      <c r="A394">
        <v>1393</v>
      </c>
      <c r="B394" s="1">
        <v>45548</v>
      </c>
      <c r="C394" t="s">
        <v>21</v>
      </c>
      <c r="D394">
        <v>500</v>
      </c>
      <c r="E394">
        <v>200</v>
      </c>
      <c r="F394" s="1">
        <v>45775</v>
      </c>
      <c r="G394" t="str">
        <f t="shared" si="18"/>
        <v>Churned</v>
      </c>
      <c r="H394" s="1">
        <f t="shared" si="19"/>
        <v>45748</v>
      </c>
      <c r="J394">
        <f t="shared" si="20"/>
        <v>1</v>
      </c>
    </row>
    <row r="395" spans="1:10" x14ac:dyDescent="0.35">
      <c r="A395">
        <v>1394</v>
      </c>
      <c r="B395" s="1">
        <v>45323</v>
      </c>
      <c r="C395" t="s">
        <v>75</v>
      </c>
      <c r="D395">
        <v>50</v>
      </c>
      <c r="E395">
        <v>30</v>
      </c>
      <c r="G395" t="str">
        <f t="shared" si="18"/>
        <v>Active</v>
      </c>
      <c r="H395" s="1" t="str">
        <f t="shared" si="19"/>
        <v/>
      </c>
      <c r="J395">
        <f t="shared" si="20"/>
        <v>0</v>
      </c>
    </row>
    <row r="396" spans="1:10" x14ac:dyDescent="0.35">
      <c r="A396">
        <v>1395</v>
      </c>
      <c r="B396" s="1">
        <v>45372</v>
      </c>
      <c r="C396" t="s">
        <v>21</v>
      </c>
      <c r="D396">
        <v>500</v>
      </c>
      <c r="E396">
        <v>200</v>
      </c>
      <c r="G396" t="str">
        <f t="shared" si="18"/>
        <v>Active</v>
      </c>
      <c r="H396" s="1" t="str">
        <f t="shared" si="19"/>
        <v/>
      </c>
      <c r="J396">
        <f t="shared" si="20"/>
        <v>0</v>
      </c>
    </row>
    <row r="397" spans="1:10" x14ac:dyDescent="0.35">
      <c r="A397">
        <v>1396</v>
      </c>
      <c r="B397" s="1">
        <v>45481</v>
      </c>
      <c r="C397" t="s">
        <v>21</v>
      </c>
      <c r="D397">
        <v>500</v>
      </c>
      <c r="E397">
        <v>200</v>
      </c>
      <c r="G397" t="str">
        <f t="shared" si="18"/>
        <v>Active</v>
      </c>
      <c r="H397" s="1" t="str">
        <f t="shared" si="19"/>
        <v/>
      </c>
      <c r="J397">
        <f t="shared" si="20"/>
        <v>0</v>
      </c>
    </row>
    <row r="398" spans="1:10" x14ac:dyDescent="0.35">
      <c r="A398">
        <v>1397</v>
      </c>
      <c r="B398" s="1">
        <v>45428</v>
      </c>
      <c r="C398" t="s">
        <v>75</v>
      </c>
      <c r="D398">
        <v>50</v>
      </c>
      <c r="E398">
        <v>30</v>
      </c>
      <c r="F398" s="1">
        <v>45770</v>
      </c>
      <c r="G398" t="str">
        <f t="shared" si="18"/>
        <v>Churned</v>
      </c>
      <c r="H398" s="1">
        <f t="shared" si="19"/>
        <v>45748</v>
      </c>
      <c r="J398">
        <f t="shared" si="20"/>
        <v>1</v>
      </c>
    </row>
    <row r="399" spans="1:10" x14ac:dyDescent="0.35">
      <c r="A399">
        <v>1398</v>
      </c>
      <c r="B399" s="1">
        <v>45361</v>
      </c>
      <c r="C399" t="s">
        <v>18</v>
      </c>
      <c r="D399">
        <v>200</v>
      </c>
      <c r="E399">
        <v>100</v>
      </c>
      <c r="G399" t="str">
        <f t="shared" si="18"/>
        <v>Active</v>
      </c>
      <c r="H399" s="1" t="str">
        <f t="shared" si="19"/>
        <v/>
      </c>
      <c r="J399">
        <f t="shared" si="20"/>
        <v>0</v>
      </c>
    </row>
    <row r="400" spans="1:10" x14ac:dyDescent="0.35">
      <c r="A400">
        <v>1399</v>
      </c>
      <c r="B400" s="1">
        <v>45527</v>
      </c>
      <c r="C400" t="s">
        <v>18</v>
      </c>
      <c r="D400">
        <v>200</v>
      </c>
      <c r="E400">
        <v>100</v>
      </c>
      <c r="G400" t="str">
        <f t="shared" si="18"/>
        <v>Active</v>
      </c>
      <c r="H400" s="1" t="str">
        <f t="shared" si="19"/>
        <v/>
      </c>
      <c r="J400">
        <f t="shared" si="20"/>
        <v>0</v>
      </c>
    </row>
    <row r="401" spans="1:10" x14ac:dyDescent="0.35">
      <c r="A401">
        <v>1400</v>
      </c>
      <c r="B401" s="1">
        <v>45604</v>
      </c>
      <c r="C401" t="s">
        <v>21</v>
      </c>
      <c r="D401">
        <v>500</v>
      </c>
      <c r="E401">
        <v>200</v>
      </c>
      <c r="G401" t="str">
        <f t="shared" si="18"/>
        <v>Active</v>
      </c>
      <c r="H401" s="1" t="str">
        <f t="shared" si="19"/>
        <v/>
      </c>
      <c r="J401">
        <f t="shared" si="20"/>
        <v>0</v>
      </c>
    </row>
    <row r="402" spans="1:10" x14ac:dyDescent="0.35">
      <c r="A402">
        <v>1401</v>
      </c>
      <c r="B402" s="1">
        <v>45671</v>
      </c>
      <c r="C402" t="s">
        <v>21</v>
      </c>
      <c r="D402">
        <v>500</v>
      </c>
      <c r="E402">
        <v>200</v>
      </c>
      <c r="F402" s="1">
        <v>45800</v>
      </c>
      <c r="G402" t="str">
        <f t="shared" si="18"/>
        <v>Churned</v>
      </c>
      <c r="H402" s="1">
        <f t="shared" si="19"/>
        <v>45778</v>
      </c>
      <c r="J402">
        <f t="shared" si="20"/>
        <v>1</v>
      </c>
    </row>
    <row r="403" spans="1:10" x14ac:dyDescent="0.35">
      <c r="A403">
        <v>1402</v>
      </c>
      <c r="B403" s="1">
        <v>45773</v>
      </c>
      <c r="C403" t="s">
        <v>75</v>
      </c>
      <c r="D403">
        <v>50</v>
      </c>
      <c r="E403">
        <v>30</v>
      </c>
      <c r="G403" t="str">
        <f t="shared" si="18"/>
        <v>Active</v>
      </c>
      <c r="H403" s="1" t="str">
        <f t="shared" si="19"/>
        <v/>
      </c>
      <c r="J403">
        <f t="shared" si="20"/>
        <v>0</v>
      </c>
    </row>
    <row r="404" spans="1:10" x14ac:dyDescent="0.35">
      <c r="A404">
        <v>1403</v>
      </c>
      <c r="B404" s="1">
        <v>45721</v>
      </c>
      <c r="C404" t="s">
        <v>18</v>
      </c>
      <c r="D404">
        <v>200</v>
      </c>
      <c r="E404">
        <v>100</v>
      </c>
      <c r="F404" s="1">
        <v>45770</v>
      </c>
      <c r="G404" t="str">
        <f t="shared" si="18"/>
        <v>Churned</v>
      </c>
      <c r="H404" s="1">
        <f t="shared" si="19"/>
        <v>45748</v>
      </c>
      <c r="J404">
        <f t="shared" si="20"/>
        <v>1</v>
      </c>
    </row>
    <row r="405" spans="1:10" x14ac:dyDescent="0.35">
      <c r="A405">
        <v>1404</v>
      </c>
      <c r="B405" s="1">
        <v>45776</v>
      </c>
      <c r="C405" t="s">
        <v>75</v>
      </c>
      <c r="D405">
        <v>50</v>
      </c>
      <c r="E405">
        <v>30</v>
      </c>
      <c r="F405" s="1">
        <v>45809</v>
      </c>
      <c r="G405" t="str">
        <f t="shared" si="18"/>
        <v>Churned</v>
      </c>
      <c r="H405" s="1">
        <f t="shared" si="19"/>
        <v>45809</v>
      </c>
      <c r="J405">
        <f t="shared" si="20"/>
        <v>1</v>
      </c>
    </row>
    <row r="406" spans="1:10" x14ac:dyDescent="0.35">
      <c r="A406">
        <v>1405</v>
      </c>
      <c r="B406" s="1">
        <v>45694</v>
      </c>
      <c r="C406" t="s">
        <v>21</v>
      </c>
      <c r="D406">
        <v>500</v>
      </c>
      <c r="E406">
        <v>200</v>
      </c>
      <c r="G406" t="str">
        <f t="shared" si="18"/>
        <v>Active</v>
      </c>
      <c r="H406" s="1" t="str">
        <f t="shared" si="19"/>
        <v/>
      </c>
      <c r="J406">
        <f t="shared" si="20"/>
        <v>0</v>
      </c>
    </row>
    <row r="407" spans="1:10" x14ac:dyDescent="0.35">
      <c r="A407">
        <v>1406</v>
      </c>
      <c r="B407" s="1">
        <v>45696</v>
      </c>
      <c r="C407" t="s">
        <v>75</v>
      </c>
      <c r="D407">
        <v>50</v>
      </c>
      <c r="E407">
        <v>30</v>
      </c>
      <c r="G407" t="str">
        <f t="shared" si="18"/>
        <v>Active</v>
      </c>
      <c r="H407" s="1" t="str">
        <f t="shared" si="19"/>
        <v/>
      </c>
      <c r="J407">
        <f t="shared" si="20"/>
        <v>0</v>
      </c>
    </row>
    <row r="408" spans="1:10" x14ac:dyDescent="0.35">
      <c r="A408">
        <v>1407</v>
      </c>
      <c r="B408" s="1">
        <v>45603</v>
      </c>
      <c r="C408" t="s">
        <v>21</v>
      </c>
      <c r="D408">
        <v>500</v>
      </c>
      <c r="E408">
        <v>200</v>
      </c>
      <c r="G408" t="str">
        <f t="shared" si="18"/>
        <v>Active</v>
      </c>
      <c r="H408" s="1" t="str">
        <f t="shared" si="19"/>
        <v/>
      </c>
      <c r="J408">
        <f t="shared" si="20"/>
        <v>0</v>
      </c>
    </row>
    <row r="409" spans="1:10" x14ac:dyDescent="0.35">
      <c r="A409">
        <v>1408</v>
      </c>
      <c r="B409" s="1">
        <v>45335</v>
      </c>
      <c r="C409" t="s">
        <v>18</v>
      </c>
      <c r="D409">
        <v>200</v>
      </c>
      <c r="E409">
        <v>100</v>
      </c>
      <c r="G409" t="str">
        <f t="shared" si="18"/>
        <v>Active</v>
      </c>
      <c r="H409" s="1" t="str">
        <f t="shared" si="19"/>
        <v/>
      </c>
      <c r="J409">
        <f t="shared" si="20"/>
        <v>0</v>
      </c>
    </row>
    <row r="410" spans="1:10" x14ac:dyDescent="0.35">
      <c r="A410">
        <v>1409</v>
      </c>
      <c r="B410" s="1">
        <v>45746</v>
      </c>
      <c r="C410" t="s">
        <v>75</v>
      </c>
      <c r="D410">
        <v>50</v>
      </c>
      <c r="E410">
        <v>30</v>
      </c>
      <c r="G410" t="str">
        <f t="shared" si="18"/>
        <v>Active</v>
      </c>
      <c r="H410" s="1" t="str">
        <f t="shared" si="19"/>
        <v/>
      </c>
      <c r="J410">
        <f t="shared" si="20"/>
        <v>0</v>
      </c>
    </row>
    <row r="411" spans="1:10" x14ac:dyDescent="0.35">
      <c r="A411">
        <v>1410</v>
      </c>
      <c r="B411" s="1">
        <v>45834</v>
      </c>
      <c r="C411" t="s">
        <v>18</v>
      </c>
      <c r="D411">
        <v>200</v>
      </c>
      <c r="E411">
        <v>100</v>
      </c>
      <c r="G411" t="str">
        <f t="shared" si="18"/>
        <v>Active</v>
      </c>
      <c r="H411" s="1" t="str">
        <f t="shared" si="19"/>
        <v/>
      </c>
      <c r="J411">
        <f t="shared" si="20"/>
        <v>0</v>
      </c>
    </row>
    <row r="412" spans="1:10" x14ac:dyDescent="0.35">
      <c r="A412">
        <v>1411</v>
      </c>
      <c r="B412" s="1">
        <v>45594</v>
      </c>
      <c r="C412" t="s">
        <v>18</v>
      </c>
      <c r="D412">
        <v>200</v>
      </c>
      <c r="E412">
        <v>100</v>
      </c>
      <c r="G412" t="str">
        <f t="shared" si="18"/>
        <v>Active</v>
      </c>
      <c r="H412" s="1" t="str">
        <f t="shared" si="19"/>
        <v/>
      </c>
      <c r="J412">
        <f t="shared" si="20"/>
        <v>0</v>
      </c>
    </row>
    <row r="413" spans="1:10" x14ac:dyDescent="0.35">
      <c r="A413">
        <v>1412</v>
      </c>
      <c r="B413" s="1">
        <v>45803</v>
      </c>
      <c r="C413" t="s">
        <v>18</v>
      </c>
      <c r="D413">
        <v>200</v>
      </c>
      <c r="E413">
        <v>100</v>
      </c>
      <c r="G413" t="str">
        <f t="shared" si="18"/>
        <v>Active</v>
      </c>
      <c r="H413" s="1" t="str">
        <f t="shared" si="19"/>
        <v/>
      </c>
      <c r="J413">
        <f t="shared" si="20"/>
        <v>0</v>
      </c>
    </row>
    <row r="414" spans="1:10" x14ac:dyDescent="0.35">
      <c r="A414">
        <v>1413</v>
      </c>
      <c r="B414" s="1">
        <v>45350</v>
      </c>
      <c r="C414" t="s">
        <v>18</v>
      </c>
      <c r="D414">
        <v>200</v>
      </c>
      <c r="E414">
        <v>100</v>
      </c>
      <c r="G414" t="str">
        <f t="shared" si="18"/>
        <v>Active</v>
      </c>
      <c r="H414" s="1" t="str">
        <f t="shared" si="19"/>
        <v/>
      </c>
      <c r="J414">
        <f t="shared" si="20"/>
        <v>0</v>
      </c>
    </row>
    <row r="415" spans="1:10" x14ac:dyDescent="0.35">
      <c r="A415">
        <v>1414</v>
      </c>
      <c r="B415" s="1">
        <v>45716</v>
      </c>
      <c r="C415" t="s">
        <v>21</v>
      </c>
      <c r="D415">
        <v>500</v>
      </c>
      <c r="E415">
        <v>200</v>
      </c>
      <c r="F415" s="1">
        <v>45829</v>
      </c>
      <c r="G415" t="str">
        <f t="shared" si="18"/>
        <v>Churned</v>
      </c>
      <c r="H415" s="1">
        <f t="shared" si="19"/>
        <v>45809</v>
      </c>
      <c r="J415">
        <f t="shared" si="20"/>
        <v>1</v>
      </c>
    </row>
    <row r="416" spans="1:10" x14ac:dyDescent="0.35">
      <c r="A416">
        <v>1415</v>
      </c>
      <c r="B416" s="1">
        <v>45715</v>
      </c>
      <c r="C416" t="s">
        <v>75</v>
      </c>
      <c r="D416">
        <v>50</v>
      </c>
      <c r="E416">
        <v>30</v>
      </c>
      <c r="G416" t="str">
        <f t="shared" si="18"/>
        <v>Active</v>
      </c>
      <c r="H416" s="1" t="str">
        <f t="shared" si="19"/>
        <v/>
      </c>
      <c r="J416">
        <f t="shared" si="20"/>
        <v>0</v>
      </c>
    </row>
    <row r="417" spans="1:10" x14ac:dyDescent="0.35">
      <c r="A417">
        <v>1416</v>
      </c>
      <c r="B417" s="1">
        <v>45324</v>
      </c>
      <c r="C417" t="s">
        <v>18</v>
      </c>
      <c r="D417">
        <v>200</v>
      </c>
      <c r="E417">
        <v>100</v>
      </c>
      <c r="G417" t="str">
        <f t="shared" si="18"/>
        <v>Active</v>
      </c>
      <c r="H417" s="1" t="str">
        <f t="shared" si="19"/>
        <v/>
      </c>
      <c r="J417">
        <f t="shared" si="20"/>
        <v>0</v>
      </c>
    </row>
    <row r="418" spans="1:10" x14ac:dyDescent="0.35">
      <c r="A418">
        <v>1417</v>
      </c>
      <c r="B418" s="1">
        <v>45600</v>
      </c>
      <c r="C418" t="s">
        <v>18</v>
      </c>
      <c r="D418">
        <v>200</v>
      </c>
      <c r="E418">
        <v>100</v>
      </c>
      <c r="G418" t="str">
        <f t="shared" si="18"/>
        <v>Active</v>
      </c>
      <c r="H418" s="1" t="str">
        <f t="shared" si="19"/>
        <v/>
      </c>
      <c r="J418">
        <f t="shared" si="20"/>
        <v>0</v>
      </c>
    </row>
    <row r="419" spans="1:10" x14ac:dyDescent="0.35">
      <c r="A419">
        <v>1418</v>
      </c>
      <c r="B419" s="1">
        <v>45778</v>
      </c>
      <c r="C419" t="s">
        <v>18</v>
      </c>
      <c r="D419">
        <v>200</v>
      </c>
      <c r="E419">
        <v>100</v>
      </c>
      <c r="G419" t="str">
        <f t="shared" si="18"/>
        <v>Active</v>
      </c>
      <c r="H419" s="1" t="str">
        <f t="shared" si="19"/>
        <v/>
      </c>
      <c r="J419">
        <f t="shared" si="20"/>
        <v>0</v>
      </c>
    </row>
    <row r="420" spans="1:10" x14ac:dyDescent="0.35">
      <c r="A420">
        <v>1419</v>
      </c>
      <c r="B420" s="1">
        <v>45688</v>
      </c>
      <c r="C420" t="s">
        <v>18</v>
      </c>
      <c r="D420">
        <v>200</v>
      </c>
      <c r="E420">
        <v>100</v>
      </c>
      <c r="F420" s="1">
        <v>45747</v>
      </c>
      <c r="G420" t="str">
        <f t="shared" si="18"/>
        <v>Churned</v>
      </c>
      <c r="H420" s="1">
        <f t="shared" si="19"/>
        <v>45717</v>
      </c>
      <c r="J420">
        <f t="shared" si="20"/>
        <v>1</v>
      </c>
    </row>
    <row r="421" spans="1:10" x14ac:dyDescent="0.35">
      <c r="A421">
        <v>1420</v>
      </c>
      <c r="B421" s="1">
        <v>45572</v>
      </c>
      <c r="C421" t="s">
        <v>75</v>
      </c>
      <c r="D421">
        <v>50</v>
      </c>
      <c r="E421">
        <v>30</v>
      </c>
      <c r="G421" t="str">
        <f t="shared" si="18"/>
        <v>Active</v>
      </c>
      <c r="H421" s="1" t="str">
        <f t="shared" si="19"/>
        <v/>
      </c>
      <c r="J421">
        <f t="shared" si="20"/>
        <v>0</v>
      </c>
    </row>
    <row r="422" spans="1:10" x14ac:dyDescent="0.35">
      <c r="A422">
        <v>1421</v>
      </c>
      <c r="B422" s="1">
        <v>45292</v>
      </c>
      <c r="C422" t="s">
        <v>21</v>
      </c>
      <c r="D422">
        <v>500</v>
      </c>
      <c r="E422">
        <v>200</v>
      </c>
      <c r="G422" t="str">
        <f t="shared" si="18"/>
        <v>Active</v>
      </c>
      <c r="H422" s="1" t="str">
        <f t="shared" si="19"/>
        <v/>
      </c>
      <c r="J422">
        <f t="shared" si="20"/>
        <v>0</v>
      </c>
    </row>
    <row r="423" spans="1:10" x14ac:dyDescent="0.35">
      <c r="A423">
        <v>1422</v>
      </c>
      <c r="B423" s="1">
        <v>45635</v>
      </c>
      <c r="C423" t="s">
        <v>21</v>
      </c>
      <c r="D423">
        <v>500</v>
      </c>
      <c r="E423">
        <v>200</v>
      </c>
      <c r="G423" t="str">
        <f t="shared" si="18"/>
        <v>Active</v>
      </c>
      <c r="H423" s="1" t="str">
        <f t="shared" si="19"/>
        <v/>
      </c>
      <c r="J423">
        <f t="shared" si="20"/>
        <v>0</v>
      </c>
    </row>
    <row r="424" spans="1:10" x14ac:dyDescent="0.35">
      <c r="A424">
        <v>1423</v>
      </c>
      <c r="B424" s="1">
        <v>45486</v>
      </c>
      <c r="C424" t="s">
        <v>75</v>
      </c>
      <c r="D424">
        <v>50</v>
      </c>
      <c r="E424">
        <v>30</v>
      </c>
      <c r="G424" t="str">
        <f t="shared" si="18"/>
        <v>Active</v>
      </c>
      <c r="H424" s="1" t="str">
        <f t="shared" si="19"/>
        <v/>
      </c>
      <c r="J424">
        <f t="shared" si="20"/>
        <v>0</v>
      </c>
    </row>
    <row r="425" spans="1:10" x14ac:dyDescent="0.35">
      <c r="A425">
        <v>1424</v>
      </c>
      <c r="B425" s="1">
        <v>45774</v>
      </c>
      <c r="C425" t="s">
        <v>21</v>
      </c>
      <c r="D425">
        <v>500</v>
      </c>
      <c r="E425">
        <v>200</v>
      </c>
      <c r="F425" s="1">
        <v>45818</v>
      </c>
      <c r="G425" t="str">
        <f t="shared" si="18"/>
        <v>Churned</v>
      </c>
      <c r="H425" s="1">
        <f t="shared" si="19"/>
        <v>45809</v>
      </c>
      <c r="J425">
        <f t="shared" si="20"/>
        <v>1</v>
      </c>
    </row>
    <row r="426" spans="1:10" x14ac:dyDescent="0.35">
      <c r="A426">
        <v>1425</v>
      </c>
      <c r="B426" s="1">
        <v>45527</v>
      </c>
      <c r="C426" t="s">
        <v>21</v>
      </c>
      <c r="D426">
        <v>500</v>
      </c>
      <c r="E426">
        <v>200</v>
      </c>
      <c r="G426" t="str">
        <f t="shared" si="18"/>
        <v>Active</v>
      </c>
      <c r="H426" s="1" t="str">
        <f t="shared" si="19"/>
        <v/>
      </c>
      <c r="J426">
        <f t="shared" si="20"/>
        <v>0</v>
      </c>
    </row>
    <row r="427" spans="1:10" x14ac:dyDescent="0.35">
      <c r="A427">
        <v>1426</v>
      </c>
      <c r="B427" s="1">
        <v>45325</v>
      </c>
      <c r="C427" t="s">
        <v>21</v>
      </c>
      <c r="D427">
        <v>500</v>
      </c>
      <c r="E427">
        <v>200</v>
      </c>
      <c r="G427" t="str">
        <f t="shared" si="18"/>
        <v>Active</v>
      </c>
      <c r="H427" s="1" t="str">
        <f t="shared" si="19"/>
        <v/>
      </c>
      <c r="J427">
        <f t="shared" si="20"/>
        <v>0</v>
      </c>
    </row>
    <row r="428" spans="1:10" x14ac:dyDescent="0.35">
      <c r="A428">
        <v>1427</v>
      </c>
      <c r="B428" s="1">
        <v>45419</v>
      </c>
      <c r="C428" t="s">
        <v>18</v>
      </c>
      <c r="D428">
        <v>200</v>
      </c>
      <c r="E428">
        <v>100</v>
      </c>
      <c r="G428" t="str">
        <f t="shared" si="18"/>
        <v>Active</v>
      </c>
      <c r="H428" s="1" t="str">
        <f t="shared" si="19"/>
        <v/>
      </c>
      <c r="J428">
        <f t="shared" si="20"/>
        <v>0</v>
      </c>
    </row>
    <row r="429" spans="1:10" x14ac:dyDescent="0.35">
      <c r="A429">
        <v>1428</v>
      </c>
      <c r="B429" s="1">
        <v>45456</v>
      </c>
      <c r="C429" t="s">
        <v>21</v>
      </c>
      <c r="D429">
        <v>500</v>
      </c>
      <c r="E429">
        <v>200</v>
      </c>
      <c r="F429" s="1">
        <v>45712</v>
      </c>
      <c r="G429" t="str">
        <f t="shared" si="18"/>
        <v>Churned</v>
      </c>
      <c r="H429" s="1">
        <f t="shared" si="19"/>
        <v>45689</v>
      </c>
      <c r="J429">
        <f t="shared" si="20"/>
        <v>1</v>
      </c>
    </row>
    <row r="430" spans="1:10" x14ac:dyDescent="0.35">
      <c r="A430">
        <v>1429</v>
      </c>
      <c r="B430" s="1">
        <v>45328</v>
      </c>
      <c r="C430" t="s">
        <v>75</v>
      </c>
      <c r="D430">
        <v>50</v>
      </c>
      <c r="E430">
        <v>30</v>
      </c>
      <c r="G430" t="str">
        <f t="shared" si="18"/>
        <v>Active</v>
      </c>
      <c r="H430" s="1" t="str">
        <f t="shared" si="19"/>
        <v/>
      </c>
      <c r="J430">
        <f t="shared" si="20"/>
        <v>0</v>
      </c>
    </row>
    <row r="431" spans="1:10" x14ac:dyDescent="0.35">
      <c r="A431">
        <v>1430</v>
      </c>
      <c r="B431" s="1">
        <v>45568</v>
      </c>
      <c r="C431" t="s">
        <v>75</v>
      </c>
      <c r="D431">
        <v>50</v>
      </c>
      <c r="E431">
        <v>30</v>
      </c>
      <c r="G431" t="str">
        <f t="shared" si="18"/>
        <v>Active</v>
      </c>
      <c r="H431" s="1" t="str">
        <f t="shared" si="19"/>
        <v/>
      </c>
      <c r="J431">
        <f t="shared" si="20"/>
        <v>0</v>
      </c>
    </row>
    <row r="432" spans="1:10" x14ac:dyDescent="0.35">
      <c r="A432">
        <v>1431</v>
      </c>
      <c r="B432" s="1">
        <v>45561</v>
      </c>
      <c r="C432" t="s">
        <v>18</v>
      </c>
      <c r="D432">
        <v>200</v>
      </c>
      <c r="E432">
        <v>100</v>
      </c>
      <c r="G432" t="str">
        <f t="shared" si="18"/>
        <v>Active</v>
      </c>
      <c r="H432" s="1" t="str">
        <f t="shared" si="19"/>
        <v/>
      </c>
      <c r="J432">
        <f t="shared" si="20"/>
        <v>0</v>
      </c>
    </row>
    <row r="433" spans="1:10" x14ac:dyDescent="0.35">
      <c r="A433">
        <v>1432</v>
      </c>
      <c r="B433" s="1">
        <v>45498</v>
      </c>
      <c r="C433" t="s">
        <v>18</v>
      </c>
      <c r="D433">
        <v>200</v>
      </c>
      <c r="E433">
        <v>100</v>
      </c>
      <c r="G433" t="str">
        <f t="shared" si="18"/>
        <v>Active</v>
      </c>
      <c r="H433" s="1" t="str">
        <f t="shared" si="19"/>
        <v/>
      </c>
      <c r="J433">
        <f t="shared" si="20"/>
        <v>0</v>
      </c>
    </row>
    <row r="434" spans="1:10" x14ac:dyDescent="0.35">
      <c r="A434">
        <v>1433</v>
      </c>
      <c r="B434" s="1">
        <v>45802</v>
      </c>
      <c r="C434" t="s">
        <v>18</v>
      </c>
      <c r="D434">
        <v>200</v>
      </c>
      <c r="E434">
        <v>100</v>
      </c>
      <c r="G434" t="str">
        <f t="shared" si="18"/>
        <v>Active</v>
      </c>
      <c r="H434" s="1" t="str">
        <f t="shared" si="19"/>
        <v/>
      </c>
      <c r="J434">
        <f t="shared" si="20"/>
        <v>0</v>
      </c>
    </row>
    <row r="435" spans="1:10" x14ac:dyDescent="0.35">
      <c r="A435">
        <v>1434</v>
      </c>
      <c r="B435" s="1">
        <v>45592</v>
      </c>
      <c r="C435" t="s">
        <v>18</v>
      </c>
      <c r="D435">
        <v>200</v>
      </c>
      <c r="E435">
        <v>100</v>
      </c>
      <c r="G435" t="str">
        <f t="shared" si="18"/>
        <v>Active</v>
      </c>
      <c r="H435" s="1" t="str">
        <f t="shared" si="19"/>
        <v/>
      </c>
      <c r="J435">
        <f t="shared" si="20"/>
        <v>0</v>
      </c>
    </row>
    <row r="436" spans="1:10" x14ac:dyDescent="0.35">
      <c r="A436">
        <v>1435</v>
      </c>
      <c r="B436" s="1">
        <v>45563</v>
      </c>
      <c r="C436" t="s">
        <v>18</v>
      </c>
      <c r="D436">
        <v>200</v>
      </c>
      <c r="E436">
        <v>100</v>
      </c>
      <c r="G436" t="str">
        <f t="shared" si="18"/>
        <v>Active</v>
      </c>
      <c r="H436" s="1" t="str">
        <f t="shared" si="19"/>
        <v/>
      </c>
      <c r="J436">
        <f t="shared" si="20"/>
        <v>0</v>
      </c>
    </row>
    <row r="437" spans="1:10" x14ac:dyDescent="0.35">
      <c r="A437">
        <v>1436</v>
      </c>
      <c r="B437" s="1">
        <v>45651</v>
      </c>
      <c r="C437" t="s">
        <v>21</v>
      </c>
      <c r="D437">
        <v>500</v>
      </c>
      <c r="E437">
        <v>200</v>
      </c>
      <c r="G437" t="str">
        <f t="shared" si="18"/>
        <v>Active</v>
      </c>
      <c r="H437" s="1" t="str">
        <f t="shared" si="19"/>
        <v/>
      </c>
      <c r="J437">
        <f t="shared" si="20"/>
        <v>0</v>
      </c>
    </row>
    <row r="438" spans="1:10" x14ac:dyDescent="0.35">
      <c r="A438">
        <v>1437</v>
      </c>
      <c r="B438" s="1">
        <v>45378</v>
      </c>
      <c r="C438" t="s">
        <v>75</v>
      </c>
      <c r="D438">
        <v>50</v>
      </c>
      <c r="E438">
        <v>30</v>
      </c>
      <c r="G438" t="str">
        <f t="shared" si="18"/>
        <v>Active</v>
      </c>
      <c r="H438" s="1" t="str">
        <f t="shared" si="19"/>
        <v/>
      </c>
      <c r="J438">
        <f t="shared" si="20"/>
        <v>0</v>
      </c>
    </row>
    <row r="439" spans="1:10" x14ac:dyDescent="0.35">
      <c r="A439">
        <v>1438</v>
      </c>
      <c r="B439" s="1">
        <v>45744</v>
      </c>
      <c r="C439" t="s">
        <v>18</v>
      </c>
      <c r="D439">
        <v>200</v>
      </c>
      <c r="E439">
        <v>100</v>
      </c>
      <c r="F439" s="1">
        <v>45801</v>
      </c>
      <c r="G439" t="str">
        <f t="shared" si="18"/>
        <v>Churned</v>
      </c>
      <c r="H439" s="1">
        <f t="shared" si="19"/>
        <v>45778</v>
      </c>
      <c r="J439">
        <f t="shared" si="20"/>
        <v>1</v>
      </c>
    </row>
    <row r="440" spans="1:10" x14ac:dyDescent="0.35">
      <c r="A440">
        <v>1439</v>
      </c>
      <c r="B440" s="1">
        <v>45322</v>
      </c>
      <c r="C440" t="s">
        <v>21</v>
      </c>
      <c r="D440">
        <v>500</v>
      </c>
      <c r="E440">
        <v>200</v>
      </c>
      <c r="G440" t="str">
        <f t="shared" si="18"/>
        <v>Active</v>
      </c>
      <c r="H440" s="1" t="str">
        <f t="shared" si="19"/>
        <v/>
      </c>
      <c r="J440">
        <f t="shared" si="20"/>
        <v>0</v>
      </c>
    </row>
    <row r="441" spans="1:10" x14ac:dyDescent="0.35">
      <c r="A441">
        <v>1440</v>
      </c>
      <c r="B441" s="1">
        <v>45462</v>
      </c>
      <c r="C441" t="s">
        <v>21</v>
      </c>
      <c r="D441">
        <v>500</v>
      </c>
      <c r="E441">
        <v>200</v>
      </c>
      <c r="G441" t="str">
        <f t="shared" si="18"/>
        <v>Active</v>
      </c>
      <c r="H441" s="1" t="str">
        <f t="shared" si="19"/>
        <v/>
      </c>
      <c r="J441">
        <f t="shared" si="20"/>
        <v>0</v>
      </c>
    </row>
    <row r="442" spans="1:10" x14ac:dyDescent="0.35">
      <c r="A442">
        <v>1441</v>
      </c>
      <c r="B442" s="1">
        <v>45321</v>
      </c>
      <c r="C442" t="s">
        <v>18</v>
      </c>
      <c r="D442">
        <v>200</v>
      </c>
      <c r="E442">
        <v>100</v>
      </c>
      <c r="G442" t="str">
        <f t="shared" si="18"/>
        <v>Active</v>
      </c>
      <c r="H442" s="1" t="str">
        <f t="shared" si="19"/>
        <v/>
      </c>
      <c r="J442">
        <f t="shared" si="20"/>
        <v>0</v>
      </c>
    </row>
    <row r="443" spans="1:10" x14ac:dyDescent="0.35">
      <c r="A443">
        <v>1442</v>
      </c>
      <c r="B443" s="1">
        <v>45686</v>
      </c>
      <c r="C443" t="s">
        <v>75</v>
      </c>
      <c r="D443">
        <v>50</v>
      </c>
      <c r="E443">
        <v>30</v>
      </c>
      <c r="F443" s="1">
        <v>45755</v>
      </c>
      <c r="G443" t="str">
        <f t="shared" si="18"/>
        <v>Churned</v>
      </c>
      <c r="H443" s="1">
        <f t="shared" si="19"/>
        <v>45748</v>
      </c>
      <c r="J443">
        <f t="shared" si="20"/>
        <v>1</v>
      </c>
    </row>
    <row r="444" spans="1:10" x14ac:dyDescent="0.35">
      <c r="A444">
        <v>1443</v>
      </c>
      <c r="B444" s="1">
        <v>45696</v>
      </c>
      <c r="C444" t="s">
        <v>21</v>
      </c>
      <c r="D444">
        <v>500</v>
      </c>
      <c r="E444">
        <v>200</v>
      </c>
      <c r="F444" s="1">
        <v>45819</v>
      </c>
      <c r="G444" t="str">
        <f t="shared" si="18"/>
        <v>Churned</v>
      </c>
      <c r="H444" s="1">
        <f t="shared" si="19"/>
        <v>45809</v>
      </c>
      <c r="J444">
        <f t="shared" si="20"/>
        <v>1</v>
      </c>
    </row>
    <row r="445" spans="1:10" x14ac:dyDescent="0.35">
      <c r="A445">
        <v>1444</v>
      </c>
      <c r="B445" s="1">
        <v>45763</v>
      </c>
      <c r="C445" t="s">
        <v>75</v>
      </c>
      <c r="D445">
        <v>50</v>
      </c>
      <c r="E445">
        <v>30</v>
      </c>
      <c r="G445" t="str">
        <f t="shared" si="18"/>
        <v>Active</v>
      </c>
      <c r="H445" s="1" t="str">
        <f t="shared" si="19"/>
        <v/>
      </c>
      <c r="J445">
        <f t="shared" si="20"/>
        <v>0</v>
      </c>
    </row>
    <row r="446" spans="1:10" x14ac:dyDescent="0.35">
      <c r="A446">
        <v>1445</v>
      </c>
      <c r="B446" s="1">
        <v>45663</v>
      </c>
      <c r="C446" t="s">
        <v>18</v>
      </c>
      <c r="D446">
        <v>200</v>
      </c>
      <c r="E446">
        <v>100</v>
      </c>
      <c r="G446" t="str">
        <f t="shared" si="18"/>
        <v>Active</v>
      </c>
      <c r="H446" s="1" t="str">
        <f t="shared" si="19"/>
        <v/>
      </c>
      <c r="J446">
        <f t="shared" si="20"/>
        <v>0</v>
      </c>
    </row>
    <row r="447" spans="1:10" x14ac:dyDescent="0.35">
      <c r="A447">
        <v>1446</v>
      </c>
      <c r="B447" s="1">
        <v>45779</v>
      </c>
      <c r="C447" t="s">
        <v>18</v>
      </c>
      <c r="D447">
        <v>200</v>
      </c>
      <c r="E447">
        <v>100</v>
      </c>
      <c r="G447" t="str">
        <f t="shared" si="18"/>
        <v>Active</v>
      </c>
      <c r="H447" s="1" t="str">
        <f t="shared" si="19"/>
        <v/>
      </c>
      <c r="J447">
        <f t="shared" si="20"/>
        <v>0</v>
      </c>
    </row>
    <row r="448" spans="1:10" x14ac:dyDescent="0.35">
      <c r="A448">
        <v>1447</v>
      </c>
      <c r="B448" s="1">
        <v>45773</v>
      </c>
      <c r="C448" t="s">
        <v>18</v>
      </c>
      <c r="D448">
        <v>200</v>
      </c>
      <c r="E448">
        <v>100</v>
      </c>
      <c r="G448" t="str">
        <f t="shared" si="18"/>
        <v>Active</v>
      </c>
      <c r="H448" s="1" t="str">
        <f t="shared" si="19"/>
        <v/>
      </c>
      <c r="J448">
        <f t="shared" si="20"/>
        <v>0</v>
      </c>
    </row>
    <row r="449" spans="1:10" x14ac:dyDescent="0.35">
      <c r="A449">
        <v>1448</v>
      </c>
      <c r="B449" s="1">
        <v>45473</v>
      </c>
      <c r="C449" t="s">
        <v>18</v>
      </c>
      <c r="D449">
        <v>200</v>
      </c>
      <c r="E449">
        <v>100</v>
      </c>
      <c r="F449" s="1">
        <v>45540</v>
      </c>
      <c r="G449" t="str">
        <f t="shared" si="18"/>
        <v>Churned</v>
      </c>
      <c r="H449" s="1">
        <f t="shared" si="19"/>
        <v>45536</v>
      </c>
      <c r="J449">
        <f t="shared" si="20"/>
        <v>1</v>
      </c>
    </row>
    <row r="450" spans="1:10" x14ac:dyDescent="0.35">
      <c r="A450">
        <v>1449</v>
      </c>
      <c r="B450" s="1">
        <v>45418</v>
      </c>
      <c r="C450" t="s">
        <v>21</v>
      </c>
      <c r="D450">
        <v>500</v>
      </c>
      <c r="E450">
        <v>200</v>
      </c>
      <c r="G450" t="str">
        <f t="shared" si="18"/>
        <v>Active</v>
      </c>
      <c r="H450" s="1" t="str">
        <f t="shared" si="19"/>
        <v/>
      </c>
      <c r="J450">
        <f t="shared" si="20"/>
        <v>0</v>
      </c>
    </row>
    <row r="451" spans="1:10" x14ac:dyDescent="0.35">
      <c r="A451">
        <v>1450</v>
      </c>
      <c r="B451" s="1">
        <v>45372</v>
      </c>
      <c r="C451" t="s">
        <v>75</v>
      </c>
      <c r="D451">
        <v>50</v>
      </c>
      <c r="E451">
        <v>30</v>
      </c>
      <c r="F451" s="1">
        <v>45774</v>
      </c>
      <c r="G451" t="str">
        <f t="shared" ref="G451:G514" si="21">IF(F451="","Active","Churned")</f>
        <v>Churned</v>
      </c>
      <c r="H451" s="1">
        <f t="shared" ref="H451:H514" si="22">IF(F451="","",DATE(YEAR(F451),MONTH(F451),1))</f>
        <v>45748</v>
      </c>
      <c r="J451">
        <f t="shared" ref="J451:J514" si="23">IF(G451="Churned",1,0)</f>
        <v>1</v>
      </c>
    </row>
    <row r="452" spans="1:10" x14ac:dyDescent="0.35">
      <c r="A452">
        <v>1451</v>
      </c>
      <c r="B452" s="1">
        <v>45807</v>
      </c>
      <c r="C452" t="s">
        <v>75</v>
      </c>
      <c r="D452">
        <v>50</v>
      </c>
      <c r="E452">
        <v>30</v>
      </c>
      <c r="G452" t="str">
        <f t="shared" si="21"/>
        <v>Active</v>
      </c>
      <c r="H452" s="1" t="str">
        <f t="shared" si="22"/>
        <v/>
      </c>
      <c r="J452">
        <f t="shared" si="23"/>
        <v>0</v>
      </c>
    </row>
    <row r="453" spans="1:10" x14ac:dyDescent="0.35">
      <c r="A453">
        <v>1452</v>
      </c>
      <c r="B453" s="1">
        <v>45641</v>
      </c>
      <c r="C453" t="s">
        <v>18</v>
      </c>
      <c r="D453">
        <v>200</v>
      </c>
      <c r="E453">
        <v>100</v>
      </c>
      <c r="G453" t="str">
        <f t="shared" si="21"/>
        <v>Active</v>
      </c>
      <c r="H453" s="1" t="str">
        <f t="shared" si="22"/>
        <v/>
      </c>
      <c r="J453">
        <f t="shared" si="23"/>
        <v>0</v>
      </c>
    </row>
    <row r="454" spans="1:10" x14ac:dyDescent="0.35">
      <c r="A454">
        <v>1453</v>
      </c>
      <c r="B454" s="1">
        <v>45771</v>
      </c>
      <c r="C454" t="s">
        <v>21</v>
      </c>
      <c r="D454">
        <v>500</v>
      </c>
      <c r="E454">
        <v>200</v>
      </c>
      <c r="F454" s="1">
        <v>45824</v>
      </c>
      <c r="G454" t="str">
        <f t="shared" si="21"/>
        <v>Churned</v>
      </c>
      <c r="H454" s="1">
        <f t="shared" si="22"/>
        <v>45809</v>
      </c>
      <c r="J454">
        <f t="shared" si="23"/>
        <v>1</v>
      </c>
    </row>
    <row r="455" spans="1:10" x14ac:dyDescent="0.35">
      <c r="A455">
        <v>1454</v>
      </c>
      <c r="B455" s="1">
        <v>45344</v>
      </c>
      <c r="C455" t="s">
        <v>21</v>
      </c>
      <c r="D455">
        <v>500</v>
      </c>
      <c r="E455">
        <v>200</v>
      </c>
      <c r="G455" t="str">
        <f t="shared" si="21"/>
        <v>Active</v>
      </c>
      <c r="H455" s="1" t="str">
        <f t="shared" si="22"/>
        <v/>
      </c>
      <c r="J455">
        <f t="shared" si="23"/>
        <v>0</v>
      </c>
    </row>
    <row r="456" spans="1:10" x14ac:dyDescent="0.35">
      <c r="A456">
        <v>1455</v>
      </c>
      <c r="B456" s="1">
        <v>45614</v>
      </c>
      <c r="C456" t="s">
        <v>21</v>
      </c>
      <c r="D456">
        <v>500</v>
      </c>
      <c r="E456">
        <v>200</v>
      </c>
      <c r="G456" t="str">
        <f t="shared" si="21"/>
        <v>Active</v>
      </c>
      <c r="H456" s="1" t="str">
        <f t="shared" si="22"/>
        <v/>
      </c>
      <c r="J456">
        <f t="shared" si="23"/>
        <v>0</v>
      </c>
    </row>
    <row r="457" spans="1:10" x14ac:dyDescent="0.35">
      <c r="A457">
        <v>1456</v>
      </c>
      <c r="B457" s="1">
        <v>45523</v>
      </c>
      <c r="C457" t="s">
        <v>21</v>
      </c>
      <c r="D457">
        <v>500</v>
      </c>
      <c r="E457">
        <v>200</v>
      </c>
      <c r="G457" t="str">
        <f t="shared" si="21"/>
        <v>Active</v>
      </c>
      <c r="H457" s="1" t="str">
        <f t="shared" si="22"/>
        <v/>
      </c>
      <c r="J457">
        <f t="shared" si="23"/>
        <v>0</v>
      </c>
    </row>
    <row r="458" spans="1:10" x14ac:dyDescent="0.35">
      <c r="A458">
        <v>1457</v>
      </c>
      <c r="B458" s="1">
        <v>45687</v>
      </c>
      <c r="C458" t="s">
        <v>21</v>
      </c>
      <c r="D458">
        <v>500</v>
      </c>
      <c r="E458">
        <v>200</v>
      </c>
      <c r="F458" s="1">
        <v>45811</v>
      </c>
      <c r="G458" t="str">
        <f t="shared" si="21"/>
        <v>Churned</v>
      </c>
      <c r="H458" s="1">
        <f t="shared" si="22"/>
        <v>45809</v>
      </c>
      <c r="J458">
        <f t="shared" si="23"/>
        <v>1</v>
      </c>
    </row>
    <row r="459" spans="1:10" x14ac:dyDescent="0.35">
      <c r="A459">
        <v>1458</v>
      </c>
      <c r="B459" s="1">
        <v>45468</v>
      </c>
      <c r="C459" t="s">
        <v>21</v>
      </c>
      <c r="D459">
        <v>500</v>
      </c>
      <c r="E459">
        <v>200</v>
      </c>
      <c r="G459" t="str">
        <f t="shared" si="21"/>
        <v>Active</v>
      </c>
      <c r="H459" s="1" t="str">
        <f t="shared" si="22"/>
        <v/>
      </c>
      <c r="J459">
        <f t="shared" si="23"/>
        <v>0</v>
      </c>
    </row>
    <row r="460" spans="1:10" x14ac:dyDescent="0.35">
      <c r="A460">
        <v>1459</v>
      </c>
      <c r="B460" s="1">
        <v>45514</v>
      </c>
      <c r="C460" t="s">
        <v>75</v>
      </c>
      <c r="D460">
        <v>50</v>
      </c>
      <c r="E460">
        <v>30</v>
      </c>
      <c r="G460" t="str">
        <f t="shared" si="21"/>
        <v>Active</v>
      </c>
      <c r="H460" s="1" t="str">
        <f t="shared" si="22"/>
        <v/>
      </c>
      <c r="J460">
        <f t="shared" si="23"/>
        <v>0</v>
      </c>
    </row>
    <row r="461" spans="1:10" x14ac:dyDescent="0.35">
      <c r="A461">
        <v>1460</v>
      </c>
      <c r="B461" s="1">
        <v>45358</v>
      </c>
      <c r="C461" t="s">
        <v>75</v>
      </c>
      <c r="D461">
        <v>50</v>
      </c>
      <c r="E461">
        <v>30</v>
      </c>
      <c r="G461" t="str">
        <f t="shared" si="21"/>
        <v>Active</v>
      </c>
      <c r="H461" s="1" t="str">
        <f t="shared" si="22"/>
        <v/>
      </c>
      <c r="J461">
        <f t="shared" si="23"/>
        <v>0</v>
      </c>
    </row>
    <row r="462" spans="1:10" x14ac:dyDescent="0.35">
      <c r="A462">
        <v>1461</v>
      </c>
      <c r="B462" s="1">
        <v>45791</v>
      </c>
      <c r="C462" t="s">
        <v>21</v>
      </c>
      <c r="D462">
        <v>500</v>
      </c>
      <c r="E462">
        <v>200</v>
      </c>
      <c r="G462" t="str">
        <f t="shared" si="21"/>
        <v>Active</v>
      </c>
      <c r="H462" s="1" t="str">
        <f t="shared" si="22"/>
        <v/>
      </c>
      <c r="J462">
        <f t="shared" si="23"/>
        <v>0</v>
      </c>
    </row>
    <row r="463" spans="1:10" x14ac:dyDescent="0.35">
      <c r="A463">
        <v>1462</v>
      </c>
      <c r="B463" s="1">
        <v>45382</v>
      </c>
      <c r="C463" t="s">
        <v>18</v>
      </c>
      <c r="D463">
        <v>200</v>
      </c>
      <c r="E463">
        <v>100</v>
      </c>
      <c r="G463" t="str">
        <f t="shared" si="21"/>
        <v>Active</v>
      </c>
      <c r="H463" s="1" t="str">
        <f t="shared" si="22"/>
        <v/>
      </c>
      <c r="J463">
        <f t="shared" si="23"/>
        <v>0</v>
      </c>
    </row>
    <row r="464" spans="1:10" x14ac:dyDescent="0.35">
      <c r="A464">
        <v>1463</v>
      </c>
      <c r="B464" s="1">
        <v>45522</v>
      </c>
      <c r="C464" t="s">
        <v>18</v>
      </c>
      <c r="D464">
        <v>200</v>
      </c>
      <c r="E464">
        <v>100</v>
      </c>
      <c r="G464" t="str">
        <f t="shared" si="21"/>
        <v>Active</v>
      </c>
      <c r="H464" s="1" t="str">
        <f t="shared" si="22"/>
        <v/>
      </c>
      <c r="J464">
        <f t="shared" si="23"/>
        <v>0</v>
      </c>
    </row>
    <row r="465" spans="1:10" x14ac:dyDescent="0.35">
      <c r="A465">
        <v>1464</v>
      </c>
      <c r="B465" s="1">
        <v>45544</v>
      </c>
      <c r="C465" t="s">
        <v>75</v>
      </c>
      <c r="D465">
        <v>50</v>
      </c>
      <c r="E465">
        <v>30</v>
      </c>
      <c r="G465" t="str">
        <f t="shared" si="21"/>
        <v>Active</v>
      </c>
      <c r="H465" s="1" t="str">
        <f t="shared" si="22"/>
        <v/>
      </c>
      <c r="J465">
        <f t="shared" si="23"/>
        <v>0</v>
      </c>
    </row>
    <row r="466" spans="1:10" x14ac:dyDescent="0.35">
      <c r="A466">
        <v>1465</v>
      </c>
      <c r="B466" s="1">
        <v>45543</v>
      </c>
      <c r="C466" t="s">
        <v>75</v>
      </c>
      <c r="D466">
        <v>50</v>
      </c>
      <c r="E466">
        <v>30</v>
      </c>
      <c r="F466" s="1">
        <v>45624</v>
      </c>
      <c r="G466" t="str">
        <f t="shared" si="21"/>
        <v>Churned</v>
      </c>
      <c r="H466" s="1">
        <f t="shared" si="22"/>
        <v>45597</v>
      </c>
      <c r="J466">
        <f t="shared" si="23"/>
        <v>1</v>
      </c>
    </row>
    <row r="467" spans="1:10" x14ac:dyDescent="0.35">
      <c r="A467">
        <v>1466</v>
      </c>
      <c r="B467" s="1">
        <v>45469</v>
      </c>
      <c r="C467" t="s">
        <v>75</v>
      </c>
      <c r="D467">
        <v>50</v>
      </c>
      <c r="E467">
        <v>30</v>
      </c>
      <c r="G467" t="str">
        <f t="shared" si="21"/>
        <v>Active</v>
      </c>
      <c r="H467" s="1" t="str">
        <f t="shared" si="22"/>
        <v/>
      </c>
      <c r="J467">
        <f t="shared" si="23"/>
        <v>0</v>
      </c>
    </row>
    <row r="468" spans="1:10" x14ac:dyDescent="0.35">
      <c r="A468">
        <v>1467</v>
      </c>
      <c r="B468" s="1">
        <v>45596</v>
      </c>
      <c r="C468" t="s">
        <v>18</v>
      </c>
      <c r="D468">
        <v>200</v>
      </c>
      <c r="E468">
        <v>100</v>
      </c>
      <c r="G468" t="str">
        <f t="shared" si="21"/>
        <v>Active</v>
      </c>
      <c r="H468" s="1" t="str">
        <f t="shared" si="22"/>
        <v/>
      </c>
      <c r="J468">
        <f t="shared" si="23"/>
        <v>0</v>
      </c>
    </row>
    <row r="469" spans="1:10" x14ac:dyDescent="0.35">
      <c r="A469">
        <v>1468</v>
      </c>
      <c r="B469" s="1">
        <v>45750</v>
      </c>
      <c r="C469" t="s">
        <v>21</v>
      </c>
      <c r="D469">
        <v>500</v>
      </c>
      <c r="E469">
        <v>200</v>
      </c>
      <c r="G469" t="str">
        <f t="shared" si="21"/>
        <v>Active</v>
      </c>
      <c r="H469" s="1" t="str">
        <f t="shared" si="22"/>
        <v/>
      </c>
      <c r="J469">
        <f t="shared" si="23"/>
        <v>0</v>
      </c>
    </row>
    <row r="470" spans="1:10" x14ac:dyDescent="0.35">
      <c r="A470">
        <v>1469</v>
      </c>
      <c r="B470" s="1">
        <v>45590</v>
      </c>
      <c r="C470" t="s">
        <v>75</v>
      </c>
      <c r="D470">
        <v>50</v>
      </c>
      <c r="E470">
        <v>30</v>
      </c>
      <c r="G470" t="str">
        <f t="shared" si="21"/>
        <v>Active</v>
      </c>
      <c r="H470" s="1" t="str">
        <f t="shared" si="22"/>
        <v/>
      </c>
      <c r="J470">
        <f t="shared" si="23"/>
        <v>0</v>
      </c>
    </row>
    <row r="471" spans="1:10" x14ac:dyDescent="0.35">
      <c r="A471">
        <v>1470</v>
      </c>
      <c r="B471" s="1">
        <v>45649</v>
      </c>
      <c r="C471" t="s">
        <v>21</v>
      </c>
      <c r="D471">
        <v>500</v>
      </c>
      <c r="E471">
        <v>200</v>
      </c>
      <c r="G471" t="str">
        <f t="shared" si="21"/>
        <v>Active</v>
      </c>
      <c r="H471" s="1" t="str">
        <f t="shared" si="22"/>
        <v/>
      </c>
      <c r="J471">
        <f t="shared" si="23"/>
        <v>0</v>
      </c>
    </row>
    <row r="472" spans="1:10" x14ac:dyDescent="0.35">
      <c r="A472">
        <v>1471</v>
      </c>
      <c r="B472" s="1">
        <v>45310</v>
      </c>
      <c r="C472" t="s">
        <v>18</v>
      </c>
      <c r="D472">
        <v>200</v>
      </c>
      <c r="E472">
        <v>100</v>
      </c>
      <c r="F472" s="1">
        <v>45438</v>
      </c>
      <c r="G472" t="str">
        <f t="shared" si="21"/>
        <v>Churned</v>
      </c>
      <c r="H472" s="1">
        <f t="shared" si="22"/>
        <v>45413</v>
      </c>
      <c r="J472">
        <f t="shared" si="23"/>
        <v>1</v>
      </c>
    </row>
    <row r="473" spans="1:10" x14ac:dyDescent="0.35">
      <c r="A473">
        <v>1472</v>
      </c>
      <c r="B473" s="1">
        <v>45479</v>
      </c>
      <c r="C473" t="s">
        <v>18</v>
      </c>
      <c r="D473">
        <v>200</v>
      </c>
      <c r="E473">
        <v>100</v>
      </c>
      <c r="G473" t="str">
        <f t="shared" si="21"/>
        <v>Active</v>
      </c>
      <c r="H473" s="1" t="str">
        <f t="shared" si="22"/>
        <v/>
      </c>
      <c r="J473">
        <f t="shared" si="23"/>
        <v>0</v>
      </c>
    </row>
    <row r="474" spans="1:10" x14ac:dyDescent="0.35">
      <c r="A474">
        <v>1473</v>
      </c>
      <c r="B474" s="1">
        <v>45373</v>
      </c>
      <c r="C474" t="s">
        <v>75</v>
      </c>
      <c r="D474">
        <v>50</v>
      </c>
      <c r="E474">
        <v>30</v>
      </c>
      <c r="G474" t="str">
        <f t="shared" si="21"/>
        <v>Active</v>
      </c>
      <c r="H474" s="1" t="str">
        <f t="shared" si="22"/>
        <v/>
      </c>
      <c r="J474">
        <f t="shared" si="23"/>
        <v>0</v>
      </c>
    </row>
    <row r="475" spans="1:10" x14ac:dyDescent="0.35">
      <c r="A475">
        <v>1474</v>
      </c>
      <c r="B475" s="1">
        <v>45649</v>
      </c>
      <c r="C475" t="s">
        <v>75</v>
      </c>
      <c r="D475">
        <v>50</v>
      </c>
      <c r="E475">
        <v>30</v>
      </c>
      <c r="G475" t="str">
        <f t="shared" si="21"/>
        <v>Active</v>
      </c>
      <c r="H475" s="1" t="str">
        <f t="shared" si="22"/>
        <v/>
      </c>
      <c r="J475">
        <f t="shared" si="23"/>
        <v>0</v>
      </c>
    </row>
    <row r="476" spans="1:10" x14ac:dyDescent="0.35">
      <c r="A476">
        <v>1475</v>
      </c>
      <c r="B476" s="1">
        <v>45523</v>
      </c>
      <c r="C476" t="s">
        <v>18</v>
      </c>
      <c r="D476">
        <v>200</v>
      </c>
      <c r="E476">
        <v>100</v>
      </c>
      <c r="F476" s="1">
        <v>45743</v>
      </c>
      <c r="G476" t="str">
        <f t="shared" si="21"/>
        <v>Churned</v>
      </c>
      <c r="H476" s="1">
        <f t="shared" si="22"/>
        <v>45717</v>
      </c>
      <c r="J476">
        <f t="shared" si="23"/>
        <v>1</v>
      </c>
    </row>
    <row r="477" spans="1:10" x14ac:dyDescent="0.35">
      <c r="A477">
        <v>1476</v>
      </c>
      <c r="B477" s="1">
        <v>45386</v>
      </c>
      <c r="C477" t="s">
        <v>18</v>
      </c>
      <c r="D477">
        <v>200</v>
      </c>
      <c r="E477">
        <v>100</v>
      </c>
      <c r="G477" t="str">
        <f t="shared" si="21"/>
        <v>Active</v>
      </c>
      <c r="H477" s="1" t="str">
        <f t="shared" si="22"/>
        <v/>
      </c>
      <c r="J477">
        <f t="shared" si="23"/>
        <v>0</v>
      </c>
    </row>
    <row r="478" spans="1:10" x14ac:dyDescent="0.35">
      <c r="A478">
        <v>1477</v>
      </c>
      <c r="B478" s="1">
        <v>45595</v>
      </c>
      <c r="C478" t="s">
        <v>18</v>
      </c>
      <c r="D478">
        <v>200</v>
      </c>
      <c r="E478">
        <v>100</v>
      </c>
      <c r="G478" t="str">
        <f t="shared" si="21"/>
        <v>Active</v>
      </c>
      <c r="H478" s="1" t="str">
        <f t="shared" si="22"/>
        <v/>
      </c>
      <c r="J478">
        <f t="shared" si="23"/>
        <v>0</v>
      </c>
    </row>
    <row r="479" spans="1:10" x14ac:dyDescent="0.35">
      <c r="A479">
        <v>1478</v>
      </c>
      <c r="B479" s="1">
        <v>45368</v>
      </c>
      <c r="C479" t="s">
        <v>18</v>
      </c>
      <c r="D479">
        <v>200</v>
      </c>
      <c r="E479">
        <v>100</v>
      </c>
      <c r="F479" s="1">
        <v>45577</v>
      </c>
      <c r="G479" t="str">
        <f t="shared" si="21"/>
        <v>Churned</v>
      </c>
      <c r="H479" s="1">
        <f t="shared" si="22"/>
        <v>45566</v>
      </c>
      <c r="J479">
        <f t="shared" si="23"/>
        <v>1</v>
      </c>
    </row>
    <row r="480" spans="1:10" x14ac:dyDescent="0.35">
      <c r="A480">
        <v>1479</v>
      </c>
      <c r="B480" s="1">
        <v>45411</v>
      </c>
      <c r="C480" t="s">
        <v>75</v>
      </c>
      <c r="D480">
        <v>50</v>
      </c>
      <c r="E480">
        <v>30</v>
      </c>
      <c r="G480" t="str">
        <f t="shared" si="21"/>
        <v>Active</v>
      </c>
      <c r="H480" s="1" t="str">
        <f t="shared" si="22"/>
        <v/>
      </c>
      <c r="J480">
        <f t="shared" si="23"/>
        <v>0</v>
      </c>
    </row>
    <row r="481" spans="1:10" x14ac:dyDescent="0.35">
      <c r="A481">
        <v>1480</v>
      </c>
      <c r="B481" s="1">
        <v>45750</v>
      </c>
      <c r="C481" t="s">
        <v>21</v>
      </c>
      <c r="D481">
        <v>500</v>
      </c>
      <c r="E481">
        <v>200</v>
      </c>
      <c r="G481" t="str">
        <f t="shared" si="21"/>
        <v>Active</v>
      </c>
      <c r="H481" s="1" t="str">
        <f t="shared" si="22"/>
        <v/>
      </c>
      <c r="J481">
        <f t="shared" si="23"/>
        <v>0</v>
      </c>
    </row>
    <row r="482" spans="1:10" x14ac:dyDescent="0.35">
      <c r="A482">
        <v>1481</v>
      </c>
      <c r="B482" s="1">
        <v>45792</v>
      </c>
      <c r="C482" t="s">
        <v>21</v>
      </c>
      <c r="D482">
        <v>500</v>
      </c>
      <c r="E482">
        <v>200</v>
      </c>
      <c r="G482" t="str">
        <f t="shared" si="21"/>
        <v>Active</v>
      </c>
      <c r="H482" s="1" t="str">
        <f t="shared" si="22"/>
        <v/>
      </c>
      <c r="J482">
        <f t="shared" si="23"/>
        <v>0</v>
      </c>
    </row>
    <row r="483" spans="1:10" x14ac:dyDescent="0.35">
      <c r="A483">
        <v>1482</v>
      </c>
      <c r="B483" s="1">
        <v>45601</v>
      </c>
      <c r="C483" t="s">
        <v>75</v>
      </c>
      <c r="D483">
        <v>50</v>
      </c>
      <c r="E483">
        <v>30</v>
      </c>
      <c r="G483" t="str">
        <f t="shared" si="21"/>
        <v>Active</v>
      </c>
      <c r="H483" s="1" t="str">
        <f t="shared" si="22"/>
        <v/>
      </c>
      <c r="J483">
        <f t="shared" si="23"/>
        <v>0</v>
      </c>
    </row>
    <row r="484" spans="1:10" x14ac:dyDescent="0.35">
      <c r="A484">
        <v>1483</v>
      </c>
      <c r="B484" s="1">
        <v>45646</v>
      </c>
      <c r="C484" t="s">
        <v>18</v>
      </c>
      <c r="D484">
        <v>200</v>
      </c>
      <c r="E484">
        <v>100</v>
      </c>
      <c r="G484" t="str">
        <f t="shared" si="21"/>
        <v>Active</v>
      </c>
      <c r="H484" s="1" t="str">
        <f t="shared" si="22"/>
        <v/>
      </c>
      <c r="J484">
        <f t="shared" si="23"/>
        <v>0</v>
      </c>
    </row>
    <row r="485" spans="1:10" x14ac:dyDescent="0.35">
      <c r="A485">
        <v>1484</v>
      </c>
      <c r="B485" s="1">
        <v>45748</v>
      </c>
      <c r="C485" t="s">
        <v>75</v>
      </c>
      <c r="D485">
        <v>50</v>
      </c>
      <c r="E485">
        <v>30</v>
      </c>
      <c r="G485" t="str">
        <f t="shared" si="21"/>
        <v>Active</v>
      </c>
      <c r="H485" s="1" t="str">
        <f t="shared" si="22"/>
        <v/>
      </c>
      <c r="J485">
        <f t="shared" si="23"/>
        <v>0</v>
      </c>
    </row>
    <row r="486" spans="1:10" x14ac:dyDescent="0.35">
      <c r="A486">
        <v>1485</v>
      </c>
      <c r="B486" s="1">
        <v>45327</v>
      </c>
      <c r="C486" t="s">
        <v>18</v>
      </c>
      <c r="D486">
        <v>200</v>
      </c>
      <c r="E486">
        <v>100</v>
      </c>
      <c r="G486" t="str">
        <f t="shared" si="21"/>
        <v>Active</v>
      </c>
      <c r="H486" s="1" t="str">
        <f t="shared" si="22"/>
        <v/>
      </c>
      <c r="J486">
        <f t="shared" si="23"/>
        <v>0</v>
      </c>
    </row>
    <row r="487" spans="1:10" x14ac:dyDescent="0.35">
      <c r="A487">
        <v>1486</v>
      </c>
      <c r="B487" s="1">
        <v>45538</v>
      </c>
      <c r="C487" t="s">
        <v>18</v>
      </c>
      <c r="D487">
        <v>200</v>
      </c>
      <c r="E487">
        <v>100</v>
      </c>
      <c r="G487" t="str">
        <f t="shared" si="21"/>
        <v>Active</v>
      </c>
      <c r="H487" s="1" t="str">
        <f t="shared" si="22"/>
        <v/>
      </c>
      <c r="J487">
        <f t="shared" si="23"/>
        <v>0</v>
      </c>
    </row>
    <row r="488" spans="1:10" x14ac:dyDescent="0.35">
      <c r="A488">
        <v>1487</v>
      </c>
      <c r="B488" s="1">
        <v>45411</v>
      </c>
      <c r="C488" t="s">
        <v>18</v>
      </c>
      <c r="D488">
        <v>200</v>
      </c>
      <c r="E488">
        <v>100</v>
      </c>
      <c r="G488" t="str">
        <f t="shared" si="21"/>
        <v>Active</v>
      </c>
      <c r="H488" s="1" t="str">
        <f t="shared" si="22"/>
        <v/>
      </c>
      <c r="J488">
        <f t="shared" si="23"/>
        <v>0</v>
      </c>
    </row>
    <row r="489" spans="1:10" x14ac:dyDescent="0.35">
      <c r="A489">
        <v>1488</v>
      </c>
      <c r="B489" s="1">
        <v>45300</v>
      </c>
      <c r="C489" t="s">
        <v>21</v>
      </c>
      <c r="D489">
        <v>500</v>
      </c>
      <c r="E489">
        <v>200</v>
      </c>
      <c r="G489" t="str">
        <f t="shared" si="21"/>
        <v>Active</v>
      </c>
      <c r="H489" s="1" t="str">
        <f t="shared" si="22"/>
        <v/>
      </c>
      <c r="J489">
        <f t="shared" si="23"/>
        <v>0</v>
      </c>
    </row>
    <row r="490" spans="1:10" x14ac:dyDescent="0.35">
      <c r="A490">
        <v>1489</v>
      </c>
      <c r="B490" s="1">
        <v>45458</v>
      </c>
      <c r="C490" t="s">
        <v>18</v>
      </c>
      <c r="D490">
        <v>200</v>
      </c>
      <c r="E490">
        <v>100</v>
      </c>
      <c r="G490" t="str">
        <f t="shared" si="21"/>
        <v>Active</v>
      </c>
      <c r="H490" s="1" t="str">
        <f t="shared" si="22"/>
        <v/>
      </c>
      <c r="J490">
        <f t="shared" si="23"/>
        <v>0</v>
      </c>
    </row>
    <row r="491" spans="1:10" x14ac:dyDescent="0.35">
      <c r="A491">
        <v>1490</v>
      </c>
      <c r="B491" s="1">
        <v>45436</v>
      </c>
      <c r="C491" t="s">
        <v>18</v>
      </c>
      <c r="D491">
        <v>200</v>
      </c>
      <c r="E491">
        <v>100</v>
      </c>
      <c r="G491" t="str">
        <f t="shared" si="21"/>
        <v>Active</v>
      </c>
      <c r="H491" s="1" t="str">
        <f t="shared" si="22"/>
        <v/>
      </c>
      <c r="J491">
        <f t="shared" si="23"/>
        <v>0</v>
      </c>
    </row>
    <row r="492" spans="1:10" x14ac:dyDescent="0.35">
      <c r="A492">
        <v>1491</v>
      </c>
      <c r="B492" s="1">
        <v>45472</v>
      </c>
      <c r="C492" t="s">
        <v>18</v>
      </c>
      <c r="D492">
        <v>200</v>
      </c>
      <c r="E492">
        <v>100</v>
      </c>
      <c r="G492" t="str">
        <f t="shared" si="21"/>
        <v>Active</v>
      </c>
      <c r="H492" s="1" t="str">
        <f t="shared" si="22"/>
        <v/>
      </c>
      <c r="J492">
        <f t="shared" si="23"/>
        <v>0</v>
      </c>
    </row>
    <row r="493" spans="1:10" x14ac:dyDescent="0.35">
      <c r="A493">
        <v>1492</v>
      </c>
      <c r="B493" s="1">
        <v>45388</v>
      </c>
      <c r="C493" t="s">
        <v>18</v>
      </c>
      <c r="D493">
        <v>200</v>
      </c>
      <c r="E493">
        <v>100</v>
      </c>
      <c r="G493" t="str">
        <f t="shared" si="21"/>
        <v>Active</v>
      </c>
      <c r="H493" s="1" t="str">
        <f t="shared" si="22"/>
        <v/>
      </c>
      <c r="J493">
        <f t="shared" si="23"/>
        <v>0</v>
      </c>
    </row>
    <row r="494" spans="1:10" x14ac:dyDescent="0.35">
      <c r="A494">
        <v>1493</v>
      </c>
      <c r="B494" s="1">
        <v>45789</v>
      </c>
      <c r="C494" t="s">
        <v>21</v>
      </c>
      <c r="D494">
        <v>500</v>
      </c>
      <c r="E494">
        <v>200</v>
      </c>
      <c r="G494" t="str">
        <f t="shared" si="21"/>
        <v>Active</v>
      </c>
      <c r="H494" s="1" t="str">
        <f t="shared" si="22"/>
        <v/>
      </c>
      <c r="J494">
        <f t="shared" si="23"/>
        <v>0</v>
      </c>
    </row>
    <row r="495" spans="1:10" x14ac:dyDescent="0.35">
      <c r="A495">
        <v>1494</v>
      </c>
      <c r="B495" s="1">
        <v>45645</v>
      </c>
      <c r="C495" t="s">
        <v>21</v>
      </c>
      <c r="D495">
        <v>500</v>
      </c>
      <c r="E495">
        <v>200</v>
      </c>
      <c r="G495" t="str">
        <f t="shared" si="21"/>
        <v>Active</v>
      </c>
      <c r="H495" s="1" t="str">
        <f t="shared" si="22"/>
        <v/>
      </c>
      <c r="J495">
        <f t="shared" si="23"/>
        <v>0</v>
      </c>
    </row>
    <row r="496" spans="1:10" x14ac:dyDescent="0.35">
      <c r="A496">
        <v>1495</v>
      </c>
      <c r="B496" s="1">
        <v>45524</v>
      </c>
      <c r="C496" t="s">
        <v>75</v>
      </c>
      <c r="D496">
        <v>50</v>
      </c>
      <c r="E496">
        <v>30</v>
      </c>
      <c r="G496" t="str">
        <f t="shared" si="21"/>
        <v>Active</v>
      </c>
      <c r="H496" s="1" t="str">
        <f t="shared" si="22"/>
        <v/>
      </c>
      <c r="J496">
        <f t="shared" si="23"/>
        <v>0</v>
      </c>
    </row>
    <row r="497" spans="1:10" x14ac:dyDescent="0.35">
      <c r="A497">
        <v>1496</v>
      </c>
      <c r="B497" s="1">
        <v>45328</v>
      </c>
      <c r="C497" t="s">
        <v>75</v>
      </c>
      <c r="D497">
        <v>50</v>
      </c>
      <c r="E497">
        <v>30</v>
      </c>
      <c r="G497" t="str">
        <f t="shared" si="21"/>
        <v>Active</v>
      </c>
      <c r="H497" s="1" t="str">
        <f t="shared" si="22"/>
        <v/>
      </c>
      <c r="J497">
        <f t="shared" si="23"/>
        <v>0</v>
      </c>
    </row>
    <row r="498" spans="1:10" x14ac:dyDescent="0.35">
      <c r="A498">
        <v>1497</v>
      </c>
      <c r="B498" s="1">
        <v>45406</v>
      </c>
      <c r="C498" t="s">
        <v>75</v>
      </c>
      <c r="D498">
        <v>50</v>
      </c>
      <c r="E498">
        <v>30</v>
      </c>
      <c r="G498" t="str">
        <f t="shared" si="21"/>
        <v>Active</v>
      </c>
      <c r="H498" s="1" t="str">
        <f t="shared" si="22"/>
        <v/>
      </c>
      <c r="J498">
        <f t="shared" si="23"/>
        <v>0</v>
      </c>
    </row>
    <row r="499" spans="1:10" x14ac:dyDescent="0.35">
      <c r="A499">
        <v>1498</v>
      </c>
      <c r="B499" s="1">
        <v>45697</v>
      </c>
      <c r="C499" t="s">
        <v>18</v>
      </c>
      <c r="D499">
        <v>200</v>
      </c>
      <c r="E499">
        <v>100</v>
      </c>
      <c r="G499" t="str">
        <f t="shared" si="21"/>
        <v>Active</v>
      </c>
      <c r="H499" s="1" t="str">
        <f t="shared" si="22"/>
        <v/>
      </c>
      <c r="J499">
        <f t="shared" si="23"/>
        <v>0</v>
      </c>
    </row>
    <row r="500" spans="1:10" x14ac:dyDescent="0.35">
      <c r="A500">
        <v>1499</v>
      </c>
      <c r="B500" s="1">
        <v>45765</v>
      </c>
      <c r="C500" t="s">
        <v>21</v>
      </c>
      <c r="D500">
        <v>500</v>
      </c>
      <c r="E500">
        <v>200</v>
      </c>
      <c r="G500" t="str">
        <f t="shared" si="21"/>
        <v>Active</v>
      </c>
      <c r="H500" s="1" t="str">
        <f t="shared" si="22"/>
        <v/>
      </c>
      <c r="J500">
        <f t="shared" si="23"/>
        <v>0</v>
      </c>
    </row>
    <row r="501" spans="1:10" x14ac:dyDescent="0.35">
      <c r="A501">
        <v>1500</v>
      </c>
      <c r="B501" s="1">
        <v>45317</v>
      </c>
      <c r="C501" t="s">
        <v>75</v>
      </c>
      <c r="D501">
        <v>50</v>
      </c>
      <c r="E501">
        <v>30</v>
      </c>
      <c r="G501" t="str">
        <f t="shared" si="21"/>
        <v>Active</v>
      </c>
      <c r="H501" s="1" t="str">
        <f t="shared" si="22"/>
        <v/>
      </c>
      <c r="J501">
        <f t="shared" si="23"/>
        <v>0</v>
      </c>
    </row>
    <row r="502" spans="1:10" x14ac:dyDescent="0.35">
      <c r="A502">
        <v>1501</v>
      </c>
      <c r="B502" s="1">
        <v>45729</v>
      </c>
      <c r="C502" t="s">
        <v>21</v>
      </c>
      <c r="D502">
        <v>500</v>
      </c>
      <c r="E502">
        <v>200</v>
      </c>
      <c r="F502" s="1">
        <v>45796</v>
      </c>
      <c r="G502" t="str">
        <f t="shared" si="21"/>
        <v>Churned</v>
      </c>
      <c r="H502" s="1">
        <f t="shared" si="22"/>
        <v>45778</v>
      </c>
      <c r="J502">
        <f t="shared" si="23"/>
        <v>1</v>
      </c>
    </row>
    <row r="503" spans="1:10" x14ac:dyDescent="0.35">
      <c r="A503">
        <v>1502</v>
      </c>
      <c r="B503" s="1">
        <v>45784</v>
      </c>
      <c r="C503" t="s">
        <v>75</v>
      </c>
      <c r="D503">
        <v>50</v>
      </c>
      <c r="E503">
        <v>30</v>
      </c>
      <c r="G503" t="str">
        <f t="shared" si="21"/>
        <v>Active</v>
      </c>
      <c r="H503" s="1" t="str">
        <f t="shared" si="22"/>
        <v/>
      </c>
      <c r="J503">
        <f t="shared" si="23"/>
        <v>0</v>
      </c>
    </row>
    <row r="504" spans="1:10" x14ac:dyDescent="0.35">
      <c r="A504">
        <v>1503</v>
      </c>
      <c r="B504" s="1">
        <v>45540</v>
      </c>
      <c r="C504" t="s">
        <v>75</v>
      </c>
      <c r="D504">
        <v>50</v>
      </c>
      <c r="E504">
        <v>30</v>
      </c>
      <c r="G504" t="str">
        <f t="shared" si="21"/>
        <v>Active</v>
      </c>
      <c r="H504" s="1" t="str">
        <f t="shared" si="22"/>
        <v/>
      </c>
      <c r="J504">
        <f t="shared" si="23"/>
        <v>0</v>
      </c>
    </row>
    <row r="505" spans="1:10" x14ac:dyDescent="0.35">
      <c r="A505">
        <v>1504</v>
      </c>
      <c r="B505" s="1">
        <v>45419</v>
      </c>
      <c r="C505" t="s">
        <v>18</v>
      </c>
      <c r="D505">
        <v>200</v>
      </c>
      <c r="E505">
        <v>100</v>
      </c>
      <c r="G505" t="str">
        <f t="shared" si="21"/>
        <v>Active</v>
      </c>
      <c r="H505" s="1" t="str">
        <f t="shared" si="22"/>
        <v/>
      </c>
      <c r="J505">
        <f t="shared" si="23"/>
        <v>0</v>
      </c>
    </row>
    <row r="506" spans="1:10" x14ac:dyDescent="0.35">
      <c r="A506">
        <v>1505</v>
      </c>
      <c r="B506" s="1">
        <v>45663</v>
      </c>
      <c r="C506" t="s">
        <v>18</v>
      </c>
      <c r="D506">
        <v>200</v>
      </c>
      <c r="E506">
        <v>100</v>
      </c>
      <c r="G506" t="str">
        <f t="shared" si="21"/>
        <v>Active</v>
      </c>
      <c r="H506" s="1" t="str">
        <f t="shared" si="22"/>
        <v/>
      </c>
      <c r="J506">
        <f t="shared" si="23"/>
        <v>0</v>
      </c>
    </row>
    <row r="507" spans="1:10" x14ac:dyDescent="0.35">
      <c r="A507">
        <v>1506</v>
      </c>
      <c r="B507" s="1">
        <v>45522</v>
      </c>
      <c r="C507" t="s">
        <v>75</v>
      </c>
      <c r="D507">
        <v>50</v>
      </c>
      <c r="E507">
        <v>30</v>
      </c>
      <c r="G507" t="str">
        <f t="shared" si="21"/>
        <v>Active</v>
      </c>
      <c r="H507" s="1" t="str">
        <f t="shared" si="22"/>
        <v/>
      </c>
      <c r="J507">
        <f t="shared" si="23"/>
        <v>0</v>
      </c>
    </row>
    <row r="508" spans="1:10" x14ac:dyDescent="0.35">
      <c r="A508">
        <v>1507</v>
      </c>
      <c r="B508" s="1">
        <v>45577</v>
      </c>
      <c r="C508" t="s">
        <v>21</v>
      </c>
      <c r="D508">
        <v>500</v>
      </c>
      <c r="E508">
        <v>200</v>
      </c>
      <c r="G508" t="str">
        <f t="shared" si="21"/>
        <v>Active</v>
      </c>
      <c r="H508" s="1" t="str">
        <f t="shared" si="22"/>
        <v/>
      </c>
      <c r="J508">
        <f t="shared" si="23"/>
        <v>0</v>
      </c>
    </row>
    <row r="509" spans="1:10" x14ac:dyDescent="0.35">
      <c r="A509">
        <v>1508</v>
      </c>
      <c r="B509" s="1">
        <v>45574</v>
      </c>
      <c r="C509" t="s">
        <v>18</v>
      </c>
      <c r="D509">
        <v>200</v>
      </c>
      <c r="E509">
        <v>100</v>
      </c>
      <c r="G509" t="str">
        <f t="shared" si="21"/>
        <v>Active</v>
      </c>
      <c r="H509" s="1" t="str">
        <f t="shared" si="22"/>
        <v/>
      </c>
      <c r="J509">
        <f t="shared" si="23"/>
        <v>0</v>
      </c>
    </row>
    <row r="510" spans="1:10" x14ac:dyDescent="0.35">
      <c r="A510">
        <v>1509</v>
      </c>
      <c r="B510" s="1">
        <v>45573</v>
      </c>
      <c r="C510" t="s">
        <v>21</v>
      </c>
      <c r="D510">
        <v>500</v>
      </c>
      <c r="E510">
        <v>200</v>
      </c>
      <c r="G510" t="str">
        <f t="shared" si="21"/>
        <v>Active</v>
      </c>
      <c r="H510" s="1" t="str">
        <f t="shared" si="22"/>
        <v/>
      </c>
      <c r="J510">
        <f t="shared" si="23"/>
        <v>0</v>
      </c>
    </row>
    <row r="511" spans="1:10" x14ac:dyDescent="0.35">
      <c r="A511">
        <v>1510</v>
      </c>
      <c r="B511" s="1">
        <v>45300</v>
      </c>
      <c r="C511" t="s">
        <v>21</v>
      </c>
      <c r="D511">
        <v>500</v>
      </c>
      <c r="E511">
        <v>200</v>
      </c>
      <c r="F511" s="1">
        <v>45616</v>
      </c>
      <c r="G511" t="str">
        <f t="shared" si="21"/>
        <v>Churned</v>
      </c>
      <c r="H511" s="1">
        <f t="shared" si="22"/>
        <v>45597</v>
      </c>
      <c r="J511">
        <f t="shared" si="23"/>
        <v>1</v>
      </c>
    </row>
    <row r="512" spans="1:10" x14ac:dyDescent="0.35">
      <c r="A512">
        <v>1511</v>
      </c>
      <c r="B512" s="1">
        <v>45372</v>
      </c>
      <c r="C512" t="s">
        <v>18</v>
      </c>
      <c r="D512">
        <v>200</v>
      </c>
      <c r="E512">
        <v>100</v>
      </c>
      <c r="G512" t="str">
        <f t="shared" si="21"/>
        <v>Active</v>
      </c>
      <c r="H512" s="1" t="str">
        <f t="shared" si="22"/>
        <v/>
      </c>
      <c r="J512">
        <f t="shared" si="23"/>
        <v>0</v>
      </c>
    </row>
    <row r="513" spans="1:10" x14ac:dyDescent="0.35">
      <c r="A513">
        <v>1512</v>
      </c>
      <c r="B513" s="1">
        <v>45417</v>
      </c>
      <c r="C513" t="s">
        <v>18</v>
      </c>
      <c r="D513">
        <v>200</v>
      </c>
      <c r="E513">
        <v>100</v>
      </c>
      <c r="G513" t="str">
        <f t="shared" si="21"/>
        <v>Active</v>
      </c>
      <c r="H513" s="1" t="str">
        <f t="shared" si="22"/>
        <v/>
      </c>
      <c r="J513">
        <f t="shared" si="23"/>
        <v>0</v>
      </c>
    </row>
    <row r="514" spans="1:10" x14ac:dyDescent="0.35">
      <c r="A514">
        <v>1513</v>
      </c>
      <c r="B514" s="1">
        <v>45484</v>
      </c>
      <c r="C514" t="s">
        <v>18</v>
      </c>
      <c r="D514">
        <v>200</v>
      </c>
      <c r="E514">
        <v>100</v>
      </c>
      <c r="G514" t="str">
        <f t="shared" si="21"/>
        <v>Active</v>
      </c>
      <c r="H514" s="1" t="str">
        <f t="shared" si="22"/>
        <v/>
      </c>
      <c r="J514">
        <f t="shared" si="23"/>
        <v>0</v>
      </c>
    </row>
    <row r="515" spans="1:10" x14ac:dyDescent="0.35">
      <c r="A515">
        <v>1514</v>
      </c>
      <c r="B515" s="1">
        <v>45747</v>
      </c>
      <c r="C515" t="s">
        <v>18</v>
      </c>
      <c r="D515">
        <v>200</v>
      </c>
      <c r="E515">
        <v>100</v>
      </c>
      <c r="G515" t="str">
        <f t="shared" ref="G515:G578" si="24">IF(F515="","Active","Churned")</f>
        <v>Active</v>
      </c>
      <c r="H515" s="1" t="str">
        <f t="shared" ref="H515:H578" si="25">IF(F515="","",DATE(YEAR(F515),MONTH(F515),1))</f>
        <v/>
      </c>
      <c r="J515">
        <f t="shared" ref="J515:J578" si="26">IF(G515="Churned",1,0)</f>
        <v>0</v>
      </c>
    </row>
    <row r="516" spans="1:10" x14ac:dyDescent="0.35">
      <c r="A516">
        <v>1515</v>
      </c>
      <c r="B516" s="1">
        <v>45750</v>
      </c>
      <c r="C516" t="s">
        <v>21</v>
      </c>
      <c r="D516">
        <v>500</v>
      </c>
      <c r="E516">
        <v>200</v>
      </c>
      <c r="G516" t="str">
        <f t="shared" si="24"/>
        <v>Active</v>
      </c>
      <c r="H516" s="1" t="str">
        <f t="shared" si="25"/>
        <v/>
      </c>
      <c r="J516">
        <f t="shared" si="26"/>
        <v>0</v>
      </c>
    </row>
    <row r="517" spans="1:10" x14ac:dyDescent="0.35">
      <c r="A517">
        <v>1516</v>
      </c>
      <c r="B517" s="1">
        <v>45650</v>
      </c>
      <c r="C517" t="s">
        <v>21</v>
      </c>
      <c r="D517">
        <v>500</v>
      </c>
      <c r="E517">
        <v>200</v>
      </c>
      <c r="G517" t="str">
        <f t="shared" si="24"/>
        <v>Active</v>
      </c>
      <c r="H517" s="1" t="str">
        <f t="shared" si="25"/>
        <v/>
      </c>
      <c r="J517">
        <f t="shared" si="26"/>
        <v>0</v>
      </c>
    </row>
    <row r="518" spans="1:10" x14ac:dyDescent="0.35">
      <c r="A518">
        <v>1517</v>
      </c>
      <c r="B518" s="1">
        <v>45363</v>
      </c>
      <c r="C518" t="s">
        <v>75</v>
      </c>
      <c r="D518">
        <v>50</v>
      </c>
      <c r="E518">
        <v>30</v>
      </c>
      <c r="G518" t="str">
        <f t="shared" si="24"/>
        <v>Active</v>
      </c>
      <c r="H518" s="1" t="str">
        <f t="shared" si="25"/>
        <v/>
      </c>
      <c r="J518">
        <f t="shared" si="26"/>
        <v>0</v>
      </c>
    </row>
    <row r="519" spans="1:10" x14ac:dyDescent="0.35">
      <c r="A519">
        <v>1518</v>
      </c>
      <c r="B519" s="1">
        <v>45354</v>
      </c>
      <c r="C519" t="s">
        <v>75</v>
      </c>
      <c r="D519">
        <v>50</v>
      </c>
      <c r="E519">
        <v>30</v>
      </c>
      <c r="G519" t="str">
        <f t="shared" si="24"/>
        <v>Active</v>
      </c>
      <c r="H519" s="1" t="str">
        <f t="shared" si="25"/>
        <v/>
      </c>
      <c r="J519">
        <f t="shared" si="26"/>
        <v>0</v>
      </c>
    </row>
    <row r="520" spans="1:10" x14ac:dyDescent="0.35">
      <c r="A520">
        <v>1519</v>
      </c>
      <c r="B520" s="1">
        <v>45337</v>
      </c>
      <c r="C520" t="s">
        <v>21</v>
      </c>
      <c r="D520">
        <v>500</v>
      </c>
      <c r="E520">
        <v>200</v>
      </c>
      <c r="F520" s="1">
        <v>45811</v>
      </c>
      <c r="G520" t="str">
        <f t="shared" si="24"/>
        <v>Churned</v>
      </c>
      <c r="H520" s="1">
        <f t="shared" si="25"/>
        <v>45809</v>
      </c>
      <c r="J520">
        <f t="shared" si="26"/>
        <v>1</v>
      </c>
    </row>
    <row r="521" spans="1:10" x14ac:dyDescent="0.35">
      <c r="A521">
        <v>1520</v>
      </c>
      <c r="B521" s="1">
        <v>45413</v>
      </c>
      <c r="C521" t="s">
        <v>75</v>
      </c>
      <c r="D521">
        <v>50</v>
      </c>
      <c r="E521">
        <v>30</v>
      </c>
      <c r="G521" t="str">
        <f t="shared" si="24"/>
        <v>Active</v>
      </c>
      <c r="H521" s="1" t="str">
        <f t="shared" si="25"/>
        <v/>
      </c>
      <c r="J521">
        <f t="shared" si="26"/>
        <v>0</v>
      </c>
    </row>
    <row r="522" spans="1:10" x14ac:dyDescent="0.35">
      <c r="A522">
        <v>1521</v>
      </c>
      <c r="B522" s="1">
        <v>45595</v>
      </c>
      <c r="C522" t="s">
        <v>18</v>
      </c>
      <c r="D522">
        <v>200</v>
      </c>
      <c r="E522">
        <v>100</v>
      </c>
      <c r="G522" t="str">
        <f t="shared" si="24"/>
        <v>Active</v>
      </c>
      <c r="H522" s="1" t="str">
        <f t="shared" si="25"/>
        <v/>
      </c>
      <c r="J522">
        <f t="shared" si="26"/>
        <v>0</v>
      </c>
    </row>
    <row r="523" spans="1:10" x14ac:dyDescent="0.35">
      <c r="A523">
        <v>1522</v>
      </c>
      <c r="B523" s="1">
        <v>45421</v>
      </c>
      <c r="C523" t="s">
        <v>18</v>
      </c>
      <c r="D523">
        <v>200</v>
      </c>
      <c r="E523">
        <v>100</v>
      </c>
      <c r="G523" t="str">
        <f t="shared" si="24"/>
        <v>Active</v>
      </c>
      <c r="H523" s="1" t="str">
        <f t="shared" si="25"/>
        <v/>
      </c>
      <c r="J523">
        <f t="shared" si="26"/>
        <v>0</v>
      </c>
    </row>
    <row r="524" spans="1:10" x14ac:dyDescent="0.35">
      <c r="A524">
        <v>1523</v>
      </c>
      <c r="B524" s="1">
        <v>45605</v>
      </c>
      <c r="C524" t="s">
        <v>18</v>
      </c>
      <c r="D524">
        <v>200</v>
      </c>
      <c r="E524">
        <v>100</v>
      </c>
      <c r="G524" t="str">
        <f t="shared" si="24"/>
        <v>Active</v>
      </c>
      <c r="H524" s="1" t="str">
        <f t="shared" si="25"/>
        <v/>
      </c>
      <c r="J524">
        <f t="shared" si="26"/>
        <v>0</v>
      </c>
    </row>
    <row r="525" spans="1:10" x14ac:dyDescent="0.35">
      <c r="A525">
        <v>1524</v>
      </c>
      <c r="B525" s="1">
        <v>45628</v>
      </c>
      <c r="C525" t="s">
        <v>18</v>
      </c>
      <c r="D525">
        <v>200</v>
      </c>
      <c r="E525">
        <v>100</v>
      </c>
      <c r="G525" t="str">
        <f t="shared" si="24"/>
        <v>Active</v>
      </c>
      <c r="H525" s="1" t="str">
        <f t="shared" si="25"/>
        <v/>
      </c>
      <c r="J525">
        <f t="shared" si="26"/>
        <v>0</v>
      </c>
    </row>
    <row r="526" spans="1:10" x14ac:dyDescent="0.35">
      <c r="A526">
        <v>1525</v>
      </c>
      <c r="B526" s="1">
        <v>45713</v>
      </c>
      <c r="C526" t="s">
        <v>21</v>
      </c>
      <c r="D526">
        <v>500</v>
      </c>
      <c r="E526">
        <v>200</v>
      </c>
      <c r="F526" s="1">
        <v>45790</v>
      </c>
      <c r="G526" t="str">
        <f t="shared" si="24"/>
        <v>Churned</v>
      </c>
      <c r="H526" s="1">
        <f t="shared" si="25"/>
        <v>45778</v>
      </c>
      <c r="J526">
        <f t="shared" si="26"/>
        <v>1</v>
      </c>
    </row>
    <row r="527" spans="1:10" x14ac:dyDescent="0.35">
      <c r="A527">
        <v>1526</v>
      </c>
      <c r="B527" s="1">
        <v>45700</v>
      </c>
      <c r="C527" t="s">
        <v>21</v>
      </c>
      <c r="D527">
        <v>500</v>
      </c>
      <c r="E527">
        <v>200</v>
      </c>
      <c r="G527" t="str">
        <f t="shared" si="24"/>
        <v>Active</v>
      </c>
      <c r="H527" s="1" t="str">
        <f t="shared" si="25"/>
        <v/>
      </c>
      <c r="J527">
        <f t="shared" si="26"/>
        <v>0</v>
      </c>
    </row>
    <row r="528" spans="1:10" x14ac:dyDescent="0.35">
      <c r="A528">
        <v>1527</v>
      </c>
      <c r="B528" s="1">
        <v>45407</v>
      </c>
      <c r="C528" t="s">
        <v>18</v>
      </c>
      <c r="D528">
        <v>200</v>
      </c>
      <c r="E528">
        <v>100</v>
      </c>
      <c r="G528" t="str">
        <f t="shared" si="24"/>
        <v>Active</v>
      </c>
      <c r="H528" s="1" t="str">
        <f t="shared" si="25"/>
        <v/>
      </c>
      <c r="J528">
        <f t="shared" si="26"/>
        <v>0</v>
      </c>
    </row>
    <row r="529" spans="1:10" x14ac:dyDescent="0.35">
      <c r="A529">
        <v>1528</v>
      </c>
      <c r="B529" s="1">
        <v>45791</v>
      </c>
      <c r="C529" t="s">
        <v>18</v>
      </c>
      <c r="D529">
        <v>200</v>
      </c>
      <c r="E529">
        <v>100</v>
      </c>
      <c r="G529" t="str">
        <f t="shared" si="24"/>
        <v>Active</v>
      </c>
      <c r="H529" s="1" t="str">
        <f t="shared" si="25"/>
        <v/>
      </c>
      <c r="J529">
        <f t="shared" si="26"/>
        <v>0</v>
      </c>
    </row>
    <row r="530" spans="1:10" x14ac:dyDescent="0.35">
      <c r="A530">
        <v>1529</v>
      </c>
      <c r="B530" s="1">
        <v>45710</v>
      </c>
      <c r="C530" t="s">
        <v>18</v>
      </c>
      <c r="D530">
        <v>200</v>
      </c>
      <c r="E530">
        <v>100</v>
      </c>
      <c r="G530" t="str">
        <f t="shared" si="24"/>
        <v>Active</v>
      </c>
      <c r="H530" s="1" t="str">
        <f t="shared" si="25"/>
        <v/>
      </c>
      <c r="J530">
        <f t="shared" si="26"/>
        <v>0</v>
      </c>
    </row>
    <row r="531" spans="1:10" x14ac:dyDescent="0.35">
      <c r="A531">
        <v>1530</v>
      </c>
      <c r="B531" s="1">
        <v>45804</v>
      </c>
      <c r="C531" t="s">
        <v>75</v>
      </c>
      <c r="D531">
        <v>50</v>
      </c>
      <c r="E531">
        <v>30</v>
      </c>
      <c r="G531" t="str">
        <f t="shared" si="24"/>
        <v>Active</v>
      </c>
      <c r="H531" s="1" t="str">
        <f t="shared" si="25"/>
        <v/>
      </c>
      <c r="J531">
        <f t="shared" si="26"/>
        <v>0</v>
      </c>
    </row>
    <row r="532" spans="1:10" x14ac:dyDescent="0.35">
      <c r="A532">
        <v>1531</v>
      </c>
      <c r="B532" s="1">
        <v>45776</v>
      </c>
      <c r="C532" t="s">
        <v>21</v>
      </c>
      <c r="D532">
        <v>500</v>
      </c>
      <c r="E532">
        <v>200</v>
      </c>
      <c r="G532" t="str">
        <f t="shared" si="24"/>
        <v>Active</v>
      </c>
      <c r="H532" s="1" t="str">
        <f t="shared" si="25"/>
        <v/>
      </c>
      <c r="J532">
        <f t="shared" si="26"/>
        <v>0</v>
      </c>
    </row>
    <row r="533" spans="1:10" x14ac:dyDescent="0.35">
      <c r="A533">
        <v>1532</v>
      </c>
      <c r="B533" s="1">
        <v>45384</v>
      </c>
      <c r="C533" t="s">
        <v>21</v>
      </c>
      <c r="D533">
        <v>500</v>
      </c>
      <c r="E533">
        <v>200</v>
      </c>
      <c r="G533" t="str">
        <f t="shared" si="24"/>
        <v>Active</v>
      </c>
      <c r="H533" s="1" t="str">
        <f t="shared" si="25"/>
        <v/>
      </c>
      <c r="J533">
        <f t="shared" si="26"/>
        <v>0</v>
      </c>
    </row>
    <row r="534" spans="1:10" x14ac:dyDescent="0.35">
      <c r="A534">
        <v>1533</v>
      </c>
      <c r="B534" s="1">
        <v>45821</v>
      </c>
      <c r="C534" t="s">
        <v>18</v>
      </c>
      <c r="D534">
        <v>200</v>
      </c>
      <c r="E534">
        <v>100</v>
      </c>
      <c r="G534" t="str">
        <f t="shared" si="24"/>
        <v>Active</v>
      </c>
      <c r="H534" s="1" t="str">
        <f t="shared" si="25"/>
        <v/>
      </c>
      <c r="J534">
        <f t="shared" si="26"/>
        <v>0</v>
      </c>
    </row>
    <row r="535" spans="1:10" x14ac:dyDescent="0.35">
      <c r="A535">
        <v>1534</v>
      </c>
      <c r="B535" s="1">
        <v>45559</v>
      </c>
      <c r="C535" t="s">
        <v>21</v>
      </c>
      <c r="D535">
        <v>500</v>
      </c>
      <c r="E535">
        <v>200</v>
      </c>
      <c r="G535" t="str">
        <f t="shared" si="24"/>
        <v>Active</v>
      </c>
      <c r="H535" s="1" t="str">
        <f t="shared" si="25"/>
        <v/>
      </c>
      <c r="J535">
        <f t="shared" si="26"/>
        <v>0</v>
      </c>
    </row>
    <row r="536" spans="1:10" x14ac:dyDescent="0.35">
      <c r="A536">
        <v>1535</v>
      </c>
      <c r="B536" s="1">
        <v>45575</v>
      </c>
      <c r="C536" t="s">
        <v>18</v>
      </c>
      <c r="D536">
        <v>200</v>
      </c>
      <c r="E536">
        <v>100</v>
      </c>
      <c r="G536" t="str">
        <f t="shared" si="24"/>
        <v>Active</v>
      </c>
      <c r="H536" s="1" t="str">
        <f t="shared" si="25"/>
        <v/>
      </c>
      <c r="J536">
        <f t="shared" si="26"/>
        <v>0</v>
      </c>
    </row>
    <row r="537" spans="1:10" x14ac:dyDescent="0.35">
      <c r="A537">
        <v>1536</v>
      </c>
      <c r="B537" s="1">
        <v>45540</v>
      </c>
      <c r="C537" t="s">
        <v>18</v>
      </c>
      <c r="D537">
        <v>200</v>
      </c>
      <c r="E537">
        <v>100</v>
      </c>
      <c r="G537" t="str">
        <f t="shared" si="24"/>
        <v>Active</v>
      </c>
      <c r="H537" s="1" t="str">
        <f t="shared" si="25"/>
        <v/>
      </c>
      <c r="J537">
        <f t="shared" si="26"/>
        <v>0</v>
      </c>
    </row>
    <row r="538" spans="1:10" x14ac:dyDescent="0.35">
      <c r="A538">
        <v>1537</v>
      </c>
      <c r="B538" s="1">
        <v>45835</v>
      </c>
      <c r="C538" t="s">
        <v>21</v>
      </c>
      <c r="D538">
        <v>500</v>
      </c>
      <c r="E538">
        <v>200</v>
      </c>
      <c r="G538" t="str">
        <f t="shared" si="24"/>
        <v>Active</v>
      </c>
      <c r="H538" s="1" t="str">
        <f t="shared" si="25"/>
        <v/>
      </c>
      <c r="J538">
        <f t="shared" si="26"/>
        <v>0</v>
      </c>
    </row>
    <row r="539" spans="1:10" x14ac:dyDescent="0.35">
      <c r="A539">
        <v>1538</v>
      </c>
      <c r="B539" s="1">
        <v>45530</v>
      </c>
      <c r="C539" t="s">
        <v>18</v>
      </c>
      <c r="D539">
        <v>200</v>
      </c>
      <c r="E539">
        <v>100</v>
      </c>
      <c r="G539" t="str">
        <f t="shared" si="24"/>
        <v>Active</v>
      </c>
      <c r="H539" s="1" t="str">
        <f t="shared" si="25"/>
        <v/>
      </c>
      <c r="J539">
        <f t="shared" si="26"/>
        <v>0</v>
      </c>
    </row>
    <row r="540" spans="1:10" x14ac:dyDescent="0.35">
      <c r="A540">
        <v>1539</v>
      </c>
      <c r="B540" s="1">
        <v>45727</v>
      </c>
      <c r="C540" t="s">
        <v>18</v>
      </c>
      <c r="D540">
        <v>200</v>
      </c>
      <c r="E540">
        <v>100</v>
      </c>
      <c r="G540" t="str">
        <f t="shared" si="24"/>
        <v>Active</v>
      </c>
      <c r="H540" s="1" t="str">
        <f t="shared" si="25"/>
        <v/>
      </c>
      <c r="J540">
        <f t="shared" si="26"/>
        <v>0</v>
      </c>
    </row>
    <row r="541" spans="1:10" x14ac:dyDescent="0.35">
      <c r="A541">
        <v>1540</v>
      </c>
      <c r="B541" s="1">
        <v>45581</v>
      </c>
      <c r="C541" t="s">
        <v>18</v>
      </c>
      <c r="D541">
        <v>200</v>
      </c>
      <c r="E541">
        <v>100</v>
      </c>
      <c r="G541" t="str">
        <f t="shared" si="24"/>
        <v>Active</v>
      </c>
      <c r="H541" s="1" t="str">
        <f t="shared" si="25"/>
        <v/>
      </c>
      <c r="J541">
        <f t="shared" si="26"/>
        <v>0</v>
      </c>
    </row>
    <row r="542" spans="1:10" x14ac:dyDescent="0.35">
      <c r="A542">
        <v>1541</v>
      </c>
      <c r="B542" s="1">
        <v>45621</v>
      </c>
      <c r="C542" t="s">
        <v>18</v>
      </c>
      <c r="D542">
        <v>200</v>
      </c>
      <c r="E542">
        <v>100</v>
      </c>
      <c r="G542" t="str">
        <f t="shared" si="24"/>
        <v>Active</v>
      </c>
      <c r="H542" s="1" t="str">
        <f t="shared" si="25"/>
        <v/>
      </c>
      <c r="J542">
        <f t="shared" si="26"/>
        <v>0</v>
      </c>
    </row>
    <row r="543" spans="1:10" x14ac:dyDescent="0.35">
      <c r="A543">
        <v>1542</v>
      </c>
      <c r="B543" s="1">
        <v>45459</v>
      </c>
      <c r="C543" t="s">
        <v>75</v>
      </c>
      <c r="D543">
        <v>50</v>
      </c>
      <c r="E543">
        <v>30</v>
      </c>
      <c r="G543" t="str">
        <f t="shared" si="24"/>
        <v>Active</v>
      </c>
      <c r="H543" s="1" t="str">
        <f t="shared" si="25"/>
        <v/>
      </c>
      <c r="J543">
        <f t="shared" si="26"/>
        <v>0</v>
      </c>
    </row>
    <row r="544" spans="1:10" x14ac:dyDescent="0.35">
      <c r="A544">
        <v>1543</v>
      </c>
      <c r="B544" s="1">
        <v>45334</v>
      </c>
      <c r="C544" t="s">
        <v>21</v>
      </c>
      <c r="D544">
        <v>500</v>
      </c>
      <c r="E544">
        <v>200</v>
      </c>
      <c r="G544" t="str">
        <f t="shared" si="24"/>
        <v>Active</v>
      </c>
      <c r="H544" s="1" t="str">
        <f t="shared" si="25"/>
        <v/>
      </c>
      <c r="J544">
        <f t="shared" si="26"/>
        <v>0</v>
      </c>
    </row>
    <row r="545" spans="1:10" x14ac:dyDescent="0.35">
      <c r="A545">
        <v>1544</v>
      </c>
      <c r="B545" s="1">
        <v>45598</v>
      </c>
      <c r="C545" t="s">
        <v>18</v>
      </c>
      <c r="D545">
        <v>200</v>
      </c>
      <c r="E545">
        <v>100</v>
      </c>
      <c r="F545" s="1">
        <v>45775</v>
      </c>
      <c r="G545" t="str">
        <f t="shared" si="24"/>
        <v>Churned</v>
      </c>
      <c r="H545" s="1">
        <f t="shared" si="25"/>
        <v>45748</v>
      </c>
      <c r="J545">
        <f t="shared" si="26"/>
        <v>1</v>
      </c>
    </row>
    <row r="546" spans="1:10" x14ac:dyDescent="0.35">
      <c r="A546">
        <v>1545</v>
      </c>
      <c r="B546" s="1">
        <v>45612</v>
      </c>
      <c r="C546" t="s">
        <v>75</v>
      </c>
      <c r="D546">
        <v>50</v>
      </c>
      <c r="E546">
        <v>30</v>
      </c>
      <c r="G546" t="str">
        <f t="shared" si="24"/>
        <v>Active</v>
      </c>
      <c r="H546" s="1" t="str">
        <f t="shared" si="25"/>
        <v/>
      </c>
      <c r="J546">
        <f t="shared" si="26"/>
        <v>0</v>
      </c>
    </row>
    <row r="547" spans="1:10" x14ac:dyDescent="0.35">
      <c r="A547">
        <v>1546</v>
      </c>
      <c r="B547" s="1">
        <v>45804</v>
      </c>
      <c r="C547" t="s">
        <v>18</v>
      </c>
      <c r="D547">
        <v>200</v>
      </c>
      <c r="E547">
        <v>100</v>
      </c>
      <c r="G547" t="str">
        <f t="shared" si="24"/>
        <v>Active</v>
      </c>
      <c r="H547" s="1" t="str">
        <f t="shared" si="25"/>
        <v/>
      </c>
      <c r="J547">
        <f t="shared" si="26"/>
        <v>0</v>
      </c>
    </row>
    <row r="548" spans="1:10" x14ac:dyDescent="0.35">
      <c r="A548">
        <v>1547</v>
      </c>
      <c r="B548" s="1">
        <v>45488</v>
      </c>
      <c r="C548" t="s">
        <v>21</v>
      </c>
      <c r="D548">
        <v>500</v>
      </c>
      <c r="E548">
        <v>200</v>
      </c>
      <c r="G548" t="str">
        <f t="shared" si="24"/>
        <v>Active</v>
      </c>
      <c r="H548" s="1" t="str">
        <f t="shared" si="25"/>
        <v/>
      </c>
      <c r="J548">
        <f t="shared" si="26"/>
        <v>0</v>
      </c>
    </row>
    <row r="549" spans="1:10" x14ac:dyDescent="0.35">
      <c r="A549">
        <v>1548</v>
      </c>
      <c r="B549" s="1">
        <v>45292</v>
      </c>
      <c r="C549" t="s">
        <v>75</v>
      </c>
      <c r="D549">
        <v>50</v>
      </c>
      <c r="E549">
        <v>30</v>
      </c>
      <c r="G549" t="str">
        <f t="shared" si="24"/>
        <v>Active</v>
      </c>
      <c r="H549" s="1" t="str">
        <f t="shared" si="25"/>
        <v/>
      </c>
      <c r="J549">
        <f t="shared" si="26"/>
        <v>0</v>
      </c>
    </row>
    <row r="550" spans="1:10" x14ac:dyDescent="0.35">
      <c r="A550">
        <v>1549</v>
      </c>
      <c r="B550" s="1">
        <v>45406</v>
      </c>
      <c r="C550" t="s">
        <v>18</v>
      </c>
      <c r="D550">
        <v>200</v>
      </c>
      <c r="E550">
        <v>100</v>
      </c>
      <c r="G550" t="str">
        <f t="shared" si="24"/>
        <v>Active</v>
      </c>
      <c r="H550" s="1" t="str">
        <f t="shared" si="25"/>
        <v/>
      </c>
      <c r="J550">
        <f t="shared" si="26"/>
        <v>0</v>
      </c>
    </row>
    <row r="551" spans="1:10" x14ac:dyDescent="0.35">
      <c r="A551">
        <v>1550</v>
      </c>
      <c r="B551" s="1">
        <v>45296</v>
      </c>
      <c r="C551" t="s">
        <v>75</v>
      </c>
      <c r="D551">
        <v>50</v>
      </c>
      <c r="E551">
        <v>30</v>
      </c>
      <c r="G551" t="str">
        <f t="shared" si="24"/>
        <v>Active</v>
      </c>
      <c r="H551" s="1" t="str">
        <f t="shared" si="25"/>
        <v/>
      </c>
      <c r="J551">
        <f t="shared" si="26"/>
        <v>0</v>
      </c>
    </row>
    <row r="552" spans="1:10" x14ac:dyDescent="0.35">
      <c r="A552">
        <v>1551</v>
      </c>
      <c r="B552" s="1">
        <v>45346</v>
      </c>
      <c r="C552" t="s">
        <v>75</v>
      </c>
      <c r="D552">
        <v>50</v>
      </c>
      <c r="E552">
        <v>30</v>
      </c>
      <c r="G552" t="str">
        <f t="shared" si="24"/>
        <v>Active</v>
      </c>
      <c r="H552" s="1" t="str">
        <f t="shared" si="25"/>
        <v/>
      </c>
      <c r="J552">
        <f t="shared" si="26"/>
        <v>0</v>
      </c>
    </row>
    <row r="553" spans="1:10" x14ac:dyDescent="0.35">
      <c r="A553">
        <v>1552</v>
      </c>
      <c r="B553" s="1">
        <v>45481</v>
      </c>
      <c r="C553" t="s">
        <v>21</v>
      </c>
      <c r="D553">
        <v>500</v>
      </c>
      <c r="E553">
        <v>200</v>
      </c>
      <c r="F553" s="1">
        <v>45728</v>
      </c>
      <c r="G553" t="str">
        <f t="shared" si="24"/>
        <v>Churned</v>
      </c>
      <c r="H553" s="1">
        <f t="shared" si="25"/>
        <v>45717</v>
      </c>
      <c r="J553">
        <f t="shared" si="26"/>
        <v>1</v>
      </c>
    </row>
    <row r="554" spans="1:10" x14ac:dyDescent="0.35">
      <c r="A554">
        <v>1553</v>
      </c>
      <c r="B554" s="1">
        <v>45308</v>
      </c>
      <c r="C554" t="s">
        <v>21</v>
      </c>
      <c r="D554">
        <v>500</v>
      </c>
      <c r="E554">
        <v>200</v>
      </c>
      <c r="G554" t="str">
        <f t="shared" si="24"/>
        <v>Active</v>
      </c>
      <c r="H554" s="1" t="str">
        <f t="shared" si="25"/>
        <v/>
      </c>
      <c r="J554">
        <f t="shared" si="26"/>
        <v>0</v>
      </c>
    </row>
    <row r="555" spans="1:10" x14ac:dyDescent="0.35">
      <c r="A555">
        <v>1554</v>
      </c>
      <c r="B555" s="1">
        <v>45557</v>
      </c>
      <c r="C555" t="s">
        <v>18</v>
      </c>
      <c r="D555">
        <v>200</v>
      </c>
      <c r="E555">
        <v>100</v>
      </c>
      <c r="G555" t="str">
        <f t="shared" si="24"/>
        <v>Active</v>
      </c>
      <c r="H555" s="1" t="str">
        <f t="shared" si="25"/>
        <v/>
      </c>
      <c r="J555">
        <f t="shared" si="26"/>
        <v>0</v>
      </c>
    </row>
    <row r="556" spans="1:10" x14ac:dyDescent="0.35">
      <c r="A556">
        <v>1555</v>
      </c>
      <c r="B556" s="1">
        <v>45745</v>
      </c>
      <c r="C556" t="s">
        <v>21</v>
      </c>
      <c r="D556">
        <v>500</v>
      </c>
      <c r="E556">
        <v>200</v>
      </c>
      <c r="G556" t="str">
        <f t="shared" si="24"/>
        <v>Active</v>
      </c>
      <c r="H556" s="1" t="str">
        <f t="shared" si="25"/>
        <v/>
      </c>
      <c r="J556">
        <f t="shared" si="26"/>
        <v>0</v>
      </c>
    </row>
    <row r="557" spans="1:10" x14ac:dyDescent="0.35">
      <c r="A557">
        <v>1556</v>
      </c>
      <c r="B557" s="1">
        <v>45758</v>
      </c>
      <c r="C557" t="s">
        <v>21</v>
      </c>
      <c r="D557">
        <v>500</v>
      </c>
      <c r="E557">
        <v>200</v>
      </c>
      <c r="G557" t="str">
        <f t="shared" si="24"/>
        <v>Active</v>
      </c>
      <c r="H557" s="1" t="str">
        <f t="shared" si="25"/>
        <v/>
      </c>
      <c r="J557">
        <f t="shared" si="26"/>
        <v>0</v>
      </c>
    </row>
    <row r="558" spans="1:10" x14ac:dyDescent="0.35">
      <c r="A558">
        <v>1557</v>
      </c>
      <c r="B558" s="1">
        <v>45728</v>
      </c>
      <c r="C558" t="s">
        <v>21</v>
      </c>
      <c r="D558">
        <v>500</v>
      </c>
      <c r="E558">
        <v>200</v>
      </c>
      <c r="F558" s="1">
        <v>45783</v>
      </c>
      <c r="G558" t="str">
        <f t="shared" si="24"/>
        <v>Churned</v>
      </c>
      <c r="H558" s="1">
        <f t="shared" si="25"/>
        <v>45778</v>
      </c>
      <c r="J558">
        <f t="shared" si="26"/>
        <v>1</v>
      </c>
    </row>
    <row r="559" spans="1:10" x14ac:dyDescent="0.35">
      <c r="A559">
        <v>1558</v>
      </c>
      <c r="B559" s="1">
        <v>45345</v>
      </c>
      <c r="C559" t="s">
        <v>21</v>
      </c>
      <c r="D559">
        <v>500</v>
      </c>
      <c r="E559">
        <v>200</v>
      </c>
      <c r="F559" s="1">
        <v>45396</v>
      </c>
      <c r="G559" t="str">
        <f t="shared" si="24"/>
        <v>Churned</v>
      </c>
      <c r="H559" s="1">
        <f t="shared" si="25"/>
        <v>45383</v>
      </c>
      <c r="J559">
        <f t="shared" si="26"/>
        <v>1</v>
      </c>
    </row>
    <row r="560" spans="1:10" x14ac:dyDescent="0.35">
      <c r="A560">
        <v>1559</v>
      </c>
      <c r="B560" s="1">
        <v>45687</v>
      </c>
      <c r="C560" t="s">
        <v>18</v>
      </c>
      <c r="D560">
        <v>200</v>
      </c>
      <c r="E560">
        <v>100</v>
      </c>
      <c r="G560" t="str">
        <f t="shared" si="24"/>
        <v>Active</v>
      </c>
      <c r="H560" s="1" t="str">
        <f t="shared" si="25"/>
        <v/>
      </c>
      <c r="J560">
        <f t="shared" si="26"/>
        <v>0</v>
      </c>
    </row>
    <row r="561" spans="1:10" x14ac:dyDescent="0.35">
      <c r="A561">
        <v>1560</v>
      </c>
      <c r="B561" s="1">
        <v>45711</v>
      </c>
      <c r="C561" t="s">
        <v>18</v>
      </c>
      <c r="D561">
        <v>200</v>
      </c>
      <c r="E561">
        <v>100</v>
      </c>
      <c r="G561" t="str">
        <f t="shared" si="24"/>
        <v>Active</v>
      </c>
      <c r="H561" s="1" t="str">
        <f t="shared" si="25"/>
        <v/>
      </c>
      <c r="J561">
        <f t="shared" si="26"/>
        <v>0</v>
      </c>
    </row>
    <row r="562" spans="1:10" x14ac:dyDescent="0.35">
      <c r="A562">
        <v>1561</v>
      </c>
      <c r="B562" s="1">
        <v>45324</v>
      </c>
      <c r="C562" t="s">
        <v>21</v>
      </c>
      <c r="D562">
        <v>500</v>
      </c>
      <c r="E562">
        <v>200</v>
      </c>
      <c r="G562" t="str">
        <f t="shared" si="24"/>
        <v>Active</v>
      </c>
      <c r="H562" s="1" t="str">
        <f t="shared" si="25"/>
        <v/>
      </c>
      <c r="J562">
        <f t="shared" si="26"/>
        <v>0</v>
      </c>
    </row>
    <row r="563" spans="1:10" x14ac:dyDescent="0.35">
      <c r="A563">
        <v>1562</v>
      </c>
      <c r="B563" s="1">
        <v>45452</v>
      </c>
      <c r="C563" t="s">
        <v>21</v>
      </c>
      <c r="D563">
        <v>500</v>
      </c>
      <c r="E563">
        <v>200</v>
      </c>
      <c r="G563" t="str">
        <f t="shared" si="24"/>
        <v>Active</v>
      </c>
      <c r="H563" s="1" t="str">
        <f t="shared" si="25"/>
        <v/>
      </c>
      <c r="J563">
        <f t="shared" si="26"/>
        <v>0</v>
      </c>
    </row>
    <row r="564" spans="1:10" x14ac:dyDescent="0.35">
      <c r="A564">
        <v>1563</v>
      </c>
      <c r="B564" s="1">
        <v>45446</v>
      </c>
      <c r="C564" t="s">
        <v>75</v>
      </c>
      <c r="D564">
        <v>50</v>
      </c>
      <c r="E564">
        <v>30</v>
      </c>
      <c r="G564" t="str">
        <f t="shared" si="24"/>
        <v>Active</v>
      </c>
      <c r="H564" s="1" t="str">
        <f t="shared" si="25"/>
        <v/>
      </c>
      <c r="J564">
        <f t="shared" si="26"/>
        <v>0</v>
      </c>
    </row>
    <row r="565" spans="1:10" x14ac:dyDescent="0.35">
      <c r="A565">
        <v>1564</v>
      </c>
      <c r="B565" s="1">
        <v>45832</v>
      </c>
      <c r="C565" t="s">
        <v>21</v>
      </c>
      <c r="D565">
        <v>500</v>
      </c>
      <c r="E565">
        <v>200</v>
      </c>
      <c r="G565" t="str">
        <f t="shared" si="24"/>
        <v>Active</v>
      </c>
      <c r="H565" s="1" t="str">
        <f t="shared" si="25"/>
        <v/>
      </c>
      <c r="J565">
        <f t="shared" si="26"/>
        <v>0</v>
      </c>
    </row>
    <row r="566" spans="1:10" x14ac:dyDescent="0.35">
      <c r="A566">
        <v>1565</v>
      </c>
      <c r="B566" s="1">
        <v>45381</v>
      </c>
      <c r="C566" t="s">
        <v>18</v>
      </c>
      <c r="D566">
        <v>200</v>
      </c>
      <c r="E566">
        <v>100</v>
      </c>
      <c r="F566" s="1">
        <v>45445</v>
      </c>
      <c r="G566" t="str">
        <f t="shared" si="24"/>
        <v>Churned</v>
      </c>
      <c r="H566" s="1">
        <f t="shared" si="25"/>
        <v>45444</v>
      </c>
      <c r="J566">
        <f t="shared" si="26"/>
        <v>1</v>
      </c>
    </row>
    <row r="567" spans="1:10" x14ac:dyDescent="0.35">
      <c r="A567">
        <v>1566</v>
      </c>
      <c r="B567" s="1">
        <v>45445</v>
      </c>
      <c r="C567" t="s">
        <v>75</v>
      </c>
      <c r="D567">
        <v>50</v>
      </c>
      <c r="E567">
        <v>30</v>
      </c>
      <c r="G567" t="str">
        <f t="shared" si="24"/>
        <v>Active</v>
      </c>
      <c r="H567" s="1" t="str">
        <f t="shared" si="25"/>
        <v/>
      </c>
      <c r="J567">
        <f t="shared" si="26"/>
        <v>0</v>
      </c>
    </row>
    <row r="568" spans="1:10" x14ac:dyDescent="0.35">
      <c r="A568">
        <v>1567</v>
      </c>
      <c r="B568" s="1">
        <v>45786</v>
      </c>
      <c r="C568" t="s">
        <v>21</v>
      </c>
      <c r="D568">
        <v>500</v>
      </c>
      <c r="E568">
        <v>200</v>
      </c>
      <c r="G568" t="str">
        <f t="shared" si="24"/>
        <v>Active</v>
      </c>
      <c r="H568" s="1" t="str">
        <f t="shared" si="25"/>
        <v/>
      </c>
      <c r="J568">
        <f t="shared" si="26"/>
        <v>0</v>
      </c>
    </row>
    <row r="569" spans="1:10" x14ac:dyDescent="0.35">
      <c r="A569">
        <v>1568</v>
      </c>
      <c r="B569" s="1">
        <v>45583</v>
      </c>
      <c r="C569" t="s">
        <v>75</v>
      </c>
      <c r="D569">
        <v>50</v>
      </c>
      <c r="E569">
        <v>30</v>
      </c>
      <c r="G569" t="str">
        <f t="shared" si="24"/>
        <v>Active</v>
      </c>
      <c r="H569" s="1" t="str">
        <f t="shared" si="25"/>
        <v/>
      </c>
      <c r="J569">
        <f t="shared" si="26"/>
        <v>0</v>
      </c>
    </row>
    <row r="570" spans="1:10" x14ac:dyDescent="0.35">
      <c r="A570">
        <v>1569</v>
      </c>
      <c r="B570" s="1">
        <v>45689</v>
      </c>
      <c r="C570" t="s">
        <v>75</v>
      </c>
      <c r="D570">
        <v>50</v>
      </c>
      <c r="E570">
        <v>30</v>
      </c>
      <c r="G570" t="str">
        <f t="shared" si="24"/>
        <v>Active</v>
      </c>
      <c r="H570" s="1" t="str">
        <f t="shared" si="25"/>
        <v/>
      </c>
      <c r="J570">
        <f t="shared" si="26"/>
        <v>0</v>
      </c>
    </row>
    <row r="571" spans="1:10" x14ac:dyDescent="0.35">
      <c r="A571">
        <v>1570</v>
      </c>
      <c r="B571" s="1">
        <v>45333</v>
      </c>
      <c r="C571" t="s">
        <v>21</v>
      </c>
      <c r="D571">
        <v>500</v>
      </c>
      <c r="E571">
        <v>200</v>
      </c>
      <c r="F571" s="1">
        <v>45733</v>
      </c>
      <c r="G571" t="str">
        <f t="shared" si="24"/>
        <v>Churned</v>
      </c>
      <c r="H571" s="1">
        <f t="shared" si="25"/>
        <v>45717</v>
      </c>
      <c r="J571">
        <f t="shared" si="26"/>
        <v>1</v>
      </c>
    </row>
    <row r="572" spans="1:10" x14ac:dyDescent="0.35">
      <c r="A572">
        <v>1571</v>
      </c>
      <c r="B572" s="1">
        <v>45661</v>
      </c>
      <c r="C572" t="s">
        <v>21</v>
      </c>
      <c r="D572">
        <v>500</v>
      </c>
      <c r="E572">
        <v>200</v>
      </c>
      <c r="G572" t="str">
        <f t="shared" si="24"/>
        <v>Active</v>
      </c>
      <c r="H572" s="1" t="str">
        <f t="shared" si="25"/>
        <v/>
      </c>
      <c r="J572">
        <f t="shared" si="26"/>
        <v>0</v>
      </c>
    </row>
    <row r="573" spans="1:10" x14ac:dyDescent="0.35">
      <c r="A573">
        <v>1572</v>
      </c>
      <c r="B573" s="1">
        <v>45695</v>
      </c>
      <c r="C573" t="s">
        <v>18</v>
      </c>
      <c r="D573">
        <v>200</v>
      </c>
      <c r="E573">
        <v>100</v>
      </c>
      <c r="G573" t="str">
        <f t="shared" si="24"/>
        <v>Active</v>
      </c>
      <c r="H573" s="1" t="str">
        <f t="shared" si="25"/>
        <v/>
      </c>
      <c r="J573">
        <f t="shared" si="26"/>
        <v>0</v>
      </c>
    </row>
    <row r="574" spans="1:10" x14ac:dyDescent="0.35">
      <c r="A574">
        <v>1573</v>
      </c>
      <c r="B574" s="1">
        <v>45480</v>
      </c>
      <c r="C574" t="s">
        <v>21</v>
      </c>
      <c r="D574">
        <v>500</v>
      </c>
      <c r="E574">
        <v>200</v>
      </c>
      <c r="G574" t="str">
        <f t="shared" si="24"/>
        <v>Active</v>
      </c>
      <c r="H574" s="1" t="str">
        <f t="shared" si="25"/>
        <v/>
      </c>
      <c r="J574">
        <f t="shared" si="26"/>
        <v>0</v>
      </c>
    </row>
    <row r="575" spans="1:10" x14ac:dyDescent="0.35">
      <c r="A575">
        <v>1574</v>
      </c>
      <c r="B575" s="1">
        <v>45582</v>
      </c>
      <c r="C575" t="s">
        <v>21</v>
      </c>
      <c r="D575">
        <v>500</v>
      </c>
      <c r="E575">
        <v>200</v>
      </c>
      <c r="G575" t="str">
        <f t="shared" si="24"/>
        <v>Active</v>
      </c>
      <c r="H575" s="1" t="str">
        <f t="shared" si="25"/>
        <v/>
      </c>
      <c r="J575">
        <f t="shared" si="26"/>
        <v>0</v>
      </c>
    </row>
    <row r="576" spans="1:10" x14ac:dyDescent="0.35">
      <c r="A576">
        <v>1575</v>
      </c>
      <c r="B576" s="1">
        <v>45479</v>
      </c>
      <c r="C576" t="s">
        <v>21</v>
      </c>
      <c r="D576">
        <v>500</v>
      </c>
      <c r="E576">
        <v>200</v>
      </c>
      <c r="G576" t="str">
        <f t="shared" si="24"/>
        <v>Active</v>
      </c>
      <c r="H576" s="1" t="str">
        <f t="shared" si="25"/>
        <v/>
      </c>
      <c r="J576">
        <f t="shared" si="26"/>
        <v>0</v>
      </c>
    </row>
    <row r="577" spans="1:10" x14ac:dyDescent="0.35">
      <c r="A577">
        <v>1576</v>
      </c>
      <c r="B577" s="1">
        <v>45465</v>
      </c>
      <c r="C577" t="s">
        <v>18</v>
      </c>
      <c r="D577">
        <v>200</v>
      </c>
      <c r="E577">
        <v>100</v>
      </c>
      <c r="F577" s="1">
        <v>45747</v>
      </c>
      <c r="G577" t="str">
        <f t="shared" si="24"/>
        <v>Churned</v>
      </c>
      <c r="H577" s="1">
        <f t="shared" si="25"/>
        <v>45717</v>
      </c>
      <c r="J577">
        <f t="shared" si="26"/>
        <v>1</v>
      </c>
    </row>
    <row r="578" spans="1:10" x14ac:dyDescent="0.35">
      <c r="A578">
        <v>1577</v>
      </c>
      <c r="B578" s="1">
        <v>45769</v>
      </c>
      <c r="C578" t="s">
        <v>75</v>
      </c>
      <c r="D578">
        <v>50</v>
      </c>
      <c r="E578">
        <v>30</v>
      </c>
      <c r="G578" t="str">
        <f t="shared" si="24"/>
        <v>Active</v>
      </c>
      <c r="H578" s="1" t="str">
        <f t="shared" si="25"/>
        <v/>
      </c>
      <c r="J578">
        <f t="shared" si="26"/>
        <v>0</v>
      </c>
    </row>
    <row r="579" spans="1:10" x14ac:dyDescent="0.35">
      <c r="A579">
        <v>1578</v>
      </c>
      <c r="B579" s="1">
        <v>45627</v>
      </c>
      <c r="C579" t="s">
        <v>75</v>
      </c>
      <c r="D579">
        <v>50</v>
      </c>
      <c r="E579">
        <v>30</v>
      </c>
      <c r="G579" t="str">
        <f t="shared" ref="G579:G642" si="27">IF(F579="","Active","Churned")</f>
        <v>Active</v>
      </c>
      <c r="H579" s="1" t="str">
        <f t="shared" ref="H579:H642" si="28">IF(F579="","",DATE(YEAR(F579),MONTH(F579),1))</f>
        <v/>
      </c>
      <c r="J579">
        <f t="shared" ref="J579:J642" si="29">IF(G579="Churned",1,0)</f>
        <v>0</v>
      </c>
    </row>
    <row r="580" spans="1:10" x14ac:dyDescent="0.35">
      <c r="A580">
        <v>1579</v>
      </c>
      <c r="B580" s="1">
        <v>45707</v>
      </c>
      <c r="C580" t="s">
        <v>75</v>
      </c>
      <c r="D580">
        <v>50</v>
      </c>
      <c r="E580">
        <v>30</v>
      </c>
      <c r="F580" s="1">
        <v>45790</v>
      </c>
      <c r="G580" t="str">
        <f t="shared" si="27"/>
        <v>Churned</v>
      </c>
      <c r="H580" s="1">
        <f t="shared" si="28"/>
        <v>45778</v>
      </c>
      <c r="J580">
        <f t="shared" si="29"/>
        <v>1</v>
      </c>
    </row>
    <row r="581" spans="1:10" x14ac:dyDescent="0.35">
      <c r="A581">
        <v>1580</v>
      </c>
      <c r="B581" s="1">
        <v>45439</v>
      </c>
      <c r="C581" t="s">
        <v>18</v>
      </c>
      <c r="D581">
        <v>200</v>
      </c>
      <c r="E581">
        <v>100</v>
      </c>
      <c r="G581" t="str">
        <f t="shared" si="27"/>
        <v>Active</v>
      </c>
      <c r="H581" s="1" t="str">
        <f t="shared" si="28"/>
        <v/>
      </c>
      <c r="J581">
        <f t="shared" si="29"/>
        <v>0</v>
      </c>
    </row>
    <row r="582" spans="1:10" x14ac:dyDescent="0.35">
      <c r="A582">
        <v>1581</v>
      </c>
      <c r="B582" s="1">
        <v>45732</v>
      </c>
      <c r="C582" t="s">
        <v>75</v>
      </c>
      <c r="D582">
        <v>50</v>
      </c>
      <c r="E582">
        <v>30</v>
      </c>
      <c r="G582" t="str">
        <f t="shared" si="27"/>
        <v>Active</v>
      </c>
      <c r="H582" s="1" t="str">
        <f t="shared" si="28"/>
        <v/>
      </c>
      <c r="J582">
        <f t="shared" si="29"/>
        <v>0</v>
      </c>
    </row>
    <row r="583" spans="1:10" x14ac:dyDescent="0.35">
      <c r="A583">
        <v>1582</v>
      </c>
      <c r="B583" s="1">
        <v>45779</v>
      </c>
      <c r="C583" t="s">
        <v>21</v>
      </c>
      <c r="D583">
        <v>500</v>
      </c>
      <c r="E583">
        <v>200</v>
      </c>
      <c r="G583" t="str">
        <f t="shared" si="27"/>
        <v>Active</v>
      </c>
      <c r="H583" s="1" t="str">
        <f t="shared" si="28"/>
        <v/>
      </c>
      <c r="J583">
        <f t="shared" si="29"/>
        <v>0</v>
      </c>
    </row>
    <row r="584" spans="1:10" x14ac:dyDescent="0.35">
      <c r="A584">
        <v>1583</v>
      </c>
      <c r="B584" s="1">
        <v>45798</v>
      </c>
      <c r="C584" t="s">
        <v>75</v>
      </c>
      <c r="D584">
        <v>50</v>
      </c>
      <c r="E584">
        <v>30</v>
      </c>
      <c r="G584" t="str">
        <f t="shared" si="27"/>
        <v>Active</v>
      </c>
      <c r="H584" s="1" t="str">
        <f t="shared" si="28"/>
        <v/>
      </c>
      <c r="J584">
        <f t="shared" si="29"/>
        <v>0</v>
      </c>
    </row>
    <row r="585" spans="1:10" x14ac:dyDescent="0.35">
      <c r="A585">
        <v>1584</v>
      </c>
      <c r="B585" s="1">
        <v>45755</v>
      </c>
      <c r="C585" t="s">
        <v>21</v>
      </c>
      <c r="D585">
        <v>500</v>
      </c>
      <c r="E585">
        <v>200</v>
      </c>
      <c r="G585" t="str">
        <f t="shared" si="27"/>
        <v>Active</v>
      </c>
      <c r="H585" s="1" t="str">
        <f t="shared" si="28"/>
        <v/>
      </c>
      <c r="J585">
        <f t="shared" si="29"/>
        <v>0</v>
      </c>
    </row>
    <row r="586" spans="1:10" x14ac:dyDescent="0.35">
      <c r="A586">
        <v>1585</v>
      </c>
      <c r="B586" s="1">
        <v>45698</v>
      </c>
      <c r="C586" t="s">
        <v>18</v>
      </c>
      <c r="D586">
        <v>200</v>
      </c>
      <c r="E586">
        <v>100</v>
      </c>
      <c r="G586" t="str">
        <f t="shared" si="27"/>
        <v>Active</v>
      </c>
      <c r="H586" s="1" t="str">
        <f t="shared" si="28"/>
        <v/>
      </c>
      <c r="J586">
        <f t="shared" si="29"/>
        <v>0</v>
      </c>
    </row>
    <row r="587" spans="1:10" x14ac:dyDescent="0.35">
      <c r="A587">
        <v>1586</v>
      </c>
      <c r="B587" s="1">
        <v>45691</v>
      </c>
      <c r="C587" t="s">
        <v>18</v>
      </c>
      <c r="D587">
        <v>200</v>
      </c>
      <c r="E587">
        <v>100</v>
      </c>
      <c r="F587" s="1">
        <v>45838</v>
      </c>
      <c r="G587" t="str">
        <f t="shared" si="27"/>
        <v>Churned</v>
      </c>
      <c r="H587" s="1">
        <f t="shared" si="28"/>
        <v>45809</v>
      </c>
      <c r="J587">
        <f t="shared" si="29"/>
        <v>1</v>
      </c>
    </row>
    <row r="588" spans="1:10" x14ac:dyDescent="0.35">
      <c r="A588">
        <v>1587</v>
      </c>
      <c r="B588" s="1">
        <v>45745</v>
      </c>
      <c r="C588" t="s">
        <v>18</v>
      </c>
      <c r="D588">
        <v>200</v>
      </c>
      <c r="E588">
        <v>100</v>
      </c>
      <c r="G588" t="str">
        <f t="shared" si="27"/>
        <v>Active</v>
      </c>
      <c r="H588" s="1" t="str">
        <f t="shared" si="28"/>
        <v/>
      </c>
      <c r="J588">
        <f t="shared" si="29"/>
        <v>0</v>
      </c>
    </row>
    <row r="589" spans="1:10" x14ac:dyDescent="0.35">
      <c r="A589">
        <v>1588</v>
      </c>
      <c r="B589" s="1">
        <v>45430</v>
      </c>
      <c r="C589" t="s">
        <v>75</v>
      </c>
      <c r="D589">
        <v>50</v>
      </c>
      <c r="E589">
        <v>30</v>
      </c>
      <c r="G589" t="str">
        <f t="shared" si="27"/>
        <v>Active</v>
      </c>
      <c r="H589" s="1" t="str">
        <f t="shared" si="28"/>
        <v/>
      </c>
      <c r="J589">
        <f t="shared" si="29"/>
        <v>0</v>
      </c>
    </row>
    <row r="590" spans="1:10" x14ac:dyDescent="0.35">
      <c r="A590">
        <v>1589</v>
      </c>
      <c r="B590" s="1">
        <v>45654</v>
      </c>
      <c r="C590" t="s">
        <v>21</v>
      </c>
      <c r="D590">
        <v>500</v>
      </c>
      <c r="E590">
        <v>200</v>
      </c>
      <c r="G590" t="str">
        <f t="shared" si="27"/>
        <v>Active</v>
      </c>
      <c r="H590" s="1" t="str">
        <f t="shared" si="28"/>
        <v/>
      </c>
      <c r="J590">
        <f t="shared" si="29"/>
        <v>0</v>
      </c>
    </row>
    <row r="591" spans="1:10" x14ac:dyDescent="0.35">
      <c r="A591">
        <v>1590</v>
      </c>
      <c r="B591" s="1">
        <v>45601</v>
      </c>
      <c r="C591" t="s">
        <v>21</v>
      </c>
      <c r="D591">
        <v>500</v>
      </c>
      <c r="E591">
        <v>200</v>
      </c>
      <c r="G591" t="str">
        <f t="shared" si="27"/>
        <v>Active</v>
      </c>
      <c r="H591" s="1" t="str">
        <f t="shared" si="28"/>
        <v/>
      </c>
      <c r="J591">
        <f t="shared" si="29"/>
        <v>0</v>
      </c>
    </row>
    <row r="592" spans="1:10" x14ac:dyDescent="0.35">
      <c r="A592">
        <v>1591</v>
      </c>
      <c r="B592" s="1">
        <v>45624</v>
      </c>
      <c r="C592" t="s">
        <v>21</v>
      </c>
      <c r="D592">
        <v>500</v>
      </c>
      <c r="E592">
        <v>200</v>
      </c>
      <c r="G592" t="str">
        <f t="shared" si="27"/>
        <v>Active</v>
      </c>
      <c r="H592" s="1" t="str">
        <f t="shared" si="28"/>
        <v/>
      </c>
      <c r="J592">
        <f t="shared" si="29"/>
        <v>0</v>
      </c>
    </row>
    <row r="593" spans="1:10" x14ac:dyDescent="0.35">
      <c r="A593">
        <v>1592</v>
      </c>
      <c r="B593" s="1">
        <v>45380</v>
      </c>
      <c r="C593" t="s">
        <v>18</v>
      </c>
      <c r="D593">
        <v>200</v>
      </c>
      <c r="E593">
        <v>100</v>
      </c>
      <c r="G593" t="str">
        <f t="shared" si="27"/>
        <v>Active</v>
      </c>
      <c r="H593" s="1" t="str">
        <f t="shared" si="28"/>
        <v/>
      </c>
      <c r="J593">
        <f t="shared" si="29"/>
        <v>0</v>
      </c>
    </row>
    <row r="594" spans="1:10" x14ac:dyDescent="0.35">
      <c r="A594">
        <v>1593</v>
      </c>
      <c r="B594" s="1">
        <v>45779</v>
      </c>
      <c r="C594" t="s">
        <v>75</v>
      </c>
      <c r="D594">
        <v>50</v>
      </c>
      <c r="E594">
        <v>30</v>
      </c>
      <c r="F594" s="1">
        <v>45809</v>
      </c>
      <c r="G594" t="str">
        <f t="shared" si="27"/>
        <v>Churned</v>
      </c>
      <c r="H594" s="1">
        <f t="shared" si="28"/>
        <v>45809</v>
      </c>
      <c r="J594">
        <f t="shared" si="29"/>
        <v>1</v>
      </c>
    </row>
    <row r="595" spans="1:10" x14ac:dyDescent="0.35">
      <c r="A595">
        <v>1594</v>
      </c>
      <c r="B595" s="1">
        <v>45509</v>
      </c>
      <c r="C595" t="s">
        <v>18</v>
      </c>
      <c r="D595">
        <v>200</v>
      </c>
      <c r="E595">
        <v>100</v>
      </c>
      <c r="G595" t="str">
        <f t="shared" si="27"/>
        <v>Active</v>
      </c>
      <c r="H595" s="1" t="str">
        <f t="shared" si="28"/>
        <v/>
      </c>
      <c r="J595">
        <f t="shared" si="29"/>
        <v>0</v>
      </c>
    </row>
    <row r="596" spans="1:10" x14ac:dyDescent="0.35">
      <c r="A596">
        <v>1595</v>
      </c>
      <c r="B596" s="1">
        <v>45425</v>
      </c>
      <c r="C596" t="s">
        <v>18</v>
      </c>
      <c r="D596">
        <v>200</v>
      </c>
      <c r="E596">
        <v>100</v>
      </c>
      <c r="F596" s="1">
        <v>45524</v>
      </c>
      <c r="G596" t="str">
        <f t="shared" si="27"/>
        <v>Churned</v>
      </c>
      <c r="H596" s="1">
        <f t="shared" si="28"/>
        <v>45505</v>
      </c>
      <c r="J596">
        <f t="shared" si="29"/>
        <v>1</v>
      </c>
    </row>
    <row r="597" spans="1:10" x14ac:dyDescent="0.35">
      <c r="A597">
        <v>1596</v>
      </c>
      <c r="B597" s="1">
        <v>45514</v>
      </c>
      <c r="C597" t="s">
        <v>18</v>
      </c>
      <c r="D597">
        <v>200</v>
      </c>
      <c r="E597">
        <v>100</v>
      </c>
      <c r="G597" t="str">
        <f t="shared" si="27"/>
        <v>Active</v>
      </c>
      <c r="H597" s="1" t="str">
        <f t="shared" si="28"/>
        <v/>
      </c>
      <c r="J597">
        <f t="shared" si="29"/>
        <v>0</v>
      </c>
    </row>
    <row r="598" spans="1:10" x14ac:dyDescent="0.35">
      <c r="A598">
        <v>1597</v>
      </c>
      <c r="B598" s="1">
        <v>45630</v>
      </c>
      <c r="C598" t="s">
        <v>75</v>
      </c>
      <c r="D598">
        <v>50</v>
      </c>
      <c r="E598">
        <v>30</v>
      </c>
      <c r="G598" t="str">
        <f t="shared" si="27"/>
        <v>Active</v>
      </c>
      <c r="H598" s="1" t="str">
        <f t="shared" si="28"/>
        <v/>
      </c>
      <c r="J598">
        <f t="shared" si="29"/>
        <v>0</v>
      </c>
    </row>
    <row r="599" spans="1:10" x14ac:dyDescent="0.35">
      <c r="A599">
        <v>1598</v>
      </c>
      <c r="B599" s="1">
        <v>45405</v>
      </c>
      <c r="C599" t="s">
        <v>75</v>
      </c>
      <c r="D599">
        <v>50</v>
      </c>
      <c r="E599">
        <v>30</v>
      </c>
      <c r="G599" t="str">
        <f t="shared" si="27"/>
        <v>Active</v>
      </c>
      <c r="H599" s="1" t="str">
        <f t="shared" si="28"/>
        <v/>
      </c>
      <c r="J599">
        <f t="shared" si="29"/>
        <v>0</v>
      </c>
    </row>
    <row r="600" spans="1:10" x14ac:dyDescent="0.35">
      <c r="A600">
        <v>1599</v>
      </c>
      <c r="B600" s="1">
        <v>45444</v>
      </c>
      <c r="C600" t="s">
        <v>18</v>
      </c>
      <c r="D600">
        <v>200</v>
      </c>
      <c r="E600">
        <v>100</v>
      </c>
      <c r="F600" s="1">
        <v>45709</v>
      </c>
      <c r="G600" t="str">
        <f t="shared" si="27"/>
        <v>Churned</v>
      </c>
      <c r="H600" s="1">
        <f t="shared" si="28"/>
        <v>45689</v>
      </c>
      <c r="J600">
        <f t="shared" si="29"/>
        <v>1</v>
      </c>
    </row>
    <row r="601" spans="1:10" x14ac:dyDescent="0.35">
      <c r="A601">
        <v>1600</v>
      </c>
      <c r="B601" s="1">
        <v>45808</v>
      </c>
      <c r="C601" t="s">
        <v>21</v>
      </c>
      <c r="D601">
        <v>500</v>
      </c>
      <c r="E601">
        <v>200</v>
      </c>
      <c r="G601" t="str">
        <f t="shared" si="27"/>
        <v>Active</v>
      </c>
      <c r="H601" s="1" t="str">
        <f t="shared" si="28"/>
        <v/>
      </c>
      <c r="J601">
        <f t="shared" si="29"/>
        <v>0</v>
      </c>
    </row>
    <row r="602" spans="1:10" x14ac:dyDescent="0.35">
      <c r="A602">
        <v>1601</v>
      </c>
      <c r="B602" s="1">
        <v>45707</v>
      </c>
      <c r="C602" t="s">
        <v>18</v>
      </c>
      <c r="D602">
        <v>200</v>
      </c>
      <c r="E602">
        <v>100</v>
      </c>
      <c r="G602" t="str">
        <f t="shared" si="27"/>
        <v>Active</v>
      </c>
      <c r="H602" s="1" t="str">
        <f t="shared" si="28"/>
        <v/>
      </c>
      <c r="J602">
        <f t="shared" si="29"/>
        <v>0</v>
      </c>
    </row>
    <row r="603" spans="1:10" x14ac:dyDescent="0.35">
      <c r="A603">
        <v>1602</v>
      </c>
      <c r="B603" s="1">
        <v>45809</v>
      </c>
      <c r="C603" t="s">
        <v>75</v>
      </c>
      <c r="D603">
        <v>50</v>
      </c>
      <c r="E603">
        <v>30</v>
      </c>
      <c r="F603" s="1">
        <v>45838</v>
      </c>
      <c r="G603" t="str">
        <f t="shared" si="27"/>
        <v>Churned</v>
      </c>
      <c r="H603" s="1">
        <f t="shared" si="28"/>
        <v>45809</v>
      </c>
      <c r="J603">
        <f t="shared" si="29"/>
        <v>1</v>
      </c>
    </row>
    <row r="604" spans="1:10" x14ac:dyDescent="0.35">
      <c r="A604">
        <v>1603</v>
      </c>
      <c r="B604" s="1">
        <v>45648</v>
      </c>
      <c r="C604" t="s">
        <v>21</v>
      </c>
      <c r="D604">
        <v>500</v>
      </c>
      <c r="E604">
        <v>200</v>
      </c>
      <c r="G604" t="str">
        <f t="shared" si="27"/>
        <v>Active</v>
      </c>
      <c r="H604" s="1" t="str">
        <f t="shared" si="28"/>
        <v/>
      </c>
      <c r="J604">
        <f t="shared" si="29"/>
        <v>0</v>
      </c>
    </row>
    <row r="605" spans="1:10" x14ac:dyDescent="0.35">
      <c r="A605">
        <v>1604</v>
      </c>
      <c r="B605" s="1">
        <v>45309</v>
      </c>
      <c r="C605" t="s">
        <v>21</v>
      </c>
      <c r="D605">
        <v>500</v>
      </c>
      <c r="E605">
        <v>200</v>
      </c>
      <c r="G605" t="str">
        <f t="shared" si="27"/>
        <v>Active</v>
      </c>
      <c r="H605" s="1" t="str">
        <f t="shared" si="28"/>
        <v/>
      </c>
      <c r="J605">
        <f t="shared" si="29"/>
        <v>0</v>
      </c>
    </row>
    <row r="606" spans="1:10" x14ac:dyDescent="0.35">
      <c r="A606">
        <v>1605</v>
      </c>
      <c r="B606" s="1">
        <v>45385</v>
      </c>
      <c r="C606" t="s">
        <v>18</v>
      </c>
      <c r="D606">
        <v>200</v>
      </c>
      <c r="E606">
        <v>100</v>
      </c>
      <c r="G606" t="str">
        <f t="shared" si="27"/>
        <v>Active</v>
      </c>
      <c r="H606" s="1" t="str">
        <f t="shared" si="28"/>
        <v/>
      </c>
      <c r="J606">
        <f t="shared" si="29"/>
        <v>0</v>
      </c>
    </row>
    <row r="607" spans="1:10" x14ac:dyDescent="0.35">
      <c r="A607">
        <v>1606</v>
      </c>
      <c r="B607" s="1">
        <v>45700</v>
      </c>
      <c r="C607" t="s">
        <v>75</v>
      </c>
      <c r="D607">
        <v>50</v>
      </c>
      <c r="E607">
        <v>30</v>
      </c>
      <c r="G607" t="str">
        <f t="shared" si="27"/>
        <v>Active</v>
      </c>
      <c r="H607" s="1" t="str">
        <f t="shared" si="28"/>
        <v/>
      </c>
      <c r="J607">
        <f t="shared" si="29"/>
        <v>0</v>
      </c>
    </row>
    <row r="608" spans="1:10" x14ac:dyDescent="0.35">
      <c r="A608">
        <v>1607</v>
      </c>
      <c r="B608" s="1">
        <v>45717</v>
      </c>
      <c r="C608" t="s">
        <v>18</v>
      </c>
      <c r="D608">
        <v>200</v>
      </c>
      <c r="E608">
        <v>100</v>
      </c>
      <c r="F608" s="1">
        <v>45778</v>
      </c>
      <c r="G608" t="str">
        <f t="shared" si="27"/>
        <v>Churned</v>
      </c>
      <c r="H608" s="1">
        <f t="shared" si="28"/>
        <v>45778</v>
      </c>
      <c r="J608">
        <f t="shared" si="29"/>
        <v>1</v>
      </c>
    </row>
    <row r="609" spans="1:10" x14ac:dyDescent="0.35">
      <c r="A609">
        <v>1608</v>
      </c>
      <c r="B609" s="1">
        <v>45770</v>
      </c>
      <c r="C609" t="s">
        <v>21</v>
      </c>
      <c r="D609">
        <v>500</v>
      </c>
      <c r="E609">
        <v>200</v>
      </c>
      <c r="G609" t="str">
        <f t="shared" si="27"/>
        <v>Active</v>
      </c>
      <c r="H609" s="1" t="str">
        <f t="shared" si="28"/>
        <v/>
      </c>
      <c r="J609">
        <f t="shared" si="29"/>
        <v>0</v>
      </c>
    </row>
    <row r="610" spans="1:10" x14ac:dyDescent="0.35">
      <c r="A610">
        <v>1609</v>
      </c>
      <c r="B610" s="1">
        <v>45337</v>
      </c>
      <c r="C610" t="s">
        <v>75</v>
      </c>
      <c r="D610">
        <v>50</v>
      </c>
      <c r="E610">
        <v>30</v>
      </c>
      <c r="G610" t="str">
        <f t="shared" si="27"/>
        <v>Active</v>
      </c>
      <c r="H610" s="1" t="str">
        <f t="shared" si="28"/>
        <v/>
      </c>
      <c r="J610">
        <f t="shared" si="29"/>
        <v>0</v>
      </c>
    </row>
    <row r="611" spans="1:10" x14ac:dyDescent="0.35">
      <c r="A611">
        <v>1610</v>
      </c>
      <c r="B611" s="1">
        <v>45801</v>
      </c>
      <c r="C611" t="s">
        <v>21</v>
      </c>
      <c r="D611">
        <v>500</v>
      </c>
      <c r="E611">
        <v>200</v>
      </c>
      <c r="G611" t="str">
        <f t="shared" si="27"/>
        <v>Active</v>
      </c>
      <c r="H611" s="1" t="str">
        <f t="shared" si="28"/>
        <v/>
      </c>
      <c r="J611">
        <f t="shared" si="29"/>
        <v>0</v>
      </c>
    </row>
    <row r="612" spans="1:10" x14ac:dyDescent="0.35">
      <c r="A612">
        <v>1611</v>
      </c>
      <c r="B612" s="1">
        <v>45621</v>
      </c>
      <c r="C612" t="s">
        <v>18</v>
      </c>
      <c r="D612">
        <v>200</v>
      </c>
      <c r="E612">
        <v>100</v>
      </c>
      <c r="G612" t="str">
        <f t="shared" si="27"/>
        <v>Active</v>
      </c>
      <c r="H612" s="1" t="str">
        <f t="shared" si="28"/>
        <v/>
      </c>
      <c r="J612">
        <f t="shared" si="29"/>
        <v>0</v>
      </c>
    </row>
    <row r="613" spans="1:10" x14ac:dyDescent="0.35">
      <c r="A613">
        <v>1612</v>
      </c>
      <c r="B613" s="1">
        <v>45708</v>
      </c>
      <c r="C613" t="s">
        <v>18</v>
      </c>
      <c r="D613">
        <v>200</v>
      </c>
      <c r="E613">
        <v>100</v>
      </c>
      <c r="G613" t="str">
        <f t="shared" si="27"/>
        <v>Active</v>
      </c>
      <c r="H613" s="1" t="str">
        <f t="shared" si="28"/>
        <v/>
      </c>
      <c r="J613">
        <f t="shared" si="29"/>
        <v>0</v>
      </c>
    </row>
    <row r="614" spans="1:10" x14ac:dyDescent="0.35">
      <c r="A614">
        <v>1613</v>
      </c>
      <c r="B614" s="1">
        <v>45297</v>
      </c>
      <c r="C614" t="s">
        <v>21</v>
      </c>
      <c r="D614">
        <v>500</v>
      </c>
      <c r="E614">
        <v>200</v>
      </c>
      <c r="G614" t="str">
        <f t="shared" si="27"/>
        <v>Active</v>
      </c>
      <c r="H614" s="1" t="str">
        <f t="shared" si="28"/>
        <v/>
      </c>
      <c r="J614">
        <f t="shared" si="29"/>
        <v>0</v>
      </c>
    </row>
    <row r="615" spans="1:10" x14ac:dyDescent="0.35">
      <c r="A615">
        <v>1614</v>
      </c>
      <c r="B615" s="1">
        <v>45668</v>
      </c>
      <c r="C615" t="s">
        <v>18</v>
      </c>
      <c r="D615">
        <v>200</v>
      </c>
      <c r="E615">
        <v>100</v>
      </c>
      <c r="G615" t="str">
        <f t="shared" si="27"/>
        <v>Active</v>
      </c>
      <c r="H615" s="1" t="str">
        <f t="shared" si="28"/>
        <v/>
      </c>
      <c r="J615">
        <f t="shared" si="29"/>
        <v>0</v>
      </c>
    </row>
    <row r="616" spans="1:10" x14ac:dyDescent="0.35">
      <c r="A616">
        <v>1615</v>
      </c>
      <c r="B616" s="1">
        <v>45404</v>
      </c>
      <c r="C616" t="s">
        <v>18</v>
      </c>
      <c r="D616">
        <v>200</v>
      </c>
      <c r="E616">
        <v>100</v>
      </c>
      <c r="G616" t="str">
        <f t="shared" si="27"/>
        <v>Active</v>
      </c>
      <c r="H616" s="1" t="str">
        <f t="shared" si="28"/>
        <v/>
      </c>
      <c r="J616">
        <f t="shared" si="29"/>
        <v>0</v>
      </c>
    </row>
    <row r="617" spans="1:10" x14ac:dyDescent="0.35">
      <c r="A617">
        <v>1616</v>
      </c>
      <c r="B617" s="1">
        <v>45384</v>
      </c>
      <c r="C617" t="s">
        <v>21</v>
      </c>
      <c r="D617">
        <v>500</v>
      </c>
      <c r="E617">
        <v>200</v>
      </c>
      <c r="F617" s="1">
        <v>45744</v>
      </c>
      <c r="G617" t="str">
        <f t="shared" si="27"/>
        <v>Churned</v>
      </c>
      <c r="H617" s="1">
        <f t="shared" si="28"/>
        <v>45717</v>
      </c>
      <c r="J617">
        <f t="shared" si="29"/>
        <v>1</v>
      </c>
    </row>
    <row r="618" spans="1:10" x14ac:dyDescent="0.35">
      <c r="A618">
        <v>1617</v>
      </c>
      <c r="B618" s="1">
        <v>45316</v>
      </c>
      <c r="C618" t="s">
        <v>75</v>
      </c>
      <c r="D618">
        <v>50</v>
      </c>
      <c r="E618">
        <v>30</v>
      </c>
      <c r="F618" s="1">
        <v>45728</v>
      </c>
      <c r="G618" t="str">
        <f t="shared" si="27"/>
        <v>Churned</v>
      </c>
      <c r="H618" s="1">
        <f t="shared" si="28"/>
        <v>45717</v>
      </c>
      <c r="J618">
        <f t="shared" si="29"/>
        <v>1</v>
      </c>
    </row>
    <row r="619" spans="1:10" x14ac:dyDescent="0.35">
      <c r="A619">
        <v>1618</v>
      </c>
      <c r="B619" s="1">
        <v>45712</v>
      </c>
      <c r="C619" t="s">
        <v>75</v>
      </c>
      <c r="D619">
        <v>50</v>
      </c>
      <c r="E619">
        <v>30</v>
      </c>
      <c r="G619" t="str">
        <f t="shared" si="27"/>
        <v>Active</v>
      </c>
      <c r="H619" s="1" t="str">
        <f t="shared" si="28"/>
        <v/>
      </c>
      <c r="J619">
        <f t="shared" si="29"/>
        <v>0</v>
      </c>
    </row>
    <row r="620" spans="1:10" x14ac:dyDescent="0.35">
      <c r="A620">
        <v>1619</v>
      </c>
      <c r="B620" s="1">
        <v>45790</v>
      </c>
      <c r="C620" t="s">
        <v>21</v>
      </c>
      <c r="D620">
        <v>500</v>
      </c>
      <c r="E620">
        <v>200</v>
      </c>
      <c r="G620" t="str">
        <f t="shared" si="27"/>
        <v>Active</v>
      </c>
      <c r="H620" s="1" t="str">
        <f t="shared" si="28"/>
        <v/>
      </c>
      <c r="J620">
        <f t="shared" si="29"/>
        <v>0</v>
      </c>
    </row>
    <row r="621" spans="1:10" x14ac:dyDescent="0.35">
      <c r="A621">
        <v>1620</v>
      </c>
      <c r="B621" s="1">
        <v>45647</v>
      </c>
      <c r="C621" t="s">
        <v>18</v>
      </c>
      <c r="D621">
        <v>200</v>
      </c>
      <c r="E621">
        <v>100</v>
      </c>
      <c r="G621" t="str">
        <f t="shared" si="27"/>
        <v>Active</v>
      </c>
      <c r="H621" s="1" t="str">
        <f t="shared" si="28"/>
        <v/>
      </c>
      <c r="J621">
        <f t="shared" si="29"/>
        <v>0</v>
      </c>
    </row>
    <row r="622" spans="1:10" x14ac:dyDescent="0.35">
      <c r="A622">
        <v>1621</v>
      </c>
      <c r="B622" s="1">
        <v>45396</v>
      </c>
      <c r="C622" t="s">
        <v>75</v>
      </c>
      <c r="D622">
        <v>50</v>
      </c>
      <c r="E622">
        <v>30</v>
      </c>
      <c r="G622" t="str">
        <f t="shared" si="27"/>
        <v>Active</v>
      </c>
      <c r="H622" s="1" t="str">
        <f t="shared" si="28"/>
        <v/>
      </c>
      <c r="J622">
        <f t="shared" si="29"/>
        <v>0</v>
      </c>
    </row>
    <row r="623" spans="1:10" x14ac:dyDescent="0.35">
      <c r="A623">
        <v>1622</v>
      </c>
      <c r="B623" s="1">
        <v>45346</v>
      </c>
      <c r="C623" t="s">
        <v>21</v>
      </c>
      <c r="D623">
        <v>500</v>
      </c>
      <c r="E623">
        <v>200</v>
      </c>
      <c r="G623" t="str">
        <f t="shared" si="27"/>
        <v>Active</v>
      </c>
      <c r="H623" s="1" t="str">
        <f t="shared" si="28"/>
        <v/>
      </c>
      <c r="J623">
        <f t="shared" si="29"/>
        <v>0</v>
      </c>
    </row>
    <row r="624" spans="1:10" x14ac:dyDescent="0.35">
      <c r="A624">
        <v>1623</v>
      </c>
      <c r="B624" s="1">
        <v>45792</v>
      </c>
      <c r="C624" t="s">
        <v>21</v>
      </c>
      <c r="D624">
        <v>500</v>
      </c>
      <c r="E624">
        <v>200</v>
      </c>
      <c r="G624" t="str">
        <f t="shared" si="27"/>
        <v>Active</v>
      </c>
      <c r="H624" s="1" t="str">
        <f t="shared" si="28"/>
        <v/>
      </c>
      <c r="J624">
        <f t="shared" si="29"/>
        <v>0</v>
      </c>
    </row>
    <row r="625" spans="1:10" x14ac:dyDescent="0.35">
      <c r="A625">
        <v>1624</v>
      </c>
      <c r="B625" s="1">
        <v>45500</v>
      </c>
      <c r="C625" t="s">
        <v>21</v>
      </c>
      <c r="D625">
        <v>500</v>
      </c>
      <c r="E625">
        <v>200</v>
      </c>
      <c r="F625" s="1">
        <v>45554</v>
      </c>
      <c r="G625" t="str">
        <f t="shared" si="27"/>
        <v>Churned</v>
      </c>
      <c r="H625" s="1">
        <f t="shared" si="28"/>
        <v>45536</v>
      </c>
      <c r="J625">
        <f t="shared" si="29"/>
        <v>1</v>
      </c>
    </row>
    <row r="626" spans="1:10" x14ac:dyDescent="0.35">
      <c r="A626">
        <v>1625</v>
      </c>
      <c r="B626" s="1">
        <v>45298</v>
      </c>
      <c r="C626" t="s">
        <v>75</v>
      </c>
      <c r="D626">
        <v>50</v>
      </c>
      <c r="E626">
        <v>30</v>
      </c>
      <c r="G626" t="str">
        <f t="shared" si="27"/>
        <v>Active</v>
      </c>
      <c r="H626" s="1" t="str">
        <f t="shared" si="28"/>
        <v/>
      </c>
      <c r="J626">
        <f t="shared" si="29"/>
        <v>0</v>
      </c>
    </row>
    <row r="627" spans="1:10" x14ac:dyDescent="0.35">
      <c r="A627">
        <v>1626</v>
      </c>
      <c r="B627" s="1">
        <v>45442</v>
      </c>
      <c r="C627" t="s">
        <v>75</v>
      </c>
      <c r="D627">
        <v>50</v>
      </c>
      <c r="E627">
        <v>30</v>
      </c>
      <c r="G627" t="str">
        <f t="shared" si="27"/>
        <v>Active</v>
      </c>
      <c r="H627" s="1" t="str">
        <f t="shared" si="28"/>
        <v/>
      </c>
      <c r="J627">
        <f t="shared" si="29"/>
        <v>0</v>
      </c>
    </row>
    <row r="628" spans="1:10" x14ac:dyDescent="0.35">
      <c r="A628">
        <v>1627</v>
      </c>
      <c r="B628" s="1">
        <v>45530</v>
      </c>
      <c r="C628" t="s">
        <v>21</v>
      </c>
      <c r="D628">
        <v>500</v>
      </c>
      <c r="E628">
        <v>200</v>
      </c>
      <c r="G628" t="str">
        <f t="shared" si="27"/>
        <v>Active</v>
      </c>
      <c r="H628" s="1" t="str">
        <f t="shared" si="28"/>
        <v/>
      </c>
      <c r="J628">
        <f t="shared" si="29"/>
        <v>0</v>
      </c>
    </row>
    <row r="629" spans="1:10" x14ac:dyDescent="0.35">
      <c r="A629">
        <v>1628</v>
      </c>
      <c r="B629" s="1">
        <v>45579</v>
      </c>
      <c r="C629" t="s">
        <v>75</v>
      </c>
      <c r="D629">
        <v>50</v>
      </c>
      <c r="E629">
        <v>30</v>
      </c>
      <c r="G629" t="str">
        <f t="shared" si="27"/>
        <v>Active</v>
      </c>
      <c r="H629" s="1" t="str">
        <f t="shared" si="28"/>
        <v/>
      </c>
      <c r="J629">
        <f t="shared" si="29"/>
        <v>0</v>
      </c>
    </row>
    <row r="630" spans="1:10" x14ac:dyDescent="0.35">
      <c r="A630">
        <v>1629</v>
      </c>
      <c r="B630" s="1">
        <v>45617</v>
      </c>
      <c r="C630" t="s">
        <v>18</v>
      </c>
      <c r="D630">
        <v>200</v>
      </c>
      <c r="E630">
        <v>100</v>
      </c>
      <c r="F630" s="1">
        <v>45768</v>
      </c>
      <c r="G630" t="str">
        <f t="shared" si="27"/>
        <v>Churned</v>
      </c>
      <c r="H630" s="1">
        <f t="shared" si="28"/>
        <v>45748</v>
      </c>
      <c r="J630">
        <f t="shared" si="29"/>
        <v>1</v>
      </c>
    </row>
    <row r="631" spans="1:10" x14ac:dyDescent="0.35">
      <c r="A631">
        <v>1630</v>
      </c>
      <c r="B631" s="1">
        <v>45321</v>
      </c>
      <c r="C631" t="s">
        <v>75</v>
      </c>
      <c r="D631">
        <v>50</v>
      </c>
      <c r="E631">
        <v>30</v>
      </c>
      <c r="G631" t="str">
        <f t="shared" si="27"/>
        <v>Active</v>
      </c>
      <c r="H631" s="1" t="str">
        <f t="shared" si="28"/>
        <v/>
      </c>
      <c r="J631">
        <f t="shared" si="29"/>
        <v>0</v>
      </c>
    </row>
    <row r="632" spans="1:10" x14ac:dyDescent="0.35">
      <c r="A632">
        <v>1631</v>
      </c>
      <c r="B632" s="1">
        <v>45696</v>
      </c>
      <c r="C632" t="s">
        <v>21</v>
      </c>
      <c r="D632">
        <v>500</v>
      </c>
      <c r="E632">
        <v>200</v>
      </c>
      <c r="G632" t="str">
        <f t="shared" si="27"/>
        <v>Active</v>
      </c>
      <c r="H632" s="1" t="str">
        <f t="shared" si="28"/>
        <v/>
      </c>
      <c r="J632">
        <f t="shared" si="29"/>
        <v>0</v>
      </c>
    </row>
    <row r="633" spans="1:10" x14ac:dyDescent="0.35">
      <c r="A633">
        <v>1632</v>
      </c>
      <c r="B633" s="1">
        <v>45615</v>
      </c>
      <c r="C633" t="s">
        <v>18</v>
      </c>
      <c r="D633">
        <v>200</v>
      </c>
      <c r="E633">
        <v>100</v>
      </c>
      <c r="G633" t="str">
        <f t="shared" si="27"/>
        <v>Active</v>
      </c>
      <c r="H633" s="1" t="str">
        <f t="shared" si="28"/>
        <v/>
      </c>
      <c r="J633">
        <f t="shared" si="29"/>
        <v>0</v>
      </c>
    </row>
    <row r="634" spans="1:10" x14ac:dyDescent="0.35">
      <c r="A634">
        <v>1633</v>
      </c>
      <c r="B634" s="1">
        <v>45338</v>
      </c>
      <c r="C634" t="s">
        <v>21</v>
      </c>
      <c r="D634">
        <v>500</v>
      </c>
      <c r="E634">
        <v>200</v>
      </c>
      <c r="G634" t="str">
        <f t="shared" si="27"/>
        <v>Active</v>
      </c>
      <c r="H634" s="1" t="str">
        <f t="shared" si="28"/>
        <v/>
      </c>
      <c r="J634">
        <f t="shared" si="29"/>
        <v>0</v>
      </c>
    </row>
    <row r="635" spans="1:10" x14ac:dyDescent="0.35">
      <c r="A635">
        <v>1634</v>
      </c>
      <c r="B635" s="1">
        <v>45515</v>
      </c>
      <c r="C635" t="s">
        <v>21</v>
      </c>
      <c r="D635">
        <v>500</v>
      </c>
      <c r="E635">
        <v>200</v>
      </c>
      <c r="G635" t="str">
        <f t="shared" si="27"/>
        <v>Active</v>
      </c>
      <c r="H635" s="1" t="str">
        <f t="shared" si="28"/>
        <v/>
      </c>
      <c r="J635">
        <f t="shared" si="29"/>
        <v>0</v>
      </c>
    </row>
    <row r="636" spans="1:10" x14ac:dyDescent="0.35">
      <c r="A636">
        <v>1635</v>
      </c>
      <c r="B636" s="1">
        <v>45321</v>
      </c>
      <c r="C636" t="s">
        <v>21</v>
      </c>
      <c r="D636">
        <v>500</v>
      </c>
      <c r="E636">
        <v>200</v>
      </c>
      <c r="G636" t="str">
        <f t="shared" si="27"/>
        <v>Active</v>
      </c>
      <c r="H636" s="1" t="str">
        <f t="shared" si="28"/>
        <v/>
      </c>
      <c r="J636">
        <f t="shared" si="29"/>
        <v>0</v>
      </c>
    </row>
    <row r="637" spans="1:10" x14ac:dyDescent="0.35">
      <c r="A637">
        <v>1636</v>
      </c>
      <c r="B637" s="1">
        <v>45515</v>
      </c>
      <c r="C637" t="s">
        <v>21</v>
      </c>
      <c r="D637">
        <v>500</v>
      </c>
      <c r="E637">
        <v>200</v>
      </c>
      <c r="G637" t="str">
        <f t="shared" si="27"/>
        <v>Active</v>
      </c>
      <c r="H637" s="1" t="str">
        <f t="shared" si="28"/>
        <v/>
      </c>
      <c r="J637">
        <f t="shared" si="29"/>
        <v>0</v>
      </c>
    </row>
    <row r="638" spans="1:10" x14ac:dyDescent="0.35">
      <c r="A638">
        <v>1637</v>
      </c>
      <c r="B638" s="1">
        <v>45798</v>
      </c>
      <c r="C638" t="s">
        <v>21</v>
      </c>
      <c r="D638">
        <v>500</v>
      </c>
      <c r="E638">
        <v>200</v>
      </c>
      <c r="G638" t="str">
        <f t="shared" si="27"/>
        <v>Active</v>
      </c>
      <c r="H638" s="1" t="str">
        <f t="shared" si="28"/>
        <v/>
      </c>
      <c r="J638">
        <f t="shared" si="29"/>
        <v>0</v>
      </c>
    </row>
    <row r="639" spans="1:10" x14ac:dyDescent="0.35">
      <c r="A639">
        <v>1638</v>
      </c>
      <c r="B639" s="1">
        <v>45739</v>
      </c>
      <c r="C639" t="s">
        <v>18</v>
      </c>
      <c r="D639">
        <v>200</v>
      </c>
      <c r="E639">
        <v>100</v>
      </c>
      <c r="G639" t="str">
        <f t="shared" si="27"/>
        <v>Active</v>
      </c>
      <c r="H639" s="1" t="str">
        <f t="shared" si="28"/>
        <v/>
      </c>
      <c r="J639">
        <f t="shared" si="29"/>
        <v>0</v>
      </c>
    </row>
    <row r="640" spans="1:10" x14ac:dyDescent="0.35">
      <c r="A640">
        <v>1639</v>
      </c>
      <c r="B640" s="1">
        <v>45541</v>
      </c>
      <c r="C640" t="s">
        <v>18</v>
      </c>
      <c r="D640">
        <v>200</v>
      </c>
      <c r="E640">
        <v>100</v>
      </c>
      <c r="G640" t="str">
        <f t="shared" si="27"/>
        <v>Active</v>
      </c>
      <c r="H640" s="1" t="str">
        <f t="shared" si="28"/>
        <v/>
      </c>
      <c r="J640">
        <f t="shared" si="29"/>
        <v>0</v>
      </c>
    </row>
    <row r="641" spans="1:10" x14ac:dyDescent="0.35">
      <c r="A641">
        <v>1640</v>
      </c>
      <c r="B641" s="1">
        <v>45624</v>
      </c>
      <c r="C641" t="s">
        <v>75</v>
      </c>
      <c r="D641">
        <v>50</v>
      </c>
      <c r="E641">
        <v>30</v>
      </c>
      <c r="G641" t="str">
        <f t="shared" si="27"/>
        <v>Active</v>
      </c>
      <c r="H641" s="1" t="str">
        <f t="shared" si="28"/>
        <v/>
      </c>
      <c r="J641">
        <f t="shared" si="29"/>
        <v>0</v>
      </c>
    </row>
    <row r="642" spans="1:10" x14ac:dyDescent="0.35">
      <c r="A642">
        <v>1641</v>
      </c>
      <c r="B642" s="1">
        <v>45498</v>
      </c>
      <c r="C642" t="s">
        <v>75</v>
      </c>
      <c r="D642">
        <v>50</v>
      </c>
      <c r="E642">
        <v>30</v>
      </c>
      <c r="G642" t="str">
        <f t="shared" si="27"/>
        <v>Active</v>
      </c>
      <c r="H642" s="1" t="str">
        <f t="shared" si="28"/>
        <v/>
      </c>
      <c r="J642">
        <f t="shared" si="29"/>
        <v>0</v>
      </c>
    </row>
    <row r="643" spans="1:10" x14ac:dyDescent="0.35">
      <c r="A643">
        <v>1642</v>
      </c>
      <c r="B643" s="1">
        <v>45675</v>
      </c>
      <c r="C643" t="s">
        <v>21</v>
      </c>
      <c r="D643">
        <v>500</v>
      </c>
      <c r="E643">
        <v>200</v>
      </c>
      <c r="G643" t="str">
        <f t="shared" ref="G643:G706" si="30">IF(F643="","Active","Churned")</f>
        <v>Active</v>
      </c>
      <c r="H643" s="1" t="str">
        <f t="shared" ref="H643:H706" si="31">IF(F643="","",DATE(YEAR(F643),MONTH(F643),1))</f>
        <v/>
      </c>
      <c r="J643">
        <f t="shared" ref="J643:J706" si="32">IF(G643="Churned",1,0)</f>
        <v>0</v>
      </c>
    </row>
    <row r="644" spans="1:10" x14ac:dyDescent="0.35">
      <c r="A644">
        <v>1643</v>
      </c>
      <c r="B644" s="1">
        <v>45467</v>
      </c>
      <c r="C644" t="s">
        <v>75</v>
      </c>
      <c r="D644">
        <v>50</v>
      </c>
      <c r="E644">
        <v>30</v>
      </c>
      <c r="G644" t="str">
        <f t="shared" si="30"/>
        <v>Active</v>
      </c>
      <c r="H644" s="1" t="str">
        <f t="shared" si="31"/>
        <v/>
      </c>
      <c r="J644">
        <f t="shared" si="32"/>
        <v>0</v>
      </c>
    </row>
    <row r="645" spans="1:10" x14ac:dyDescent="0.35">
      <c r="A645">
        <v>1644</v>
      </c>
      <c r="B645" s="1">
        <v>45603</v>
      </c>
      <c r="C645" t="s">
        <v>21</v>
      </c>
      <c r="D645">
        <v>500</v>
      </c>
      <c r="E645">
        <v>200</v>
      </c>
      <c r="G645" t="str">
        <f t="shared" si="30"/>
        <v>Active</v>
      </c>
      <c r="H645" s="1" t="str">
        <f t="shared" si="31"/>
        <v/>
      </c>
      <c r="J645">
        <f t="shared" si="32"/>
        <v>0</v>
      </c>
    </row>
    <row r="646" spans="1:10" x14ac:dyDescent="0.35">
      <c r="A646">
        <v>1645</v>
      </c>
      <c r="B646" s="1">
        <v>45708</v>
      </c>
      <c r="C646" t="s">
        <v>75</v>
      </c>
      <c r="D646">
        <v>50</v>
      </c>
      <c r="E646">
        <v>30</v>
      </c>
      <c r="G646" t="str">
        <f t="shared" si="30"/>
        <v>Active</v>
      </c>
      <c r="H646" s="1" t="str">
        <f t="shared" si="31"/>
        <v/>
      </c>
      <c r="J646">
        <f t="shared" si="32"/>
        <v>0</v>
      </c>
    </row>
    <row r="647" spans="1:10" x14ac:dyDescent="0.35">
      <c r="A647">
        <v>1646</v>
      </c>
      <c r="B647" s="1">
        <v>45730</v>
      </c>
      <c r="C647" t="s">
        <v>21</v>
      </c>
      <c r="D647">
        <v>500</v>
      </c>
      <c r="E647">
        <v>200</v>
      </c>
      <c r="G647" t="str">
        <f t="shared" si="30"/>
        <v>Active</v>
      </c>
      <c r="H647" s="1" t="str">
        <f t="shared" si="31"/>
        <v/>
      </c>
      <c r="J647">
        <f t="shared" si="32"/>
        <v>0</v>
      </c>
    </row>
    <row r="648" spans="1:10" x14ac:dyDescent="0.35">
      <c r="A648">
        <v>1647</v>
      </c>
      <c r="B648" s="1">
        <v>45637</v>
      </c>
      <c r="C648" t="s">
        <v>75</v>
      </c>
      <c r="D648">
        <v>50</v>
      </c>
      <c r="E648">
        <v>30</v>
      </c>
      <c r="G648" t="str">
        <f t="shared" si="30"/>
        <v>Active</v>
      </c>
      <c r="H648" s="1" t="str">
        <f t="shared" si="31"/>
        <v/>
      </c>
      <c r="J648">
        <f t="shared" si="32"/>
        <v>0</v>
      </c>
    </row>
    <row r="649" spans="1:10" x14ac:dyDescent="0.35">
      <c r="A649">
        <v>1648</v>
      </c>
      <c r="B649" s="1">
        <v>45763</v>
      </c>
      <c r="C649" t="s">
        <v>75</v>
      </c>
      <c r="D649">
        <v>50</v>
      </c>
      <c r="E649">
        <v>30</v>
      </c>
      <c r="G649" t="str">
        <f t="shared" si="30"/>
        <v>Active</v>
      </c>
      <c r="H649" s="1" t="str">
        <f t="shared" si="31"/>
        <v/>
      </c>
      <c r="J649">
        <f t="shared" si="32"/>
        <v>0</v>
      </c>
    </row>
    <row r="650" spans="1:10" x14ac:dyDescent="0.35">
      <c r="A650">
        <v>1649</v>
      </c>
      <c r="B650" s="1">
        <v>45822</v>
      </c>
      <c r="C650" t="s">
        <v>18</v>
      </c>
      <c r="D650">
        <v>200</v>
      </c>
      <c r="E650">
        <v>100</v>
      </c>
      <c r="G650" t="str">
        <f t="shared" si="30"/>
        <v>Active</v>
      </c>
      <c r="H650" s="1" t="str">
        <f t="shared" si="31"/>
        <v/>
      </c>
      <c r="J650">
        <f t="shared" si="32"/>
        <v>0</v>
      </c>
    </row>
    <row r="651" spans="1:10" x14ac:dyDescent="0.35">
      <c r="A651">
        <v>1650</v>
      </c>
      <c r="B651" s="1">
        <v>45756</v>
      </c>
      <c r="C651" t="s">
        <v>18</v>
      </c>
      <c r="D651">
        <v>200</v>
      </c>
      <c r="E651">
        <v>100</v>
      </c>
      <c r="G651" t="str">
        <f t="shared" si="30"/>
        <v>Active</v>
      </c>
      <c r="H651" s="1" t="str">
        <f t="shared" si="31"/>
        <v/>
      </c>
      <c r="J651">
        <f t="shared" si="32"/>
        <v>0</v>
      </c>
    </row>
    <row r="652" spans="1:10" x14ac:dyDescent="0.35">
      <c r="A652">
        <v>1651</v>
      </c>
      <c r="B652" s="1">
        <v>45810</v>
      </c>
      <c r="C652" t="s">
        <v>21</v>
      </c>
      <c r="D652">
        <v>500</v>
      </c>
      <c r="E652">
        <v>200</v>
      </c>
      <c r="G652" t="str">
        <f t="shared" si="30"/>
        <v>Active</v>
      </c>
      <c r="H652" s="1" t="str">
        <f t="shared" si="31"/>
        <v/>
      </c>
      <c r="J652">
        <f t="shared" si="32"/>
        <v>0</v>
      </c>
    </row>
    <row r="653" spans="1:10" x14ac:dyDescent="0.35">
      <c r="A653">
        <v>1652</v>
      </c>
      <c r="B653" s="1">
        <v>45473</v>
      </c>
      <c r="C653" t="s">
        <v>75</v>
      </c>
      <c r="D653">
        <v>50</v>
      </c>
      <c r="E653">
        <v>30</v>
      </c>
      <c r="G653" t="str">
        <f t="shared" si="30"/>
        <v>Active</v>
      </c>
      <c r="H653" s="1" t="str">
        <f t="shared" si="31"/>
        <v/>
      </c>
      <c r="J653">
        <f t="shared" si="32"/>
        <v>0</v>
      </c>
    </row>
    <row r="654" spans="1:10" x14ac:dyDescent="0.35">
      <c r="A654">
        <v>1653</v>
      </c>
      <c r="B654" s="1">
        <v>45405</v>
      </c>
      <c r="C654" t="s">
        <v>18</v>
      </c>
      <c r="D654">
        <v>200</v>
      </c>
      <c r="E654">
        <v>100</v>
      </c>
      <c r="G654" t="str">
        <f t="shared" si="30"/>
        <v>Active</v>
      </c>
      <c r="H654" s="1" t="str">
        <f t="shared" si="31"/>
        <v/>
      </c>
      <c r="J654">
        <f t="shared" si="32"/>
        <v>0</v>
      </c>
    </row>
    <row r="655" spans="1:10" x14ac:dyDescent="0.35">
      <c r="A655">
        <v>1654</v>
      </c>
      <c r="B655" s="1">
        <v>45718</v>
      </c>
      <c r="C655" t="s">
        <v>75</v>
      </c>
      <c r="D655">
        <v>50</v>
      </c>
      <c r="E655">
        <v>30</v>
      </c>
      <c r="G655" t="str">
        <f t="shared" si="30"/>
        <v>Active</v>
      </c>
      <c r="H655" s="1" t="str">
        <f t="shared" si="31"/>
        <v/>
      </c>
      <c r="J655">
        <f t="shared" si="32"/>
        <v>0</v>
      </c>
    </row>
    <row r="656" spans="1:10" x14ac:dyDescent="0.35">
      <c r="A656">
        <v>1655</v>
      </c>
      <c r="B656" s="1">
        <v>45677</v>
      </c>
      <c r="C656" t="s">
        <v>75</v>
      </c>
      <c r="D656">
        <v>50</v>
      </c>
      <c r="E656">
        <v>30</v>
      </c>
      <c r="G656" t="str">
        <f t="shared" si="30"/>
        <v>Active</v>
      </c>
      <c r="H656" s="1" t="str">
        <f t="shared" si="31"/>
        <v/>
      </c>
      <c r="J656">
        <f t="shared" si="32"/>
        <v>0</v>
      </c>
    </row>
    <row r="657" spans="1:10" x14ac:dyDescent="0.35">
      <c r="A657">
        <v>1656</v>
      </c>
      <c r="B657" s="1">
        <v>45566</v>
      </c>
      <c r="C657" t="s">
        <v>18</v>
      </c>
      <c r="D657">
        <v>200</v>
      </c>
      <c r="E657">
        <v>100</v>
      </c>
      <c r="F657" s="1">
        <v>45672</v>
      </c>
      <c r="G657" t="str">
        <f t="shared" si="30"/>
        <v>Churned</v>
      </c>
      <c r="H657" s="1">
        <f t="shared" si="31"/>
        <v>45658</v>
      </c>
      <c r="J657">
        <f t="shared" si="32"/>
        <v>1</v>
      </c>
    </row>
    <row r="658" spans="1:10" x14ac:dyDescent="0.35">
      <c r="A658">
        <v>1657</v>
      </c>
      <c r="B658" s="1">
        <v>45640</v>
      </c>
      <c r="C658" t="s">
        <v>75</v>
      </c>
      <c r="D658">
        <v>50</v>
      </c>
      <c r="E658">
        <v>30</v>
      </c>
      <c r="G658" t="str">
        <f t="shared" si="30"/>
        <v>Active</v>
      </c>
      <c r="H658" s="1" t="str">
        <f t="shared" si="31"/>
        <v/>
      </c>
      <c r="J658">
        <f t="shared" si="32"/>
        <v>0</v>
      </c>
    </row>
    <row r="659" spans="1:10" x14ac:dyDescent="0.35">
      <c r="A659">
        <v>1658</v>
      </c>
      <c r="B659" s="1">
        <v>45647</v>
      </c>
      <c r="C659" t="s">
        <v>21</v>
      </c>
      <c r="D659">
        <v>500</v>
      </c>
      <c r="E659">
        <v>200</v>
      </c>
      <c r="G659" t="str">
        <f t="shared" si="30"/>
        <v>Active</v>
      </c>
      <c r="H659" s="1" t="str">
        <f t="shared" si="31"/>
        <v/>
      </c>
      <c r="J659">
        <f t="shared" si="32"/>
        <v>0</v>
      </c>
    </row>
    <row r="660" spans="1:10" x14ac:dyDescent="0.35">
      <c r="A660">
        <v>1659</v>
      </c>
      <c r="B660" s="1">
        <v>45463</v>
      </c>
      <c r="C660" t="s">
        <v>18</v>
      </c>
      <c r="D660">
        <v>200</v>
      </c>
      <c r="E660">
        <v>100</v>
      </c>
      <c r="G660" t="str">
        <f t="shared" si="30"/>
        <v>Active</v>
      </c>
      <c r="H660" s="1" t="str">
        <f t="shared" si="31"/>
        <v/>
      </c>
      <c r="J660">
        <f t="shared" si="32"/>
        <v>0</v>
      </c>
    </row>
    <row r="661" spans="1:10" x14ac:dyDescent="0.35">
      <c r="A661">
        <v>1660</v>
      </c>
      <c r="B661" s="1">
        <v>45362</v>
      </c>
      <c r="C661" t="s">
        <v>21</v>
      </c>
      <c r="D661">
        <v>500</v>
      </c>
      <c r="E661">
        <v>200</v>
      </c>
      <c r="G661" t="str">
        <f t="shared" si="30"/>
        <v>Active</v>
      </c>
      <c r="H661" s="1" t="str">
        <f t="shared" si="31"/>
        <v/>
      </c>
      <c r="J661">
        <f t="shared" si="32"/>
        <v>0</v>
      </c>
    </row>
    <row r="662" spans="1:10" x14ac:dyDescent="0.35">
      <c r="A662">
        <v>1661</v>
      </c>
      <c r="B662" s="1">
        <v>45373</v>
      </c>
      <c r="C662" t="s">
        <v>75</v>
      </c>
      <c r="D662">
        <v>50</v>
      </c>
      <c r="E662">
        <v>30</v>
      </c>
      <c r="G662" t="str">
        <f t="shared" si="30"/>
        <v>Active</v>
      </c>
      <c r="H662" s="1" t="str">
        <f t="shared" si="31"/>
        <v/>
      </c>
      <c r="J662">
        <f t="shared" si="32"/>
        <v>0</v>
      </c>
    </row>
    <row r="663" spans="1:10" x14ac:dyDescent="0.35">
      <c r="A663">
        <v>1662</v>
      </c>
      <c r="B663" s="1">
        <v>45836</v>
      </c>
      <c r="C663" t="s">
        <v>18</v>
      </c>
      <c r="D663">
        <v>200</v>
      </c>
      <c r="E663">
        <v>100</v>
      </c>
      <c r="G663" t="str">
        <f t="shared" si="30"/>
        <v>Active</v>
      </c>
      <c r="H663" s="1" t="str">
        <f t="shared" si="31"/>
        <v/>
      </c>
      <c r="J663">
        <f t="shared" si="32"/>
        <v>0</v>
      </c>
    </row>
    <row r="664" spans="1:10" x14ac:dyDescent="0.35">
      <c r="A664">
        <v>1663</v>
      </c>
      <c r="B664" s="1">
        <v>45493</v>
      </c>
      <c r="C664" t="s">
        <v>75</v>
      </c>
      <c r="D664">
        <v>50</v>
      </c>
      <c r="E664">
        <v>30</v>
      </c>
      <c r="G664" t="str">
        <f t="shared" si="30"/>
        <v>Active</v>
      </c>
      <c r="H664" s="1" t="str">
        <f t="shared" si="31"/>
        <v/>
      </c>
      <c r="J664">
        <f t="shared" si="32"/>
        <v>0</v>
      </c>
    </row>
    <row r="665" spans="1:10" x14ac:dyDescent="0.35">
      <c r="A665">
        <v>1664</v>
      </c>
      <c r="B665" s="1">
        <v>45314</v>
      </c>
      <c r="C665" t="s">
        <v>21</v>
      </c>
      <c r="D665">
        <v>500</v>
      </c>
      <c r="E665">
        <v>200</v>
      </c>
      <c r="G665" t="str">
        <f t="shared" si="30"/>
        <v>Active</v>
      </c>
      <c r="H665" s="1" t="str">
        <f t="shared" si="31"/>
        <v/>
      </c>
      <c r="J665">
        <f t="shared" si="32"/>
        <v>0</v>
      </c>
    </row>
    <row r="666" spans="1:10" x14ac:dyDescent="0.35">
      <c r="A666">
        <v>1665</v>
      </c>
      <c r="B666" s="1">
        <v>45524</v>
      </c>
      <c r="C666" t="s">
        <v>21</v>
      </c>
      <c r="D666">
        <v>500</v>
      </c>
      <c r="E666">
        <v>200</v>
      </c>
      <c r="G666" t="str">
        <f t="shared" si="30"/>
        <v>Active</v>
      </c>
      <c r="H666" s="1" t="str">
        <f t="shared" si="31"/>
        <v/>
      </c>
      <c r="J666">
        <f t="shared" si="32"/>
        <v>0</v>
      </c>
    </row>
    <row r="667" spans="1:10" x14ac:dyDescent="0.35">
      <c r="A667">
        <v>1666</v>
      </c>
      <c r="B667" s="1">
        <v>45785</v>
      </c>
      <c r="C667" t="s">
        <v>75</v>
      </c>
      <c r="D667">
        <v>50</v>
      </c>
      <c r="E667">
        <v>30</v>
      </c>
      <c r="G667" t="str">
        <f t="shared" si="30"/>
        <v>Active</v>
      </c>
      <c r="H667" s="1" t="str">
        <f t="shared" si="31"/>
        <v/>
      </c>
      <c r="J667">
        <f t="shared" si="32"/>
        <v>0</v>
      </c>
    </row>
    <row r="668" spans="1:10" x14ac:dyDescent="0.35">
      <c r="A668">
        <v>1667</v>
      </c>
      <c r="B668" s="1">
        <v>45660</v>
      </c>
      <c r="C668" t="s">
        <v>75</v>
      </c>
      <c r="D668">
        <v>50</v>
      </c>
      <c r="E668">
        <v>30</v>
      </c>
      <c r="G668" t="str">
        <f t="shared" si="30"/>
        <v>Active</v>
      </c>
      <c r="H668" s="1" t="str">
        <f t="shared" si="31"/>
        <v/>
      </c>
      <c r="J668">
        <f t="shared" si="32"/>
        <v>0</v>
      </c>
    </row>
    <row r="669" spans="1:10" x14ac:dyDescent="0.35">
      <c r="A669">
        <v>1668</v>
      </c>
      <c r="B669" s="1">
        <v>45644</v>
      </c>
      <c r="C669" t="s">
        <v>21</v>
      </c>
      <c r="D669">
        <v>500</v>
      </c>
      <c r="E669">
        <v>200</v>
      </c>
      <c r="G669" t="str">
        <f t="shared" si="30"/>
        <v>Active</v>
      </c>
      <c r="H669" s="1" t="str">
        <f t="shared" si="31"/>
        <v/>
      </c>
      <c r="J669">
        <f t="shared" si="32"/>
        <v>0</v>
      </c>
    </row>
    <row r="670" spans="1:10" x14ac:dyDescent="0.35">
      <c r="A670">
        <v>1669</v>
      </c>
      <c r="B670" s="1">
        <v>45399</v>
      </c>
      <c r="C670" t="s">
        <v>21</v>
      </c>
      <c r="D670">
        <v>500</v>
      </c>
      <c r="E670">
        <v>200</v>
      </c>
      <c r="G670" t="str">
        <f t="shared" si="30"/>
        <v>Active</v>
      </c>
      <c r="H670" s="1" t="str">
        <f t="shared" si="31"/>
        <v/>
      </c>
      <c r="J670">
        <f t="shared" si="32"/>
        <v>0</v>
      </c>
    </row>
    <row r="671" spans="1:10" x14ac:dyDescent="0.35">
      <c r="A671">
        <v>1670</v>
      </c>
      <c r="B671" s="1">
        <v>45685</v>
      </c>
      <c r="C671" t="s">
        <v>75</v>
      </c>
      <c r="D671">
        <v>50</v>
      </c>
      <c r="E671">
        <v>30</v>
      </c>
      <c r="G671" t="str">
        <f t="shared" si="30"/>
        <v>Active</v>
      </c>
      <c r="H671" s="1" t="str">
        <f t="shared" si="31"/>
        <v/>
      </c>
      <c r="J671">
        <f t="shared" si="32"/>
        <v>0</v>
      </c>
    </row>
    <row r="672" spans="1:10" x14ac:dyDescent="0.35">
      <c r="A672">
        <v>1671</v>
      </c>
      <c r="B672" s="1">
        <v>45554</v>
      </c>
      <c r="C672" t="s">
        <v>75</v>
      </c>
      <c r="D672">
        <v>50</v>
      </c>
      <c r="E672">
        <v>30</v>
      </c>
      <c r="G672" t="str">
        <f t="shared" si="30"/>
        <v>Active</v>
      </c>
      <c r="H672" s="1" t="str">
        <f t="shared" si="31"/>
        <v/>
      </c>
      <c r="J672">
        <f t="shared" si="32"/>
        <v>0</v>
      </c>
    </row>
    <row r="673" spans="1:10" x14ac:dyDescent="0.35">
      <c r="A673">
        <v>1672</v>
      </c>
      <c r="B673" s="1">
        <v>45523</v>
      </c>
      <c r="C673" t="s">
        <v>75</v>
      </c>
      <c r="D673">
        <v>50</v>
      </c>
      <c r="E673">
        <v>30</v>
      </c>
      <c r="F673" s="1">
        <v>45560</v>
      </c>
      <c r="G673" t="str">
        <f t="shared" si="30"/>
        <v>Churned</v>
      </c>
      <c r="H673" s="1">
        <f t="shared" si="31"/>
        <v>45536</v>
      </c>
      <c r="J673">
        <f t="shared" si="32"/>
        <v>1</v>
      </c>
    </row>
    <row r="674" spans="1:10" x14ac:dyDescent="0.35">
      <c r="A674">
        <v>1673</v>
      </c>
      <c r="B674" s="1">
        <v>45726</v>
      </c>
      <c r="C674" t="s">
        <v>21</v>
      </c>
      <c r="D674">
        <v>500</v>
      </c>
      <c r="E674">
        <v>200</v>
      </c>
      <c r="G674" t="str">
        <f t="shared" si="30"/>
        <v>Active</v>
      </c>
      <c r="H674" s="1" t="str">
        <f t="shared" si="31"/>
        <v/>
      </c>
      <c r="J674">
        <f t="shared" si="32"/>
        <v>0</v>
      </c>
    </row>
    <row r="675" spans="1:10" x14ac:dyDescent="0.35">
      <c r="A675">
        <v>1674</v>
      </c>
      <c r="B675" s="1">
        <v>45329</v>
      </c>
      <c r="C675" t="s">
        <v>18</v>
      </c>
      <c r="D675">
        <v>200</v>
      </c>
      <c r="E675">
        <v>100</v>
      </c>
      <c r="G675" t="str">
        <f t="shared" si="30"/>
        <v>Active</v>
      </c>
      <c r="H675" s="1" t="str">
        <f t="shared" si="31"/>
        <v/>
      </c>
      <c r="J675">
        <f t="shared" si="32"/>
        <v>0</v>
      </c>
    </row>
    <row r="676" spans="1:10" x14ac:dyDescent="0.35">
      <c r="A676">
        <v>1675</v>
      </c>
      <c r="B676" s="1">
        <v>45478</v>
      </c>
      <c r="C676" t="s">
        <v>18</v>
      </c>
      <c r="D676">
        <v>200</v>
      </c>
      <c r="E676">
        <v>100</v>
      </c>
      <c r="G676" t="str">
        <f t="shared" si="30"/>
        <v>Active</v>
      </c>
      <c r="H676" s="1" t="str">
        <f t="shared" si="31"/>
        <v/>
      </c>
      <c r="J676">
        <f t="shared" si="32"/>
        <v>0</v>
      </c>
    </row>
    <row r="677" spans="1:10" x14ac:dyDescent="0.35">
      <c r="A677">
        <v>1676</v>
      </c>
      <c r="B677" s="1">
        <v>45491</v>
      </c>
      <c r="C677" t="s">
        <v>21</v>
      </c>
      <c r="D677">
        <v>500</v>
      </c>
      <c r="E677">
        <v>200</v>
      </c>
      <c r="G677" t="str">
        <f t="shared" si="30"/>
        <v>Active</v>
      </c>
      <c r="H677" s="1" t="str">
        <f t="shared" si="31"/>
        <v/>
      </c>
      <c r="J677">
        <f t="shared" si="32"/>
        <v>0</v>
      </c>
    </row>
    <row r="678" spans="1:10" x14ac:dyDescent="0.35">
      <c r="A678">
        <v>1677</v>
      </c>
      <c r="B678" s="1">
        <v>45400</v>
      </c>
      <c r="C678" t="s">
        <v>75</v>
      </c>
      <c r="D678">
        <v>50</v>
      </c>
      <c r="E678">
        <v>30</v>
      </c>
      <c r="G678" t="str">
        <f t="shared" si="30"/>
        <v>Active</v>
      </c>
      <c r="H678" s="1" t="str">
        <f t="shared" si="31"/>
        <v/>
      </c>
      <c r="J678">
        <f t="shared" si="32"/>
        <v>0</v>
      </c>
    </row>
    <row r="679" spans="1:10" x14ac:dyDescent="0.35">
      <c r="A679">
        <v>1678</v>
      </c>
      <c r="B679" s="1">
        <v>45330</v>
      </c>
      <c r="C679" t="s">
        <v>21</v>
      </c>
      <c r="D679">
        <v>500</v>
      </c>
      <c r="E679">
        <v>200</v>
      </c>
      <c r="G679" t="str">
        <f t="shared" si="30"/>
        <v>Active</v>
      </c>
      <c r="H679" s="1" t="str">
        <f t="shared" si="31"/>
        <v/>
      </c>
      <c r="J679">
        <f t="shared" si="32"/>
        <v>0</v>
      </c>
    </row>
    <row r="680" spans="1:10" x14ac:dyDescent="0.35">
      <c r="A680">
        <v>1679</v>
      </c>
      <c r="B680" s="1">
        <v>45715</v>
      </c>
      <c r="C680" t="s">
        <v>75</v>
      </c>
      <c r="D680">
        <v>50</v>
      </c>
      <c r="E680">
        <v>30</v>
      </c>
      <c r="G680" t="str">
        <f t="shared" si="30"/>
        <v>Active</v>
      </c>
      <c r="H680" s="1" t="str">
        <f t="shared" si="31"/>
        <v/>
      </c>
      <c r="J680">
        <f t="shared" si="32"/>
        <v>0</v>
      </c>
    </row>
    <row r="681" spans="1:10" x14ac:dyDescent="0.35">
      <c r="A681">
        <v>1680</v>
      </c>
      <c r="B681" s="1">
        <v>45739</v>
      </c>
      <c r="C681" t="s">
        <v>18</v>
      </c>
      <c r="D681">
        <v>200</v>
      </c>
      <c r="E681">
        <v>100</v>
      </c>
      <c r="G681" t="str">
        <f t="shared" si="30"/>
        <v>Active</v>
      </c>
      <c r="H681" s="1" t="str">
        <f t="shared" si="31"/>
        <v/>
      </c>
      <c r="J681">
        <f t="shared" si="32"/>
        <v>0</v>
      </c>
    </row>
    <row r="682" spans="1:10" x14ac:dyDescent="0.35">
      <c r="A682">
        <v>1681</v>
      </c>
      <c r="B682" s="1">
        <v>45636</v>
      </c>
      <c r="C682" t="s">
        <v>21</v>
      </c>
      <c r="D682">
        <v>500</v>
      </c>
      <c r="E682">
        <v>200</v>
      </c>
      <c r="G682" t="str">
        <f t="shared" si="30"/>
        <v>Active</v>
      </c>
      <c r="H682" s="1" t="str">
        <f t="shared" si="31"/>
        <v/>
      </c>
      <c r="J682">
        <f t="shared" si="32"/>
        <v>0</v>
      </c>
    </row>
    <row r="683" spans="1:10" x14ac:dyDescent="0.35">
      <c r="A683">
        <v>1682</v>
      </c>
      <c r="B683" s="1">
        <v>45386</v>
      </c>
      <c r="C683" t="s">
        <v>75</v>
      </c>
      <c r="D683">
        <v>50</v>
      </c>
      <c r="E683">
        <v>30</v>
      </c>
      <c r="G683" t="str">
        <f t="shared" si="30"/>
        <v>Active</v>
      </c>
      <c r="H683" s="1" t="str">
        <f t="shared" si="31"/>
        <v/>
      </c>
      <c r="J683">
        <f t="shared" si="32"/>
        <v>0</v>
      </c>
    </row>
    <row r="684" spans="1:10" x14ac:dyDescent="0.35">
      <c r="A684">
        <v>1683</v>
      </c>
      <c r="B684" s="1">
        <v>45357</v>
      </c>
      <c r="C684" t="s">
        <v>18</v>
      </c>
      <c r="D684">
        <v>200</v>
      </c>
      <c r="E684">
        <v>100</v>
      </c>
      <c r="F684" s="1">
        <v>45822</v>
      </c>
      <c r="G684" t="str">
        <f t="shared" si="30"/>
        <v>Churned</v>
      </c>
      <c r="H684" s="1">
        <f t="shared" si="31"/>
        <v>45809</v>
      </c>
      <c r="J684">
        <f t="shared" si="32"/>
        <v>1</v>
      </c>
    </row>
    <row r="685" spans="1:10" x14ac:dyDescent="0.35">
      <c r="A685">
        <v>1684</v>
      </c>
      <c r="B685" s="1">
        <v>45782</v>
      </c>
      <c r="C685" t="s">
        <v>21</v>
      </c>
      <c r="D685">
        <v>500</v>
      </c>
      <c r="E685">
        <v>200</v>
      </c>
      <c r="G685" t="str">
        <f t="shared" si="30"/>
        <v>Active</v>
      </c>
      <c r="H685" s="1" t="str">
        <f t="shared" si="31"/>
        <v/>
      </c>
      <c r="J685">
        <f t="shared" si="32"/>
        <v>0</v>
      </c>
    </row>
    <row r="686" spans="1:10" x14ac:dyDescent="0.35">
      <c r="A686">
        <v>1685</v>
      </c>
      <c r="B686" s="1">
        <v>45548</v>
      </c>
      <c r="C686" t="s">
        <v>18</v>
      </c>
      <c r="D686">
        <v>200</v>
      </c>
      <c r="E686">
        <v>100</v>
      </c>
      <c r="G686" t="str">
        <f t="shared" si="30"/>
        <v>Active</v>
      </c>
      <c r="H686" s="1" t="str">
        <f t="shared" si="31"/>
        <v/>
      </c>
      <c r="J686">
        <f t="shared" si="32"/>
        <v>0</v>
      </c>
    </row>
    <row r="687" spans="1:10" x14ac:dyDescent="0.35">
      <c r="A687">
        <v>1686</v>
      </c>
      <c r="B687" s="1">
        <v>45401</v>
      </c>
      <c r="C687" t="s">
        <v>75</v>
      </c>
      <c r="D687">
        <v>50</v>
      </c>
      <c r="E687">
        <v>30</v>
      </c>
      <c r="F687" s="1">
        <v>45768</v>
      </c>
      <c r="G687" t="str">
        <f t="shared" si="30"/>
        <v>Churned</v>
      </c>
      <c r="H687" s="1">
        <f t="shared" si="31"/>
        <v>45748</v>
      </c>
      <c r="J687">
        <f t="shared" si="32"/>
        <v>1</v>
      </c>
    </row>
    <row r="688" spans="1:10" x14ac:dyDescent="0.35">
      <c r="A688">
        <v>1687</v>
      </c>
      <c r="B688" s="1">
        <v>45411</v>
      </c>
      <c r="C688" t="s">
        <v>21</v>
      </c>
      <c r="D688">
        <v>500</v>
      </c>
      <c r="E688">
        <v>200</v>
      </c>
      <c r="G688" t="str">
        <f t="shared" si="30"/>
        <v>Active</v>
      </c>
      <c r="H688" s="1" t="str">
        <f t="shared" si="31"/>
        <v/>
      </c>
      <c r="J688">
        <f t="shared" si="32"/>
        <v>0</v>
      </c>
    </row>
    <row r="689" spans="1:10" x14ac:dyDescent="0.35">
      <c r="A689">
        <v>1688</v>
      </c>
      <c r="B689" s="1">
        <v>45649</v>
      </c>
      <c r="C689" t="s">
        <v>75</v>
      </c>
      <c r="D689">
        <v>50</v>
      </c>
      <c r="E689">
        <v>30</v>
      </c>
      <c r="G689" t="str">
        <f t="shared" si="30"/>
        <v>Active</v>
      </c>
      <c r="H689" s="1" t="str">
        <f t="shared" si="31"/>
        <v/>
      </c>
      <c r="J689">
        <f t="shared" si="32"/>
        <v>0</v>
      </c>
    </row>
    <row r="690" spans="1:10" x14ac:dyDescent="0.35">
      <c r="A690">
        <v>1689</v>
      </c>
      <c r="B690" s="1">
        <v>45701</v>
      </c>
      <c r="C690" t="s">
        <v>75</v>
      </c>
      <c r="D690">
        <v>50</v>
      </c>
      <c r="E690">
        <v>30</v>
      </c>
      <c r="G690" t="str">
        <f t="shared" si="30"/>
        <v>Active</v>
      </c>
      <c r="H690" s="1" t="str">
        <f t="shared" si="31"/>
        <v/>
      </c>
      <c r="J690">
        <f t="shared" si="32"/>
        <v>0</v>
      </c>
    </row>
    <row r="691" spans="1:10" x14ac:dyDescent="0.35">
      <c r="A691">
        <v>1690</v>
      </c>
      <c r="B691" s="1">
        <v>45464</v>
      </c>
      <c r="C691" t="s">
        <v>18</v>
      </c>
      <c r="D691">
        <v>200</v>
      </c>
      <c r="E691">
        <v>100</v>
      </c>
      <c r="G691" t="str">
        <f t="shared" si="30"/>
        <v>Active</v>
      </c>
      <c r="H691" s="1" t="str">
        <f t="shared" si="31"/>
        <v/>
      </c>
      <c r="J691">
        <f t="shared" si="32"/>
        <v>0</v>
      </c>
    </row>
    <row r="692" spans="1:10" x14ac:dyDescent="0.35">
      <c r="A692">
        <v>1691</v>
      </c>
      <c r="B692" s="1">
        <v>45564</v>
      </c>
      <c r="C692" t="s">
        <v>21</v>
      </c>
      <c r="D692">
        <v>500</v>
      </c>
      <c r="E692">
        <v>200</v>
      </c>
      <c r="G692" t="str">
        <f t="shared" si="30"/>
        <v>Active</v>
      </c>
      <c r="H692" s="1" t="str">
        <f t="shared" si="31"/>
        <v/>
      </c>
      <c r="J692">
        <f t="shared" si="32"/>
        <v>0</v>
      </c>
    </row>
    <row r="693" spans="1:10" x14ac:dyDescent="0.35">
      <c r="A693">
        <v>1692</v>
      </c>
      <c r="B693" s="1">
        <v>45510</v>
      </c>
      <c r="C693" t="s">
        <v>18</v>
      </c>
      <c r="D693">
        <v>200</v>
      </c>
      <c r="E693">
        <v>100</v>
      </c>
      <c r="G693" t="str">
        <f t="shared" si="30"/>
        <v>Active</v>
      </c>
      <c r="H693" s="1" t="str">
        <f t="shared" si="31"/>
        <v/>
      </c>
      <c r="J693">
        <f t="shared" si="32"/>
        <v>0</v>
      </c>
    </row>
    <row r="694" spans="1:10" x14ac:dyDescent="0.35">
      <c r="A694">
        <v>1693</v>
      </c>
      <c r="B694" s="1">
        <v>45813</v>
      </c>
      <c r="C694" t="s">
        <v>75</v>
      </c>
      <c r="D694">
        <v>50</v>
      </c>
      <c r="E694">
        <v>30</v>
      </c>
      <c r="G694" t="str">
        <f t="shared" si="30"/>
        <v>Active</v>
      </c>
      <c r="H694" s="1" t="str">
        <f t="shared" si="31"/>
        <v/>
      </c>
      <c r="J694">
        <f t="shared" si="32"/>
        <v>0</v>
      </c>
    </row>
    <row r="695" spans="1:10" x14ac:dyDescent="0.35">
      <c r="A695">
        <v>1694</v>
      </c>
      <c r="B695" s="1">
        <v>45735</v>
      </c>
      <c r="C695" t="s">
        <v>18</v>
      </c>
      <c r="D695">
        <v>200</v>
      </c>
      <c r="E695">
        <v>100</v>
      </c>
      <c r="G695" t="str">
        <f t="shared" si="30"/>
        <v>Active</v>
      </c>
      <c r="H695" s="1" t="str">
        <f t="shared" si="31"/>
        <v/>
      </c>
      <c r="J695">
        <f t="shared" si="32"/>
        <v>0</v>
      </c>
    </row>
    <row r="696" spans="1:10" x14ac:dyDescent="0.35">
      <c r="A696">
        <v>1695</v>
      </c>
      <c r="B696" s="1">
        <v>45573</v>
      </c>
      <c r="C696" t="s">
        <v>18</v>
      </c>
      <c r="D696">
        <v>200</v>
      </c>
      <c r="E696">
        <v>100</v>
      </c>
      <c r="G696" t="str">
        <f t="shared" si="30"/>
        <v>Active</v>
      </c>
      <c r="H696" s="1" t="str">
        <f t="shared" si="31"/>
        <v/>
      </c>
      <c r="J696">
        <f t="shared" si="32"/>
        <v>0</v>
      </c>
    </row>
    <row r="697" spans="1:10" x14ac:dyDescent="0.35">
      <c r="A697">
        <v>1696</v>
      </c>
      <c r="B697" s="1">
        <v>45700</v>
      </c>
      <c r="C697" t="s">
        <v>21</v>
      </c>
      <c r="D697">
        <v>500</v>
      </c>
      <c r="E697">
        <v>200</v>
      </c>
      <c r="G697" t="str">
        <f t="shared" si="30"/>
        <v>Active</v>
      </c>
      <c r="H697" s="1" t="str">
        <f t="shared" si="31"/>
        <v/>
      </c>
      <c r="J697">
        <f t="shared" si="32"/>
        <v>0</v>
      </c>
    </row>
    <row r="698" spans="1:10" x14ac:dyDescent="0.35">
      <c r="A698">
        <v>1697</v>
      </c>
      <c r="B698" s="1">
        <v>45771</v>
      </c>
      <c r="C698" t="s">
        <v>75</v>
      </c>
      <c r="D698">
        <v>50</v>
      </c>
      <c r="E698">
        <v>30</v>
      </c>
      <c r="F698" s="1">
        <v>45821</v>
      </c>
      <c r="G698" t="str">
        <f t="shared" si="30"/>
        <v>Churned</v>
      </c>
      <c r="H698" s="1">
        <f t="shared" si="31"/>
        <v>45809</v>
      </c>
      <c r="J698">
        <f t="shared" si="32"/>
        <v>1</v>
      </c>
    </row>
    <row r="699" spans="1:10" x14ac:dyDescent="0.35">
      <c r="A699">
        <v>1698</v>
      </c>
      <c r="B699" s="1">
        <v>45819</v>
      </c>
      <c r="C699" t="s">
        <v>18</v>
      </c>
      <c r="D699">
        <v>200</v>
      </c>
      <c r="E699">
        <v>100</v>
      </c>
      <c r="G699" t="str">
        <f t="shared" si="30"/>
        <v>Active</v>
      </c>
      <c r="H699" s="1" t="str">
        <f t="shared" si="31"/>
        <v/>
      </c>
      <c r="J699">
        <f t="shared" si="32"/>
        <v>0</v>
      </c>
    </row>
    <row r="700" spans="1:10" x14ac:dyDescent="0.35">
      <c r="A700">
        <v>1699</v>
      </c>
      <c r="B700" s="1">
        <v>45298</v>
      </c>
      <c r="C700" t="s">
        <v>18</v>
      </c>
      <c r="D700">
        <v>200</v>
      </c>
      <c r="E700">
        <v>100</v>
      </c>
      <c r="G700" t="str">
        <f t="shared" si="30"/>
        <v>Active</v>
      </c>
      <c r="H700" s="1" t="str">
        <f t="shared" si="31"/>
        <v/>
      </c>
      <c r="J700">
        <f t="shared" si="32"/>
        <v>0</v>
      </c>
    </row>
    <row r="701" spans="1:10" x14ac:dyDescent="0.35">
      <c r="A701">
        <v>1700</v>
      </c>
      <c r="B701" s="1">
        <v>45838</v>
      </c>
      <c r="C701" t="s">
        <v>75</v>
      </c>
      <c r="D701">
        <v>50</v>
      </c>
      <c r="E701">
        <v>30</v>
      </c>
      <c r="G701" t="str">
        <f t="shared" si="30"/>
        <v>Active</v>
      </c>
      <c r="H701" s="1" t="str">
        <f t="shared" si="31"/>
        <v/>
      </c>
      <c r="J701">
        <f t="shared" si="32"/>
        <v>0</v>
      </c>
    </row>
    <row r="702" spans="1:10" x14ac:dyDescent="0.35">
      <c r="A702">
        <v>1701</v>
      </c>
      <c r="B702" s="1">
        <v>45547</v>
      </c>
      <c r="C702" t="s">
        <v>75</v>
      </c>
      <c r="D702">
        <v>50</v>
      </c>
      <c r="E702">
        <v>30</v>
      </c>
      <c r="G702" t="str">
        <f t="shared" si="30"/>
        <v>Active</v>
      </c>
      <c r="H702" s="1" t="str">
        <f t="shared" si="31"/>
        <v/>
      </c>
      <c r="J702">
        <f t="shared" si="32"/>
        <v>0</v>
      </c>
    </row>
    <row r="703" spans="1:10" x14ac:dyDescent="0.35">
      <c r="A703">
        <v>1702</v>
      </c>
      <c r="B703" s="1">
        <v>45633</v>
      </c>
      <c r="C703" t="s">
        <v>21</v>
      </c>
      <c r="D703">
        <v>500</v>
      </c>
      <c r="E703">
        <v>200</v>
      </c>
      <c r="G703" t="str">
        <f t="shared" si="30"/>
        <v>Active</v>
      </c>
      <c r="H703" s="1" t="str">
        <f t="shared" si="31"/>
        <v/>
      </c>
      <c r="J703">
        <f t="shared" si="32"/>
        <v>0</v>
      </c>
    </row>
    <row r="704" spans="1:10" x14ac:dyDescent="0.35">
      <c r="A704">
        <v>1703</v>
      </c>
      <c r="B704" s="1">
        <v>45589</v>
      </c>
      <c r="C704" t="s">
        <v>75</v>
      </c>
      <c r="D704">
        <v>50</v>
      </c>
      <c r="E704">
        <v>30</v>
      </c>
      <c r="G704" t="str">
        <f t="shared" si="30"/>
        <v>Active</v>
      </c>
      <c r="H704" s="1" t="str">
        <f t="shared" si="31"/>
        <v/>
      </c>
      <c r="J704">
        <f t="shared" si="32"/>
        <v>0</v>
      </c>
    </row>
    <row r="705" spans="1:10" x14ac:dyDescent="0.35">
      <c r="A705">
        <v>1704</v>
      </c>
      <c r="B705" s="1">
        <v>45687</v>
      </c>
      <c r="C705" t="s">
        <v>75</v>
      </c>
      <c r="D705">
        <v>50</v>
      </c>
      <c r="E705">
        <v>30</v>
      </c>
      <c r="G705" t="str">
        <f t="shared" si="30"/>
        <v>Active</v>
      </c>
      <c r="H705" s="1" t="str">
        <f t="shared" si="31"/>
        <v/>
      </c>
      <c r="J705">
        <f t="shared" si="32"/>
        <v>0</v>
      </c>
    </row>
    <row r="706" spans="1:10" x14ac:dyDescent="0.35">
      <c r="A706">
        <v>1705</v>
      </c>
      <c r="B706" s="1">
        <v>45763</v>
      </c>
      <c r="C706" t="s">
        <v>18</v>
      </c>
      <c r="D706">
        <v>200</v>
      </c>
      <c r="E706">
        <v>100</v>
      </c>
      <c r="G706" t="str">
        <f t="shared" si="30"/>
        <v>Active</v>
      </c>
      <c r="H706" s="1" t="str">
        <f t="shared" si="31"/>
        <v/>
      </c>
      <c r="J706">
        <f t="shared" si="32"/>
        <v>0</v>
      </c>
    </row>
    <row r="707" spans="1:10" x14ac:dyDescent="0.35">
      <c r="A707">
        <v>1706</v>
      </c>
      <c r="B707" s="1">
        <v>45490</v>
      </c>
      <c r="C707" t="s">
        <v>21</v>
      </c>
      <c r="D707">
        <v>500</v>
      </c>
      <c r="E707">
        <v>200</v>
      </c>
      <c r="G707" t="str">
        <f t="shared" ref="G707:G770" si="33">IF(F707="","Active","Churned")</f>
        <v>Active</v>
      </c>
      <c r="H707" s="1" t="str">
        <f t="shared" ref="H707:H770" si="34">IF(F707="","",DATE(YEAR(F707),MONTH(F707),1))</f>
        <v/>
      </c>
      <c r="J707">
        <f t="shared" ref="J707:J770" si="35">IF(G707="Churned",1,0)</f>
        <v>0</v>
      </c>
    </row>
    <row r="708" spans="1:10" x14ac:dyDescent="0.35">
      <c r="A708">
        <v>1707</v>
      </c>
      <c r="B708" s="1">
        <v>45720</v>
      </c>
      <c r="C708" t="s">
        <v>21</v>
      </c>
      <c r="D708">
        <v>500</v>
      </c>
      <c r="E708">
        <v>200</v>
      </c>
      <c r="G708" t="str">
        <f t="shared" si="33"/>
        <v>Active</v>
      </c>
      <c r="H708" s="1" t="str">
        <f t="shared" si="34"/>
        <v/>
      </c>
      <c r="J708">
        <f t="shared" si="35"/>
        <v>0</v>
      </c>
    </row>
    <row r="709" spans="1:10" x14ac:dyDescent="0.35">
      <c r="A709">
        <v>1708</v>
      </c>
      <c r="B709" s="1">
        <v>45356</v>
      </c>
      <c r="C709" t="s">
        <v>75</v>
      </c>
      <c r="D709">
        <v>50</v>
      </c>
      <c r="E709">
        <v>30</v>
      </c>
      <c r="G709" t="str">
        <f t="shared" si="33"/>
        <v>Active</v>
      </c>
      <c r="H709" s="1" t="str">
        <f t="shared" si="34"/>
        <v/>
      </c>
      <c r="J709">
        <f t="shared" si="35"/>
        <v>0</v>
      </c>
    </row>
    <row r="710" spans="1:10" x14ac:dyDescent="0.35">
      <c r="A710">
        <v>1709</v>
      </c>
      <c r="B710" s="1">
        <v>45484</v>
      </c>
      <c r="C710" t="s">
        <v>18</v>
      </c>
      <c r="D710">
        <v>200</v>
      </c>
      <c r="E710">
        <v>100</v>
      </c>
      <c r="F710" s="1">
        <v>45726</v>
      </c>
      <c r="G710" t="str">
        <f t="shared" si="33"/>
        <v>Churned</v>
      </c>
      <c r="H710" s="1">
        <f t="shared" si="34"/>
        <v>45717</v>
      </c>
      <c r="J710">
        <f t="shared" si="35"/>
        <v>1</v>
      </c>
    </row>
    <row r="711" spans="1:10" x14ac:dyDescent="0.35">
      <c r="A711">
        <v>1710</v>
      </c>
      <c r="B711" s="1">
        <v>45398</v>
      </c>
      <c r="C711" t="s">
        <v>75</v>
      </c>
      <c r="D711">
        <v>50</v>
      </c>
      <c r="E711">
        <v>30</v>
      </c>
      <c r="G711" t="str">
        <f t="shared" si="33"/>
        <v>Active</v>
      </c>
      <c r="H711" s="1" t="str">
        <f t="shared" si="34"/>
        <v/>
      </c>
      <c r="J711">
        <f t="shared" si="35"/>
        <v>0</v>
      </c>
    </row>
    <row r="712" spans="1:10" x14ac:dyDescent="0.35">
      <c r="A712">
        <v>1711</v>
      </c>
      <c r="B712" s="1">
        <v>45723</v>
      </c>
      <c r="C712" t="s">
        <v>75</v>
      </c>
      <c r="D712">
        <v>50</v>
      </c>
      <c r="E712">
        <v>30</v>
      </c>
      <c r="G712" t="str">
        <f t="shared" si="33"/>
        <v>Active</v>
      </c>
      <c r="H712" s="1" t="str">
        <f t="shared" si="34"/>
        <v/>
      </c>
      <c r="J712">
        <f t="shared" si="35"/>
        <v>0</v>
      </c>
    </row>
    <row r="713" spans="1:10" x14ac:dyDescent="0.35">
      <c r="A713">
        <v>1712</v>
      </c>
      <c r="B713" s="1">
        <v>45818</v>
      </c>
      <c r="C713" t="s">
        <v>75</v>
      </c>
      <c r="D713">
        <v>50</v>
      </c>
      <c r="E713">
        <v>30</v>
      </c>
      <c r="G713" t="str">
        <f t="shared" si="33"/>
        <v>Active</v>
      </c>
      <c r="H713" s="1" t="str">
        <f t="shared" si="34"/>
        <v/>
      </c>
      <c r="J713">
        <f t="shared" si="35"/>
        <v>0</v>
      </c>
    </row>
    <row r="714" spans="1:10" x14ac:dyDescent="0.35">
      <c r="A714">
        <v>1713</v>
      </c>
      <c r="B714" s="1">
        <v>45536</v>
      </c>
      <c r="C714" t="s">
        <v>21</v>
      </c>
      <c r="D714">
        <v>500</v>
      </c>
      <c r="E714">
        <v>200</v>
      </c>
      <c r="F714" s="1">
        <v>45570</v>
      </c>
      <c r="G714" t="str">
        <f t="shared" si="33"/>
        <v>Churned</v>
      </c>
      <c r="H714" s="1">
        <f t="shared" si="34"/>
        <v>45566</v>
      </c>
      <c r="J714">
        <f t="shared" si="35"/>
        <v>1</v>
      </c>
    </row>
    <row r="715" spans="1:10" x14ac:dyDescent="0.35">
      <c r="A715">
        <v>1714</v>
      </c>
      <c r="B715" s="1">
        <v>45497</v>
      </c>
      <c r="C715" t="s">
        <v>21</v>
      </c>
      <c r="D715">
        <v>500</v>
      </c>
      <c r="E715">
        <v>200</v>
      </c>
      <c r="F715" s="1">
        <v>45538</v>
      </c>
      <c r="G715" t="str">
        <f t="shared" si="33"/>
        <v>Churned</v>
      </c>
      <c r="H715" s="1">
        <f t="shared" si="34"/>
        <v>45536</v>
      </c>
      <c r="J715">
        <f t="shared" si="35"/>
        <v>1</v>
      </c>
    </row>
    <row r="716" spans="1:10" x14ac:dyDescent="0.35">
      <c r="A716">
        <v>1715</v>
      </c>
      <c r="B716" s="1">
        <v>45450</v>
      </c>
      <c r="C716" t="s">
        <v>21</v>
      </c>
      <c r="D716">
        <v>500</v>
      </c>
      <c r="E716">
        <v>200</v>
      </c>
      <c r="G716" t="str">
        <f t="shared" si="33"/>
        <v>Active</v>
      </c>
      <c r="H716" s="1" t="str">
        <f t="shared" si="34"/>
        <v/>
      </c>
      <c r="J716">
        <f t="shared" si="35"/>
        <v>0</v>
      </c>
    </row>
    <row r="717" spans="1:10" x14ac:dyDescent="0.35">
      <c r="A717">
        <v>1716</v>
      </c>
      <c r="B717" s="1">
        <v>45504</v>
      </c>
      <c r="C717" t="s">
        <v>75</v>
      </c>
      <c r="D717">
        <v>50</v>
      </c>
      <c r="E717">
        <v>30</v>
      </c>
      <c r="G717" t="str">
        <f t="shared" si="33"/>
        <v>Active</v>
      </c>
      <c r="H717" s="1" t="str">
        <f t="shared" si="34"/>
        <v/>
      </c>
      <c r="J717">
        <f t="shared" si="35"/>
        <v>0</v>
      </c>
    </row>
    <row r="718" spans="1:10" x14ac:dyDescent="0.35">
      <c r="A718">
        <v>1717</v>
      </c>
      <c r="B718" s="1">
        <v>45824</v>
      </c>
      <c r="C718" t="s">
        <v>75</v>
      </c>
      <c r="D718">
        <v>50</v>
      </c>
      <c r="E718">
        <v>30</v>
      </c>
      <c r="F718" s="1">
        <v>45838</v>
      </c>
      <c r="G718" t="str">
        <f t="shared" si="33"/>
        <v>Churned</v>
      </c>
      <c r="H718" s="1">
        <f t="shared" si="34"/>
        <v>45809</v>
      </c>
      <c r="J718">
        <f t="shared" si="35"/>
        <v>1</v>
      </c>
    </row>
    <row r="719" spans="1:10" x14ac:dyDescent="0.35">
      <c r="A719">
        <v>1718</v>
      </c>
      <c r="B719" s="1">
        <v>45704</v>
      </c>
      <c r="C719" t="s">
        <v>75</v>
      </c>
      <c r="D719">
        <v>50</v>
      </c>
      <c r="E719">
        <v>30</v>
      </c>
      <c r="G719" t="str">
        <f t="shared" si="33"/>
        <v>Active</v>
      </c>
      <c r="H719" s="1" t="str">
        <f t="shared" si="34"/>
        <v/>
      </c>
      <c r="J719">
        <f t="shared" si="35"/>
        <v>0</v>
      </c>
    </row>
    <row r="720" spans="1:10" x14ac:dyDescent="0.35">
      <c r="A720">
        <v>1719</v>
      </c>
      <c r="B720" s="1">
        <v>45688</v>
      </c>
      <c r="C720" t="s">
        <v>18</v>
      </c>
      <c r="D720">
        <v>200</v>
      </c>
      <c r="E720">
        <v>100</v>
      </c>
      <c r="G720" t="str">
        <f t="shared" si="33"/>
        <v>Active</v>
      </c>
      <c r="H720" s="1" t="str">
        <f t="shared" si="34"/>
        <v/>
      </c>
      <c r="J720">
        <f t="shared" si="35"/>
        <v>0</v>
      </c>
    </row>
    <row r="721" spans="1:10" x14ac:dyDescent="0.35">
      <c r="A721">
        <v>1720</v>
      </c>
      <c r="B721" s="1">
        <v>45626</v>
      </c>
      <c r="C721" t="s">
        <v>75</v>
      </c>
      <c r="D721">
        <v>50</v>
      </c>
      <c r="E721">
        <v>30</v>
      </c>
      <c r="G721" t="str">
        <f t="shared" si="33"/>
        <v>Active</v>
      </c>
      <c r="H721" s="1" t="str">
        <f t="shared" si="34"/>
        <v/>
      </c>
      <c r="J721">
        <f t="shared" si="35"/>
        <v>0</v>
      </c>
    </row>
    <row r="722" spans="1:10" x14ac:dyDescent="0.35">
      <c r="A722">
        <v>1721</v>
      </c>
      <c r="B722" s="1">
        <v>45593</v>
      </c>
      <c r="C722" t="s">
        <v>75</v>
      </c>
      <c r="D722">
        <v>50</v>
      </c>
      <c r="E722">
        <v>30</v>
      </c>
      <c r="F722" s="1">
        <v>45750</v>
      </c>
      <c r="G722" t="str">
        <f t="shared" si="33"/>
        <v>Churned</v>
      </c>
      <c r="H722" s="1">
        <f t="shared" si="34"/>
        <v>45748</v>
      </c>
      <c r="J722">
        <f t="shared" si="35"/>
        <v>1</v>
      </c>
    </row>
    <row r="723" spans="1:10" x14ac:dyDescent="0.35">
      <c r="A723">
        <v>1722</v>
      </c>
      <c r="B723" s="1">
        <v>45519</v>
      </c>
      <c r="C723" t="s">
        <v>21</v>
      </c>
      <c r="D723">
        <v>500</v>
      </c>
      <c r="E723">
        <v>200</v>
      </c>
      <c r="G723" t="str">
        <f t="shared" si="33"/>
        <v>Active</v>
      </c>
      <c r="H723" s="1" t="str">
        <f t="shared" si="34"/>
        <v/>
      </c>
      <c r="J723">
        <f t="shared" si="35"/>
        <v>0</v>
      </c>
    </row>
    <row r="724" spans="1:10" x14ac:dyDescent="0.35">
      <c r="A724">
        <v>1723</v>
      </c>
      <c r="B724" s="1">
        <v>45294</v>
      </c>
      <c r="C724" t="s">
        <v>21</v>
      </c>
      <c r="D724">
        <v>500</v>
      </c>
      <c r="E724">
        <v>200</v>
      </c>
      <c r="G724" t="str">
        <f t="shared" si="33"/>
        <v>Active</v>
      </c>
      <c r="H724" s="1" t="str">
        <f t="shared" si="34"/>
        <v/>
      </c>
      <c r="J724">
        <f t="shared" si="35"/>
        <v>0</v>
      </c>
    </row>
    <row r="725" spans="1:10" x14ac:dyDescent="0.35">
      <c r="A725">
        <v>1724</v>
      </c>
      <c r="B725" s="1">
        <v>45616</v>
      </c>
      <c r="C725" t="s">
        <v>21</v>
      </c>
      <c r="D725">
        <v>500</v>
      </c>
      <c r="E725">
        <v>200</v>
      </c>
      <c r="F725" s="1">
        <v>45749</v>
      </c>
      <c r="G725" t="str">
        <f t="shared" si="33"/>
        <v>Churned</v>
      </c>
      <c r="H725" s="1">
        <f t="shared" si="34"/>
        <v>45748</v>
      </c>
      <c r="J725">
        <f t="shared" si="35"/>
        <v>1</v>
      </c>
    </row>
    <row r="726" spans="1:10" x14ac:dyDescent="0.35">
      <c r="A726">
        <v>1725</v>
      </c>
      <c r="B726" s="1">
        <v>45837</v>
      </c>
      <c r="C726" t="s">
        <v>21</v>
      </c>
      <c r="D726">
        <v>500</v>
      </c>
      <c r="E726">
        <v>200</v>
      </c>
      <c r="G726" t="str">
        <f t="shared" si="33"/>
        <v>Active</v>
      </c>
      <c r="H726" s="1" t="str">
        <f t="shared" si="34"/>
        <v/>
      </c>
      <c r="J726">
        <f t="shared" si="35"/>
        <v>0</v>
      </c>
    </row>
    <row r="727" spans="1:10" x14ac:dyDescent="0.35">
      <c r="A727">
        <v>1726</v>
      </c>
      <c r="B727" s="1">
        <v>45717</v>
      </c>
      <c r="C727" t="s">
        <v>75</v>
      </c>
      <c r="D727">
        <v>50</v>
      </c>
      <c r="E727">
        <v>30</v>
      </c>
      <c r="F727" s="1">
        <v>45777</v>
      </c>
      <c r="G727" t="str">
        <f t="shared" si="33"/>
        <v>Churned</v>
      </c>
      <c r="H727" s="1">
        <f t="shared" si="34"/>
        <v>45748</v>
      </c>
      <c r="J727">
        <f t="shared" si="35"/>
        <v>1</v>
      </c>
    </row>
    <row r="728" spans="1:10" x14ac:dyDescent="0.35">
      <c r="A728">
        <v>1727</v>
      </c>
      <c r="B728" s="1">
        <v>45675</v>
      </c>
      <c r="C728" t="s">
        <v>18</v>
      </c>
      <c r="D728">
        <v>200</v>
      </c>
      <c r="E728">
        <v>100</v>
      </c>
      <c r="F728" s="1">
        <v>45830</v>
      </c>
      <c r="G728" t="str">
        <f t="shared" si="33"/>
        <v>Churned</v>
      </c>
      <c r="H728" s="1">
        <f t="shared" si="34"/>
        <v>45809</v>
      </c>
      <c r="J728">
        <f t="shared" si="35"/>
        <v>1</v>
      </c>
    </row>
    <row r="729" spans="1:10" x14ac:dyDescent="0.35">
      <c r="A729">
        <v>1728</v>
      </c>
      <c r="B729" s="1">
        <v>45833</v>
      </c>
      <c r="C729" t="s">
        <v>21</v>
      </c>
      <c r="D729">
        <v>500</v>
      </c>
      <c r="E729">
        <v>200</v>
      </c>
      <c r="G729" t="str">
        <f t="shared" si="33"/>
        <v>Active</v>
      </c>
      <c r="H729" s="1" t="str">
        <f t="shared" si="34"/>
        <v/>
      </c>
      <c r="J729">
        <f t="shared" si="35"/>
        <v>0</v>
      </c>
    </row>
    <row r="730" spans="1:10" x14ac:dyDescent="0.35">
      <c r="A730">
        <v>1729</v>
      </c>
      <c r="B730" s="1">
        <v>45785</v>
      </c>
      <c r="C730" t="s">
        <v>21</v>
      </c>
      <c r="D730">
        <v>500</v>
      </c>
      <c r="E730">
        <v>200</v>
      </c>
      <c r="G730" t="str">
        <f t="shared" si="33"/>
        <v>Active</v>
      </c>
      <c r="H730" s="1" t="str">
        <f t="shared" si="34"/>
        <v/>
      </c>
      <c r="J730">
        <f t="shared" si="35"/>
        <v>0</v>
      </c>
    </row>
    <row r="731" spans="1:10" x14ac:dyDescent="0.35">
      <c r="A731">
        <v>1730</v>
      </c>
      <c r="B731" s="1">
        <v>45488</v>
      </c>
      <c r="C731" t="s">
        <v>21</v>
      </c>
      <c r="D731">
        <v>500</v>
      </c>
      <c r="E731">
        <v>200</v>
      </c>
      <c r="G731" t="str">
        <f t="shared" si="33"/>
        <v>Active</v>
      </c>
      <c r="H731" s="1" t="str">
        <f t="shared" si="34"/>
        <v/>
      </c>
      <c r="J731">
        <f t="shared" si="35"/>
        <v>0</v>
      </c>
    </row>
    <row r="732" spans="1:10" x14ac:dyDescent="0.35">
      <c r="A732">
        <v>1731</v>
      </c>
      <c r="B732" s="1">
        <v>45356</v>
      </c>
      <c r="C732" t="s">
        <v>21</v>
      </c>
      <c r="D732">
        <v>500</v>
      </c>
      <c r="E732">
        <v>200</v>
      </c>
      <c r="G732" t="str">
        <f t="shared" si="33"/>
        <v>Active</v>
      </c>
      <c r="H732" s="1" t="str">
        <f t="shared" si="34"/>
        <v/>
      </c>
      <c r="J732">
        <f t="shared" si="35"/>
        <v>0</v>
      </c>
    </row>
    <row r="733" spans="1:10" x14ac:dyDescent="0.35">
      <c r="A733">
        <v>1732</v>
      </c>
      <c r="B733" s="1">
        <v>45659</v>
      </c>
      <c r="C733" t="s">
        <v>21</v>
      </c>
      <c r="D733">
        <v>500</v>
      </c>
      <c r="E733">
        <v>200</v>
      </c>
      <c r="G733" t="str">
        <f t="shared" si="33"/>
        <v>Active</v>
      </c>
      <c r="H733" s="1" t="str">
        <f t="shared" si="34"/>
        <v/>
      </c>
      <c r="J733">
        <f t="shared" si="35"/>
        <v>0</v>
      </c>
    </row>
    <row r="734" spans="1:10" x14ac:dyDescent="0.35">
      <c r="A734">
        <v>1733</v>
      </c>
      <c r="B734" s="1">
        <v>45380</v>
      </c>
      <c r="C734" t="s">
        <v>18</v>
      </c>
      <c r="D734">
        <v>200</v>
      </c>
      <c r="E734">
        <v>100</v>
      </c>
      <c r="G734" t="str">
        <f t="shared" si="33"/>
        <v>Active</v>
      </c>
      <c r="H734" s="1" t="str">
        <f t="shared" si="34"/>
        <v/>
      </c>
      <c r="J734">
        <f t="shared" si="35"/>
        <v>0</v>
      </c>
    </row>
    <row r="735" spans="1:10" x14ac:dyDescent="0.35">
      <c r="A735">
        <v>1734</v>
      </c>
      <c r="B735" s="1">
        <v>45321</v>
      </c>
      <c r="C735" t="s">
        <v>18</v>
      </c>
      <c r="D735">
        <v>200</v>
      </c>
      <c r="E735">
        <v>100</v>
      </c>
      <c r="G735" t="str">
        <f t="shared" si="33"/>
        <v>Active</v>
      </c>
      <c r="H735" s="1" t="str">
        <f t="shared" si="34"/>
        <v/>
      </c>
      <c r="J735">
        <f t="shared" si="35"/>
        <v>0</v>
      </c>
    </row>
    <row r="736" spans="1:10" x14ac:dyDescent="0.35">
      <c r="A736">
        <v>1735</v>
      </c>
      <c r="B736" s="1">
        <v>45782</v>
      </c>
      <c r="C736" t="s">
        <v>75</v>
      </c>
      <c r="D736">
        <v>50</v>
      </c>
      <c r="E736">
        <v>30</v>
      </c>
      <c r="G736" t="str">
        <f t="shared" si="33"/>
        <v>Active</v>
      </c>
      <c r="H736" s="1" t="str">
        <f t="shared" si="34"/>
        <v/>
      </c>
      <c r="J736">
        <f t="shared" si="35"/>
        <v>0</v>
      </c>
    </row>
    <row r="737" spans="1:10" x14ac:dyDescent="0.35">
      <c r="A737">
        <v>1736</v>
      </c>
      <c r="B737" s="1">
        <v>45644</v>
      </c>
      <c r="C737" t="s">
        <v>21</v>
      </c>
      <c r="D737">
        <v>500</v>
      </c>
      <c r="E737">
        <v>200</v>
      </c>
      <c r="F737" s="1">
        <v>45713</v>
      </c>
      <c r="G737" t="str">
        <f t="shared" si="33"/>
        <v>Churned</v>
      </c>
      <c r="H737" s="1">
        <f t="shared" si="34"/>
        <v>45689</v>
      </c>
      <c r="J737">
        <f t="shared" si="35"/>
        <v>1</v>
      </c>
    </row>
    <row r="738" spans="1:10" x14ac:dyDescent="0.35">
      <c r="A738">
        <v>1737</v>
      </c>
      <c r="B738" s="1">
        <v>45448</v>
      </c>
      <c r="C738" t="s">
        <v>18</v>
      </c>
      <c r="D738">
        <v>200</v>
      </c>
      <c r="E738">
        <v>100</v>
      </c>
      <c r="F738" s="1">
        <v>45574</v>
      </c>
      <c r="G738" t="str">
        <f t="shared" si="33"/>
        <v>Churned</v>
      </c>
      <c r="H738" s="1">
        <f t="shared" si="34"/>
        <v>45566</v>
      </c>
      <c r="J738">
        <f t="shared" si="35"/>
        <v>1</v>
      </c>
    </row>
    <row r="739" spans="1:10" x14ac:dyDescent="0.35">
      <c r="A739">
        <v>1738</v>
      </c>
      <c r="B739" s="1">
        <v>45344</v>
      </c>
      <c r="C739" t="s">
        <v>18</v>
      </c>
      <c r="D739">
        <v>200</v>
      </c>
      <c r="E739">
        <v>100</v>
      </c>
      <c r="G739" t="str">
        <f t="shared" si="33"/>
        <v>Active</v>
      </c>
      <c r="H739" s="1" t="str">
        <f t="shared" si="34"/>
        <v/>
      </c>
      <c r="J739">
        <f t="shared" si="35"/>
        <v>0</v>
      </c>
    </row>
    <row r="740" spans="1:10" x14ac:dyDescent="0.35">
      <c r="A740">
        <v>1739</v>
      </c>
      <c r="B740" s="1">
        <v>45516</v>
      </c>
      <c r="C740" t="s">
        <v>18</v>
      </c>
      <c r="D740">
        <v>200</v>
      </c>
      <c r="E740">
        <v>100</v>
      </c>
      <c r="G740" t="str">
        <f t="shared" si="33"/>
        <v>Active</v>
      </c>
      <c r="H740" s="1" t="str">
        <f t="shared" si="34"/>
        <v/>
      </c>
      <c r="J740">
        <f t="shared" si="35"/>
        <v>0</v>
      </c>
    </row>
    <row r="741" spans="1:10" x14ac:dyDescent="0.35">
      <c r="A741">
        <v>1740</v>
      </c>
      <c r="B741" s="1">
        <v>45698</v>
      </c>
      <c r="C741" t="s">
        <v>21</v>
      </c>
      <c r="D741">
        <v>500</v>
      </c>
      <c r="E741">
        <v>200</v>
      </c>
      <c r="G741" t="str">
        <f t="shared" si="33"/>
        <v>Active</v>
      </c>
      <c r="H741" s="1" t="str">
        <f t="shared" si="34"/>
        <v/>
      </c>
      <c r="J741">
        <f t="shared" si="35"/>
        <v>0</v>
      </c>
    </row>
    <row r="742" spans="1:10" x14ac:dyDescent="0.35">
      <c r="A742">
        <v>1741</v>
      </c>
      <c r="B742" s="1">
        <v>45361</v>
      </c>
      <c r="C742" t="s">
        <v>21</v>
      </c>
      <c r="D742">
        <v>500</v>
      </c>
      <c r="E742">
        <v>200</v>
      </c>
      <c r="G742" t="str">
        <f t="shared" si="33"/>
        <v>Active</v>
      </c>
      <c r="H742" s="1" t="str">
        <f t="shared" si="34"/>
        <v/>
      </c>
      <c r="J742">
        <f t="shared" si="35"/>
        <v>0</v>
      </c>
    </row>
    <row r="743" spans="1:10" x14ac:dyDescent="0.35">
      <c r="A743">
        <v>1742</v>
      </c>
      <c r="B743" s="1">
        <v>45302</v>
      </c>
      <c r="C743" t="s">
        <v>18</v>
      </c>
      <c r="D743">
        <v>200</v>
      </c>
      <c r="E743">
        <v>100</v>
      </c>
      <c r="G743" t="str">
        <f t="shared" si="33"/>
        <v>Active</v>
      </c>
      <c r="H743" s="1" t="str">
        <f t="shared" si="34"/>
        <v/>
      </c>
      <c r="J743">
        <f t="shared" si="35"/>
        <v>0</v>
      </c>
    </row>
    <row r="744" spans="1:10" x14ac:dyDescent="0.35">
      <c r="A744">
        <v>1743</v>
      </c>
      <c r="B744" s="1">
        <v>45709</v>
      </c>
      <c r="C744" t="s">
        <v>21</v>
      </c>
      <c r="D744">
        <v>500</v>
      </c>
      <c r="E744">
        <v>200</v>
      </c>
      <c r="G744" t="str">
        <f t="shared" si="33"/>
        <v>Active</v>
      </c>
      <c r="H744" s="1" t="str">
        <f t="shared" si="34"/>
        <v/>
      </c>
      <c r="J744">
        <f t="shared" si="35"/>
        <v>0</v>
      </c>
    </row>
    <row r="745" spans="1:10" x14ac:dyDescent="0.35">
      <c r="A745">
        <v>1744</v>
      </c>
      <c r="B745" s="1">
        <v>45801</v>
      </c>
      <c r="C745" t="s">
        <v>75</v>
      </c>
      <c r="D745">
        <v>50</v>
      </c>
      <c r="E745">
        <v>30</v>
      </c>
      <c r="G745" t="str">
        <f t="shared" si="33"/>
        <v>Active</v>
      </c>
      <c r="H745" s="1" t="str">
        <f t="shared" si="34"/>
        <v/>
      </c>
      <c r="J745">
        <f t="shared" si="35"/>
        <v>0</v>
      </c>
    </row>
    <row r="746" spans="1:10" x14ac:dyDescent="0.35">
      <c r="A746">
        <v>1745</v>
      </c>
      <c r="B746" s="1">
        <v>45349</v>
      </c>
      <c r="C746" t="s">
        <v>75</v>
      </c>
      <c r="D746">
        <v>50</v>
      </c>
      <c r="E746">
        <v>30</v>
      </c>
      <c r="G746" t="str">
        <f t="shared" si="33"/>
        <v>Active</v>
      </c>
      <c r="H746" s="1" t="str">
        <f t="shared" si="34"/>
        <v/>
      </c>
      <c r="J746">
        <f t="shared" si="35"/>
        <v>0</v>
      </c>
    </row>
    <row r="747" spans="1:10" x14ac:dyDescent="0.35">
      <c r="A747">
        <v>1746</v>
      </c>
      <c r="B747" s="1">
        <v>45440</v>
      </c>
      <c r="C747" t="s">
        <v>75</v>
      </c>
      <c r="D747">
        <v>50</v>
      </c>
      <c r="E747">
        <v>30</v>
      </c>
      <c r="G747" t="str">
        <f t="shared" si="33"/>
        <v>Active</v>
      </c>
      <c r="H747" s="1" t="str">
        <f t="shared" si="34"/>
        <v/>
      </c>
      <c r="J747">
        <f t="shared" si="35"/>
        <v>0</v>
      </c>
    </row>
    <row r="748" spans="1:10" x14ac:dyDescent="0.35">
      <c r="A748">
        <v>1747</v>
      </c>
      <c r="B748" s="1">
        <v>45421</v>
      </c>
      <c r="C748" t="s">
        <v>18</v>
      </c>
      <c r="D748">
        <v>200</v>
      </c>
      <c r="E748">
        <v>100</v>
      </c>
      <c r="F748" s="1">
        <v>45494</v>
      </c>
      <c r="G748" t="str">
        <f t="shared" si="33"/>
        <v>Churned</v>
      </c>
      <c r="H748" s="1">
        <f t="shared" si="34"/>
        <v>45474</v>
      </c>
      <c r="J748">
        <f t="shared" si="35"/>
        <v>1</v>
      </c>
    </row>
    <row r="749" spans="1:10" x14ac:dyDescent="0.35">
      <c r="A749">
        <v>1748</v>
      </c>
      <c r="B749" s="1">
        <v>45326</v>
      </c>
      <c r="C749" t="s">
        <v>18</v>
      </c>
      <c r="D749">
        <v>200</v>
      </c>
      <c r="E749">
        <v>100</v>
      </c>
      <c r="G749" t="str">
        <f t="shared" si="33"/>
        <v>Active</v>
      </c>
      <c r="H749" s="1" t="str">
        <f t="shared" si="34"/>
        <v/>
      </c>
      <c r="J749">
        <f t="shared" si="35"/>
        <v>0</v>
      </c>
    </row>
    <row r="750" spans="1:10" x14ac:dyDescent="0.35">
      <c r="A750">
        <v>1749</v>
      </c>
      <c r="B750" s="1">
        <v>45769</v>
      </c>
      <c r="C750" t="s">
        <v>18</v>
      </c>
      <c r="D750">
        <v>200</v>
      </c>
      <c r="E750">
        <v>100</v>
      </c>
      <c r="G750" t="str">
        <f t="shared" si="33"/>
        <v>Active</v>
      </c>
      <c r="H750" s="1" t="str">
        <f t="shared" si="34"/>
        <v/>
      </c>
      <c r="J750">
        <f t="shared" si="35"/>
        <v>0</v>
      </c>
    </row>
    <row r="751" spans="1:10" x14ac:dyDescent="0.35">
      <c r="A751">
        <v>1750</v>
      </c>
      <c r="B751" s="1">
        <v>45589</v>
      </c>
      <c r="C751" t="s">
        <v>21</v>
      </c>
      <c r="D751">
        <v>500</v>
      </c>
      <c r="E751">
        <v>200</v>
      </c>
      <c r="F751" s="1">
        <v>45787</v>
      </c>
      <c r="G751" t="str">
        <f t="shared" si="33"/>
        <v>Churned</v>
      </c>
      <c r="H751" s="1">
        <f t="shared" si="34"/>
        <v>45778</v>
      </c>
      <c r="J751">
        <f t="shared" si="35"/>
        <v>1</v>
      </c>
    </row>
    <row r="752" spans="1:10" x14ac:dyDescent="0.35">
      <c r="A752">
        <v>1751</v>
      </c>
      <c r="B752" s="1">
        <v>45466</v>
      </c>
      <c r="C752" t="s">
        <v>75</v>
      </c>
      <c r="D752">
        <v>50</v>
      </c>
      <c r="E752">
        <v>30</v>
      </c>
      <c r="G752" t="str">
        <f t="shared" si="33"/>
        <v>Active</v>
      </c>
      <c r="H752" s="1" t="str">
        <f t="shared" si="34"/>
        <v/>
      </c>
      <c r="J752">
        <f t="shared" si="35"/>
        <v>0</v>
      </c>
    </row>
    <row r="753" spans="1:10" x14ac:dyDescent="0.35">
      <c r="A753">
        <v>1752</v>
      </c>
      <c r="B753" s="1">
        <v>45524</v>
      </c>
      <c r="C753" t="s">
        <v>75</v>
      </c>
      <c r="D753">
        <v>50</v>
      </c>
      <c r="E753">
        <v>30</v>
      </c>
      <c r="G753" t="str">
        <f t="shared" si="33"/>
        <v>Active</v>
      </c>
      <c r="H753" s="1" t="str">
        <f t="shared" si="34"/>
        <v/>
      </c>
      <c r="J753">
        <f t="shared" si="35"/>
        <v>0</v>
      </c>
    </row>
    <row r="754" spans="1:10" x14ac:dyDescent="0.35">
      <c r="A754">
        <v>1753</v>
      </c>
      <c r="B754" s="1">
        <v>45561</v>
      </c>
      <c r="C754" t="s">
        <v>18</v>
      </c>
      <c r="D754">
        <v>200</v>
      </c>
      <c r="E754">
        <v>100</v>
      </c>
      <c r="G754" t="str">
        <f t="shared" si="33"/>
        <v>Active</v>
      </c>
      <c r="H754" s="1" t="str">
        <f t="shared" si="34"/>
        <v/>
      </c>
      <c r="J754">
        <f t="shared" si="35"/>
        <v>0</v>
      </c>
    </row>
    <row r="755" spans="1:10" x14ac:dyDescent="0.35">
      <c r="A755">
        <v>1754</v>
      </c>
      <c r="B755" s="1">
        <v>45721</v>
      </c>
      <c r="C755" t="s">
        <v>75</v>
      </c>
      <c r="D755">
        <v>50</v>
      </c>
      <c r="E755">
        <v>30</v>
      </c>
      <c r="G755" t="str">
        <f t="shared" si="33"/>
        <v>Active</v>
      </c>
      <c r="H755" s="1" t="str">
        <f t="shared" si="34"/>
        <v/>
      </c>
      <c r="J755">
        <f t="shared" si="35"/>
        <v>0</v>
      </c>
    </row>
    <row r="756" spans="1:10" x14ac:dyDescent="0.35">
      <c r="A756">
        <v>1755</v>
      </c>
      <c r="B756" s="1">
        <v>45379</v>
      </c>
      <c r="C756" t="s">
        <v>21</v>
      </c>
      <c r="D756">
        <v>500</v>
      </c>
      <c r="E756">
        <v>200</v>
      </c>
      <c r="G756" t="str">
        <f t="shared" si="33"/>
        <v>Active</v>
      </c>
      <c r="H756" s="1" t="str">
        <f t="shared" si="34"/>
        <v/>
      </c>
      <c r="J756">
        <f t="shared" si="35"/>
        <v>0</v>
      </c>
    </row>
    <row r="757" spans="1:10" x14ac:dyDescent="0.35">
      <c r="A757">
        <v>1756</v>
      </c>
      <c r="B757" s="1">
        <v>45358</v>
      </c>
      <c r="C757" t="s">
        <v>18</v>
      </c>
      <c r="D757">
        <v>200</v>
      </c>
      <c r="E757">
        <v>100</v>
      </c>
      <c r="G757" t="str">
        <f t="shared" si="33"/>
        <v>Active</v>
      </c>
      <c r="H757" s="1" t="str">
        <f t="shared" si="34"/>
        <v/>
      </c>
      <c r="J757">
        <f t="shared" si="35"/>
        <v>0</v>
      </c>
    </row>
    <row r="758" spans="1:10" x14ac:dyDescent="0.35">
      <c r="A758">
        <v>1757</v>
      </c>
      <c r="B758" s="1">
        <v>45415</v>
      </c>
      <c r="C758" t="s">
        <v>75</v>
      </c>
      <c r="D758">
        <v>50</v>
      </c>
      <c r="E758">
        <v>30</v>
      </c>
      <c r="G758" t="str">
        <f t="shared" si="33"/>
        <v>Active</v>
      </c>
      <c r="H758" s="1" t="str">
        <f t="shared" si="34"/>
        <v/>
      </c>
      <c r="J758">
        <f t="shared" si="35"/>
        <v>0</v>
      </c>
    </row>
    <row r="759" spans="1:10" x14ac:dyDescent="0.35">
      <c r="A759">
        <v>1758</v>
      </c>
      <c r="B759" s="1">
        <v>45407</v>
      </c>
      <c r="C759" t="s">
        <v>75</v>
      </c>
      <c r="D759">
        <v>50</v>
      </c>
      <c r="E759">
        <v>30</v>
      </c>
      <c r="G759" t="str">
        <f t="shared" si="33"/>
        <v>Active</v>
      </c>
      <c r="H759" s="1" t="str">
        <f t="shared" si="34"/>
        <v/>
      </c>
      <c r="J759">
        <f t="shared" si="35"/>
        <v>0</v>
      </c>
    </row>
    <row r="760" spans="1:10" x14ac:dyDescent="0.35">
      <c r="A760">
        <v>1759</v>
      </c>
      <c r="B760" s="1">
        <v>45417</v>
      </c>
      <c r="C760" t="s">
        <v>18</v>
      </c>
      <c r="D760">
        <v>200</v>
      </c>
      <c r="E760">
        <v>100</v>
      </c>
      <c r="F760" s="1">
        <v>45639</v>
      </c>
      <c r="G760" t="str">
        <f t="shared" si="33"/>
        <v>Churned</v>
      </c>
      <c r="H760" s="1">
        <f t="shared" si="34"/>
        <v>45627</v>
      </c>
      <c r="J760">
        <f t="shared" si="35"/>
        <v>1</v>
      </c>
    </row>
    <row r="761" spans="1:10" x14ac:dyDescent="0.35">
      <c r="A761">
        <v>1760</v>
      </c>
      <c r="B761" s="1">
        <v>45649</v>
      </c>
      <c r="C761" t="s">
        <v>75</v>
      </c>
      <c r="D761">
        <v>50</v>
      </c>
      <c r="E761">
        <v>30</v>
      </c>
      <c r="G761" t="str">
        <f t="shared" si="33"/>
        <v>Active</v>
      </c>
      <c r="H761" s="1" t="str">
        <f t="shared" si="34"/>
        <v/>
      </c>
      <c r="J761">
        <f t="shared" si="35"/>
        <v>0</v>
      </c>
    </row>
    <row r="762" spans="1:10" x14ac:dyDescent="0.35">
      <c r="A762">
        <v>1761</v>
      </c>
      <c r="B762" s="1">
        <v>45623</v>
      </c>
      <c r="C762" t="s">
        <v>75</v>
      </c>
      <c r="D762">
        <v>50</v>
      </c>
      <c r="E762">
        <v>30</v>
      </c>
      <c r="G762" t="str">
        <f t="shared" si="33"/>
        <v>Active</v>
      </c>
      <c r="H762" s="1" t="str">
        <f t="shared" si="34"/>
        <v/>
      </c>
      <c r="J762">
        <f t="shared" si="35"/>
        <v>0</v>
      </c>
    </row>
    <row r="763" spans="1:10" x14ac:dyDescent="0.35">
      <c r="A763">
        <v>1762</v>
      </c>
      <c r="B763" s="1">
        <v>45437</v>
      </c>
      <c r="C763" t="s">
        <v>75</v>
      </c>
      <c r="D763">
        <v>50</v>
      </c>
      <c r="E763">
        <v>30</v>
      </c>
      <c r="G763" t="str">
        <f t="shared" si="33"/>
        <v>Active</v>
      </c>
      <c r="H763" s="1" t="str">
        <f t="shared" si="34"/>
        <v/>
      </c>
      <c r="J763">
        <f t="shared" si="35"/>
        <v>0</v>
      </c>
    </row>
    <row r="764" spans="1:10" x14ac:dyDescent="0.35">
      <c r="A764">
        <v>1763</v>
      </c>
      <c r="B764" s="1">
        <v>45485</v>
      </c>
      <c r="C764" t="s">
        <v>18</v>
      </c>
      <c r="D764">
        <v>200</v>
      </c>
      <c r="E764">
        <v>100</v>
      </c>
      <c r="G764" t="str">
        <f t="shared" si="33"/>
        <v>Active</v>
      </c>
      <c r="H764" s="1" t="str">
        <f t="shared" si="34"/>
        <v/>
      </c>
      <c r="J764">
        <f t="shared" si="35"/>
        <v>0</v>
      </c>
    </row>
    <row r="765" spans="1:10" x14ac:dyDescent="0.35">
      <c r="A765">
        <v>1764</v>
      </c>
      <c r="B765" s="1">
        <v>45630</v>
      </c>
      <c r="C765" t="s">
        <v>21</v>
      </c>
      <c r="D765">
        <v>500</v>
      </c>
      <c r="E765">
        <v>200</v>
      </c>
      <c r="F765" s="1">
        <v>45667</v>
      </c>
      <c r="G765" t="str">
        <f t="shared" si="33"/>
        <v>Churned</v>
      </c>
      <c r="H765" s="1">
        <f t="shared" si="34"/>
        <v>45658</v>
      </c>
      <c r="J765">
        <f t="shared" si="35"/>
        <v>1</v>
      </c>
    </row>
    <row r="766" spans="1:10" x14ac:dyDescent="0.35">
      <c r="A766">
        <v>1765</v>
      </c>
      <c r="B766" s="1">
        <v>45459</v>
      </c>
      <c r="C766" t="s">
        <v>75</v>
      </c>
      <c r="D766">
        <v>50</v>
      </c>
      <c r="E766">
        <v>30</v>
      </c>
      <c r="F766" s="1">
        <v>45628</v>
      </c>
      <c r="G766" t="str">
        <f t="shared" si="33"/>
        <v>Churned</v>
      </c>
      <c r="H766" s="1">
        <f t="shared" si="34"/>
        <v>45627</v>
      </c>
      <c r="J766">
        <f t="shared" si="35"/>
        <v>1</v>
      </c>
    </row>
    <row r="767" spans="1:10" x14ac:dyDescent="0.35">
      <c r="A767">
        <v>1766</v>
      </c>
      <c r="B767" s="1">
        <v>45743</v>
      </c>
      <c r="C767" t="s">
        <v>75</v>
      </c>
      <c r="D767">
        <v>50</v>
      </c>
      <c r="E767">
        <v>30</v>
      </c>
      <c r="G767" t="str">
        <f t="shared" si="33"/>
        <v>Active</v>
      </c>
      <c r="H767" s="1" t="str">
        <f t="shared" si="34"/>
        <v/>
      </c>
      <c r="J767">
        <f t="shared" si="35"/>
        <v>0</v>
      </c>
    </row>
    <row r="768" spans="1:10" x14ac:dyDescent="0.35">
      <c r="A768">
        <v>1767</v>
      </c>
      <c r="B768" s="1">
        <v>45657</v>
      </c>
      <c r="C768" t="s">
        <v>18</v>
      </c>
      <c r="D768">
        <v>200</v>
      </c>
      <c r="E768">
        <v>100</v>
      </c>
      <c r="F768" s="1">
        <v>45756</v>
      </c>
      <c r="G768" t="str">
        <f t="shared" si="33"/>
        <v>Churned</v>
      </c>
      <c r="H768" s="1">
        <f t="shared" si="34"/>
        <v>45748</v>
      </c>
      <c r="J768">
        <f t="shared" si="35"/>
        <v>1</v>
      </c>
    </row>
    <row r="769" spans="1:10" x14ac:dyDescent="0.35">
      <c r="A769">
        <v>1768</v>
      </c>
      <c r="B769" s="1">
        <v>45830</v>
      </c>
      <c r="C769" t="s">
        <v>18</v>
      </c>
      <c r="D769">
        <v>200</v>
      </c>
      <c r="E769">
        <v>100</v>
      </c>
      <c r="F769" s="1">
        <v>45838</v>
      </c>
      <c r="G769" t="str">
        <f t="shared" si="33"/>
        <v>Churned</v>
      </c>
      <c r="H769" s="1">
        <f t="shared" si="34"/>
        <v>45809</v>
      </c>
      <c r="J769">
        <f t="shared" si="35"/>
        <v>1</v>
      </c>
    </row>
    <row r="770" spans="1:10" x14ac:dyDescent="0.35">
      <c r="A770">
        <v>1769</v>
      </c>
      <c r="B770" s="1">
        <v>45827</v>
      </c>
      <c r="C770" t="s">
        <v>21</v>
      </c>
      <c r="D770">
        <v>500</v>
      </c>
      <c r="E770">
        <v>200</v>
      </c>
      <c r="G770" t="str">
        <f t="shared" si="33"/>
        <v>Active</v>
      </c>
      <c r="H770" s="1" t="str">
        <f t="shared" si="34"/>
        <v/>
      </c>
      <c r="J770">
        <f t="shared" si="35"/>
        <v>0</v>
      </c>
    </row>
    <row r="771" spans="1:10" x14ac:dyDescent="0.35">
      <c r="A771">
        <v>1770</v>
      </c>
      <c r="B771" s="1">
        <v>45417</v>
      </c>
      <c r="C771" t="s">
        <v>18</v>
      </c>
      <c r="D771">
        <v>200</v>
      </c>
      <c r="E771">
        <v>100</v>
      </c>
      <c r="G771" t="str">
        <f t="shared" ref="G771:G834" si="36">IF(F771="","Active","Churned")</f>
        <v>Active</v>
      </c>
      <c r="H771" s="1" t="str">
        <f t="shared" ref="H771:H834" si="37">IF(F771="","",DATE(YEAR(F771),MONTH(F771),1))</f>
        <v/>
      </c>
      <c r="J771">
        <f t="shared" ref="J771:J834" si="38">IF(G771="Churned",1,0)</f>
        <v>0</v>
      </c>
    </row>
    <row r="772" spans="1:10" x14ac:dyDescent="0.35">
      <c r="A772">
        <v>1771</v>
      </c>
      <c r="B772" s="1">
        <v>45483</v>
      </c>
      <c r="C772" t="s">
        <v>21</v>
      </c>
      <c r="D772">
        <v>500</v>
      </c>
      <c r="E772">
        <v>200</v>
      </c>
      <c r="G772" t="str">
        <f t="shared" si="36"/>
        <v>Active</v>
      </c>
      <c r="H772" s="1" t="str">
        <f t="shared" si="37"/>
        <v/>
      </c>
      <c r="J772">
        <f t="shared" si="38"/>
        <v>0</v>
      </c>
    </row>
    <row r="773" spans="1:10" x14ac:dyDescent="0.35">
      <c r="A773">
        <v>1772</v>
      </c>
      <c r="B773" s="1">
        <v>45835</v>
      </c>
      <c r="C773" t="s">
        <v>21</v>
      </c>
      <c r="D773">
        <v>500</v>
      </c>
      <c r="E773">
        <v>200</v>
      </c>
      <c r="G773" t="str">
        <f t="shared" si="36"/>
        <v>Active</v>
      </c>
      <c r="H773" s="1" t="str">
        <f t="shared" si="37"/>
        <v/>
      </c>
      <c r="J773">
        <f t="shared" si="38"/>
        <v>0</v>
      </c>
    </row>
    <row r="774" spans="1:10" x14ac:dyDescent="0.35">
      <c r="A774">
        <v>1773</v>
      </c>
      <c r="B774" s="1">
        <v>45530</v>
      </c>
      <c r="C774" t="s">
        <v>75</v>
      </c>
      <c r="D774">
        <v>50</v>
      </c>
      <c r="E774">
        <v>30</v>
      </c>
      <c r="G774" t="str">
        <f t="shared" si="36"/>
        <v>Active</v>
      </c>
      <c r="H774" s="1" t="str">
        <f t="shared" si="37"/>
        <v/>
      </c>
      <c r="J774">
        <f t="shared" si="38"/>
        <v>0</v>
      </c>
    </row>
    <row r="775" spans="1:10" x14ac:dyDescent="0.35">
      <c r="A775">
        <v>1774</v>
      </c>
      <c r="B775" s="1">
        <v>45594</v>
      </c>
      <c r="C775" t="s">
        <v>75</v>
      </c>
      <c r="D775">
        <v>50</v>
      </c>
      <c r="E775">
        <v>30</v>
      </c>
      <c r="G775" t="str">
        <f t="shared" si="36"/>
        <v>Active</v>
      </c>
      <c r="H775" s="1" t="str">
        <f t="shared" si="37"/>
        <v/>
      </c>
      <c r="J775">
        <f t="shared" si="38"/>
        <v>0</v>
      </c>
    </row>
    <row r="776" spans="1:10" x14ac:dyDescent="0.35">
      <c r="A776">
        <v>1775</v>
      </c>
      <c r="B776" s="1">
        <v>45432</v>
      </c>
      <c r="C776" t="s">
        <v>18</v>
      </c>
      <c r="D776">
        <v>200</v>
      </c>
      <c r="E776">
        <v>100</v>
      </c>
      <c r="G776" t="str">
        <f t="shared" si="36"/>
        <v>Active</v>
      </c>
      <c r="H776" s="1" t="str">
        <f t="shared" si="37"/>
        <v/>
      </c>
      <c r="J776">
        <f t="shared" si="38"/>
        <v>0</v>
      </c>
    </row>
    <row r="777" spans="1:10" x14ac:dyDescent="0.35">
      <c r="A777">
        <v>1776</v>
      </c>
      <c r="B777" s="1">
        <v>45690</v>
      </c>
      <c r="C777" t="s">
        <v>21</v>
      </c>
      <c r="D777">
        <v>500</v>
      </c>
      <c r="E777">
        <v>200</v>
      </c>
      <c r="G777" t="str">
        <f t="shared" si="36"/>
        <v>Active</v>
      </c>
      <c r="H777" s="1" t="str">
        <f t="shared" si="37"/>
        <v/>
      </c>
      <c r="J777">
        <f t="shared" si="38"/>
        <v>0</v>
      </c>
    </row>
    <row r="778" spans="1:10" x14ac:dyDescent="0.35">
      <c r="A778">
        <v>1777</v>
      </c>
      <c r="B778" s="1">
        <v>45297</v>
      </c>
      <c r="C778" t="s">
        <v>75</v>
      </c>
      <c r="D778">
        <v>50</v>
      </c>
      <c r="E778">
        <v>30</v>
      </c>
      <c r="G778" t="str">
        <f t="shared" si="36"/>
        <v>Active</v>
      </c>
      <c r="H778" s="1" t="str">
        <f t="shared" si="37"/>
        <v/>
      </c>
      <c r="J778">
        <f t="shared" si="38"/>
        <v>0</v>
      </c>
    </row>
    <row r="779" spans="1:10" x14ac:dyDescent="0.35">
      <c r="A779">
        <v>1778</v>
      </c>
      <c r="B779" s="1">
        <v>45300</v>
      </c>
      <c r="C779" t="s">
        <v>75</v>
      </c>
      <c r="D779">
        <v>50</v>
      </c>
      <c r="E779">
        <v>30</v>
      </c>
      <c r="G779" t="str">
        <f t="shared" si="36"/>
        <v>Active</v>
      </c>
      <c r="H779" s="1" t="str">
        <f t="shared" si="37"/>
        <v/>
      </c>
      <c r="J779">
        <f t="shared" si="38"/>
        <v>0</v>
      </c>
    </row>
    <row r="780" spans="1:10" x14ac:dyDescent="0.35">
      <c r="A780">
        <v>1779</v>
      </c>
      <c r="B780" s="1">
        <v>45605</v>
      </c>
      <c r="C780" t="s">
        <v>75</v>
      </c>
      <c r="D780">
        <v>50</v>
      </c>
      <c r="E780">
        <v>30</v>
      </c>
      <c r="G780" t="str">
        <f t="shared" si="36"/>
        <v>Active</v>
      </c>
      <c r="H780" s="1" t="str">
        <f t="shared" si="37"/>
        <v/>
      </c>
      <c r="J780">
        <f t="shared" si="38"/>
        <v>0</v>
      </c>
    </row>
    <row r="781" spans="1:10" x14ac:dyDescent="0.35">
      <c r="A781">
        <v>1780</v>
      </c>
      <c r="B781" s="1">
        <v>45528</v>
      </c>
      <c r="C781" t="s">
        <v>75</v>
      </c>
      <c r="D781">
        <v>50</v>
      </c>
      <c r="E781">
        <v>30</v>
      </c>
      <c r="G781" t="str">
        <f t="shared" si="36"/>
        <v>Active</v>
      </c>
      <c r="H781" s="1" t="str">
        <f t="shared" si="37"/>
        <v/>
      </c>
      <c r="J781">
        <f t="shared" si="38"/>
        <v>0</v>
      </c>
    </row>
    <row r="782" spans="1:10" x14ac:dyDescent="0.35">
      <c r="A782">
        <v>1781</v>
      </c>
      <c r="B782" s="1">
        <v>45402</v>
      </c>
      <c r="C782" t="s">
        <v>75</v>
      </c>
      <c r="D782">
        <v>50</v>
      </c>
      <c r="E782">
        <v>30</v>
      </c>
      <c r="G782" t="str">
        <f t="shared" si="36"/>
        <v>Active</v>
      </c>
      <c r="H782" s="1" t="str">
        <f t="shared" si="37"/>
        <v/>
      </c>
      <c r="J782">
        <f t="shared" si="38"/>
        <v>0</v>
      </c>
    </row>
    <row r="783" spans="1:10" x14ac:dyDescent="0.35">
      <c r="A783">
        <v>1782</v>
      </c>
      <c r="B783" s="1">
        <v>45771</v>
      </c>
      <c r="C783" t="s">
        <v>18</v>
      </c>
      <c r="D783">
        <v>200</v>
      </c>
      <c r="E783">
        <v>100</v>
      </c>
      <c r="G783" t="str">
        <f t="shared" si="36"/>
        <v>Active</v>
      </c>
      <c r="H783" s="1" t="str">
        <f t="shared" si="37"/>
        <v/>
      </c>
      <c r="J783">
        <f t="shared" si="38"/>
        <v>0</v>
      </c>
    </row>
    <row r="784" spans="1:10" x14ac:dyDescent="0.35">
      <c r="A784">
        <v>1783</v>
      </c>
      <c r="B784" s="1">
        <v>45561</v>
      </c>
      <c r="C784" t="s">
        <v>18</v>
      </c>
      <c r="D784">
        <v>200</v>
      </c>
      <c r="E784">
        <v>100</v>
      </c>
      <c r="G784" t="str">
        <f t="shared" si="36"/>
        <v>Active</v>
      </c>
      <c r="H784" s="1" t="str">
        <f t="shared" si="37"/>
        <v/>
      </c>
      <c r="J784">
        <f t="shared" si="38"/>
        <v>0</v>
      </c>
    </row>
    <row r="785" spans="1:10" x14ac:dyDescent="0.35">
      <c r="A785">
        <v>1784</v>
      </c>
      <c r="B785" s="1">
        <v>45594</v>
      </c>
      <c r="C785" t="s">
        <v>18</v>
      </c>
      <c r="D785">
        <v>200</v>
      </c>
      <c r="E785">
        <v>100</v>
      </c>
      <c r="G785" t="str">
        <f t="shared" si="36"/>
        <v>Active</v>
      </c>
      <c r="H785" s="1" t="str">
        <f t="shared" si="37"/>
        <v/>
      </c>
      <c r="J785">
        <f t="shared" si="38"/>
        <v>0</v>
      </c>
    </row>
    <row r="786" spans="1:10" x14ac:dyDescent="0.35">
      <c r="A786">
        <v>1785</v>
      </c>
      <c r="B786" s="1">
        <v>45572</v>
      </c>
      <c r="C786" t="s">
        <v>75</v>
      </c>
      <c r="D786">
        <v>50</v>
      </c>
      <c r="E786">
        <v>30</v>
      </c>
      <c r="G786" t="str">
        <f t="shared" si="36"/>
        <v>Active</v>
      </c>
      <c r="H786" s="1" t="str">
        <f t="shared" si="37"/>
        <v/>
      </c>
      <c r="J786">
        <f t="shared" si="38"/>
        <v>0</v>
      </c>
    </row>
    <row r="787" spans="1:10" x14ac:dyDescent="0.35">
      <c r="A787">
        <v>1786</v>
      </c>
      <c r="B787" s="1">
        <v>45473</v>
      </c>
      <c r="C787" t="s">
        <v>21</v>
      </c>
      <c r="D787">
        <v>500</v>
      </c>
      <c r="E787">
        <v>200</v>
      </c>
      <c r="G787" t="str">
        <f t="shared" si="36"/>
        <v>Active</v>
      </c>
      <c r="H787" s="1" t="str">
        <f t="shared" si="37"/>
        <v/>
      </c>
      <c r="J787">
        <f t="shared" si="38"/>
        <v>0</v>
      </c>
    </row>
    <row r="788" spans="1:10" x14ac:dyDescent="0.35">
      <c r="A788">
        <v>1787</v>
      </c>
      <c r="B788" s="1">
        <v>45384</v>
      </c>
      <c r="C788" t="s">
        <v>21</v>
      </c>
      <c r="D788">
        <v>500</v>
      </c>
      <c r="E788">
        <v>200</v>
      </c>
      <c r="G788" t="str">
        <f t="shared" si="36"/>
        <v>Active</v>
      </c>
      <c r="H788" s="1" t="str">
        <f t="shared" si="37"/>
        <v/>
      </c>
      <c r="J788">
        <f t="shared" si="38"/>
        <v>0</v>
      </c>
    </row>
    <row r="789" spans="1:10" x14ac:dyDescent="0.35">
      <c r="A789">
        <v>1788</v>
      </c>
      <c r="B789" s="1">
        <v>45750</v>
      </c>
      <c r="C789" t="s">
        <v>18</v>
      </c>
      <c r="D789">
        <v>200</v>
      </c>
      <c r="E789">
        <v>100</v>
      </c>
      <c r="G789" t="str">
        <f t="shared" si="36"/>
        <v>Active</v>
      </c>
      <c r="H789" s="1" t="str">
        <f t="shared" si="37"/>
        <v/>
      </c>
      <c r="J789">
        <f t="shared" si="38"/>
        <v>0</v>
      </c>
    </row>
    <row r="790" spans="1:10" x14ac:dyDescent="0.35">
      <c r="A790">
        <v>1789</v>
      </c>
      <c r="B790" s="1">
        <v>45709</v>
      </c>
      <c r="C790" t="s">
        <v>21</v>
      </c>
      <c r="D790">
        <v>500</v>
      </c>
      <c r="E790">
        <v>200</v>
      </c>
      <c r="G790" t="str">
        <f t="shared" si="36"/>
        <v>Active</v>
      </c>
      <c r="H790" s="1" t="str">
        <f t="shared" si="37"/>
        <v/>
      </c>
      <c r="J790">
        <f t="shared" si="38"/>
        <v>0</v>
      </c>
    </row>
    <row r="791" spans="1:10" x14ac:dyDescent="0.35">
      <c r="A791">
        <v>1790</v>
      </c>
      <c r="B791" s="1">
        <v>45634</v>
      </c>
      <c r="C791" t="s">
        <v>18</v>
      </c>
      <c r="D791">
        <v>200</v>
      </c>
      <c r="E791">
        <v>100</v>
      </c>
      <c r="G791" t="str">
        <f t="shared" si="36"/>
        <v>Active</v>
      </c>
      <c r="H791" s="1" t="str">
        <f t="shared" si="37"/>
        <v/>
      </c>
      <c r="J791">
        <f t="shared" si="38"/>
        <v>0</v>
      </c>
    </row>
    <row r="792" spans="1:10" x14ac:dyDescent="0.35">
      <c r="A792">
        <v>1791</v>
      </c>
      <c r="B792" s="1">
        <v>45801</v>
      </c>
      <c r="C792" t="s">
        <v>18</v>
      </c>
      <c r="D792">
        <v>200</v>
      </c>
      <c r="E792">
        <v>100</v>
      </c>
      <c r="F792" s="1">
        <v>45831</v>
      </c>
      <c r="G792" t="str">
        <f t="shared" si="36"/>
        <v>Churned</v>
      </c>
      <c r="H792" s="1">
        <f t="shared" si="37"/>
        <v>45809</v>
      </c>
      <c r="J792">
        <f t="shared" si="38"/>
        <v>1</v>
      </c>
    </row>
    <row r="793" spans="1:10" x14ac:dyDescent="0.35">
      <c r="A793">
        <v>1792</v>
      </c>
      <c r="B793" s="1">
        <v>45581</v>
      </c>
      <c r="C793" t="s">
        <v>75</v>
      </c>
      <c r="D793">
        <v>50</v>
      </c>
      <c r="E793">
        <v>30</v>
      </c>
      <c r="G793" t="str">
        <f t="shared" si="36"/>
        <v>Active</v>
      </c>
      <c r="H793" s="1" t="str">
        <f t="shared" si="37"/>
        <v/>
      </c>
      <c r="J793">
        <f t="shared" si="38"/>
        <v>0</v>
      </c>
    </row>
    <row r="794" spans="1:10" x14ac:dyDescent="0.35">
      <c r="A794">
        <v>1793</v>
      </c>
      <c r="B794" s="1">
        <v>45325</v>
      </c>
      <c r="C794" t="s">
        <v>75</v>
      </c>
      <c r="D794">
        <v>50</v>
      </c>
      <c r="E794">
        <v>30</v>
      </c>
      <c r="G794" t="str">
        <f t="shared" si="36"/>
        <v>Active</v>
      </c>
      <c r="H794" s="1" t="str">
        <f t="shared" si="37"/>
        <v/>
      </c>
      <c r="J794">
        <f t="shared" si="38"/>
        <v>0</v>
      </c>
    </row>
    <row r="795" spans="1:10" x14ac:dyDescent="0.35">
      <c r="A795">
        <v>1794</v>
      </c>
      <c r="B795" s="1">
        <v>45564</v>
      </c>
      <c r="C795" t="s">
        <v>21</v>
      </c>
      <c r="D795">
        <v>500</v>
      </c>
      <c r="E795">
        <v>200</v>
      </c>
      <c r="G795" t="str">
        <f t="shared" si="36"/>
        <v>Active</v>
      </c>
      <c r="H795" s="1" t="str">
        <f t="shared" si="37"/>
        <v/>
      </c>
      <c r="J795">
        <f t="shared" si="38"/>
        <v>0</v>
      </c>
    </row>
    <row r="796" spans="1:10" x14ac:dyDescent="0.35">
      <c r="A796">
        <v>1795</v>
      </c>
      <c r="B796" s="1">
        <v>45545</v>
      </c>
      <c r="C796" t="s">
        <v>21</v>
      </c>
      <c r="D796">
        <v>500</v>
      </c>
      <c r="E796">
        <v>200</v>
      </c>
      <c r="G796" t="str">
        <f t="shared" si="36"/>
        <v>Active</v>
      </c>
      <c r="H796" s="1" t="str">
        <f t="shared" si="37"/>
        <v/>
      </c>
      <c r="J796">
        <f t="shared" si="38"/>
        <v>0</v>
      </c>
    </row>
    <row r="797" spans="1:10" x14ac:dyDescent="0.35">
      <c r="A797">
        <v>1796</v>
      </c>
      <c r="B797" s="1">
        <v>45364</v>
      </c>
      <c r="C797" t="s">
        <v>75</v>
      </c>
      <c r="D797">
        <v>50</v>
      </c>
      <c r="E797">
        <v>30</v>
      </c>
      <c r="G797" t="str">
        <f t="shared" si="36"/>
        <v>Active</v>
      </c>
      <c r="H797" s="1" t="str">
        <f t="shared" si="37"/>
        <v/>
      </c>
      <c r="J797">
        <f t="shared" si="38"/>
        <v>0</v>
      </c>
    </row>
    <row r="798" spans="1:10" x14ac:dyDescent="0.35">
      <c r="A798">
        <v>1797</v>
      </c>
      <c r="B798" s="1">
        <v>45723</v>
      </c>
      <c r="C798" t="s">
        <v>75</v>
      </c>
      <c r="D798">
        <v>50</v>
      </c>
      <c r="E798">
        <v>30</v>
      </c>
      <c r="G798" t="str">
        <f t="shared" si="36"/>
        <v>Active</v>
      </c>
      <c r="H798" s="1" t="str">
        <f t="shared" si="37"/>
        <v/>
      </c>
      <c r="J798">
        <f t="shared" si="38"/>
        <v>0</v>
      </c>
    </row>
    <row r="799" spans="1:10" x14ac:dyDescent="0.35">
      <c r="A799">
        <v>1798</v>
      </c>
      <c r="B799" s="1">
        <v>45592</v>
      </c>
      <c r="C799" t="s">
        <v>21</v>
      </c>
      <c r="D799">
        <v>500</v>
      </c>
      <c r="E799">
        <v>200</v>
      </c>
      <c r="G799" t="str">
        <f t="shared" si="36"/>
        <v>Active</v>
      </c>
      <c r="H799" s="1" t="str">
        <f t="shared" si="37"/>
        <v/>
      </c>
      <c r="J799">
        <f t="shared" si="38"/>
        <v>0</v>
      </c>
    </row>
    <row r="800" spans="1:10" x14ac:dyDescent="0.35">
      <c r="A800">
        <v>1799</v>
      </c>
      <c r="B800" s="1">
        <v>45589</v>
      </c>
      <c r="C800" t="s">
        <v>75</v>
      </c>
      <c r="D800">
        <v>50</v>
      </c>
      <c r="E800">
        <v>30</v>
      </c>
      <c r="G800" t="str">
        <f t="shared" si="36"/>
        <v>Active</v>
      </c>
      <c r="H800" s="1" t="str">
        <f t="shared" si="37"/>
        <v/>
      </c>
      <c r="J800">
        <f t="shared" si="38"/>
        <v>0</v>
      </c>
    </row>
    <row r="801" spans="1:10" x14ac:dyDescent="0.35">
      <c r="A801">
        <v>1800</v>
      </c>
      <c r="B801" s="1">
        <v>45743</v>
      </c>
      <c r="C801" t="s">
        <v>18</v>
      </c>
      <c r="D801">
        <v>200</v>
      </c>
      <c r="E801">
        <v>100</v>
      </c>
      <c r="G801" t="str">
        <f t="shared" si="36"/>
        <v>Active</v>
      </c>
      <c r="H801" s="1" t="str">
        <f t="shared" si="37"/>
        <v/>
      </c>
      <c r="J801">
        <f t="shared" si="38"/>
        <v>0</v>
      </c>
    </row>
    <row r="802" spans="1:10" x14ac:dyDescent="0.35">
      <c r="A802">
        <v>1801</v>
      </c>
      <c r="B802" s="1">
        <v>45720</v>
      </c>
      <c r="C802" t="s">
        <v>21</v>
      </c>
      <c r="D802">
        <v>500</v>
      </c>
      <c r="E802">
        <v>200</v>
      </c>
      <c r="G802" t="str">
        <f t="shared" si="36"/>
        <v>Active</v>
      </c>
      <c r="H802" s="1" t="str">
        <f t="shared" si="37"/>
        <v/>
      </c>
      <c r="J802">
        <f t="shared" si="38"/>
        <v>0</v>
      </c>
    </row>
    <row r="803" spans="1:10" x14ac:dyDescent="0.35">
      <c r="A803">
        <v>1802</v>
      </c>
      <c r="B803" s="1">
        <v>45689</v>
      </c>
      <c r="C803" t="s">
        <v>21</v>
      </c>
      <c r="D803">
        <v>500</v>
      </c>
      <c r="E803">
        <v>200</v>
      </c>
      <c r="G803" t="str">
        <f t="shared" si="36"/>
        <v>Active</v>
      </c>
      <c r="H803" s="1" t="str">
        <f t="shared" si="37"/>
        <v/>
      </c>
      <c r="J803">
        <f t="shared" si="38"/>
        <v>0</v>
      </c>
    </row>
    <row r="804" spans="1:10" x14ac:dyDescent="0.35">
      <c r="A804">
        <v>1803</v>
      </c>
      <c r="B804" s="1">
        <v>45347</v>
      </c>
      <c r="C804" t="s">
        <v>21</v>
      </c>
      <c r="D804">
        <v>500</v>
      </c>
      <c r="E804">
        <v>200</v>
      </c>
      <c r="G804" t="str">
        <f t="shared" si="36"/>
        <v>Active</v>
      </c>
      <c r="H804" s="1" t="str">
        <f t="shared" si="37"/>
        <v/>
      </c>
      <c r="J804">
        <f t="shared" si="38"/>
        <v>0</v>
      </c>
    </row>
    <row r="805" spans="1:10" x14ac:dyDescent="0.35">
      <c r="A805">
        <v>1804</v>
      </c>
      <c r="B805" s="1">
        <v>45661</v>
      </c>
      <c r="C805" t="s">
        <v>75</v>
      </c>
      <c r="D805">
        <v>50</v>
      </c>
      <c r="E805">
        <v>30</v>
      </c>
      <c r="G805" t="str">
        <f t="shared" si="36"/>
        <v>Active</v>
      </c>
      <c r="H805" s="1" t="str">
        <f t="shared" si="37"/>
        <v/>
      </c>
      <c r="J805">
        <f t="shared" si="38"/>
        <v>0</v>
      </c>
    </row>
    <row r="806" spans="1:10" x14ac:dyDescent="0.35">
      <c r="A806">
        <v>1805</v>
      </c>
      <c r="B806" s="1">
        <v>45586</v>
      </c>
      <c r="C806" t="s">
        <v>18</v>
      </c>
      <c r="D806">
        <v>200</v>
      </c>
      <c r="E806">
        <v>100</v>
      </c>
      <c r="G806" t="str">
        <f t="shared" si="36"/>
        <v>Active</v>
      </c>
      <c r="H806" s="1" t="str">
        <f t="shared" si="37"/>
        <v/>
      </c>
      <c r="J806">
        <f t="shared" si="38"/>
        <v>0</v>
      </c>
    </row>
    <row r="807" spans="1:10" x14ac:dyDescent="0.35">
      <c r="A807">
        <v>1806</v>
      </c>
      <c r="B807" s="1">
        <v>45642</v>
      </c>
      <c r="C807" t="s">
        <v>21</v>
      </c>
      <c r="D807">
        <v>500</v>
      </c>
      <c r="E807">
        <v>200</v>
      </c>
      <c r="F807" s="1">
        <v>45734</v>
      </c>
      <c r="G807" t="str">
        <f t="shared" si="36"/>
        <v>Churned</v>
      </c>
      <c r="H807" s="1">
        <f t="shared" si="37"/>
        <v>45717</v>
      </c>
      <c r="J807">
        <f t="shared" si="38"/>
        <v>1</v>
      </c>
    </row>
    <row r="808" spans="1:10" x14ac:dyDescent="0.35">
      <c r="A808">
        <v>1807</v>
      </c>
      <c r="B808" s="1">
        <v>45632</v>
      </c>
      <c r="C808" t="s">
        <v>75</v>
      </c>
      <c r="D808">
        <v>50</v>
      </c>
      <c r="E808">
        <v>30</v>
      </c>
      <c r="F808" s="1">
        <v>45729</v>
      </c>
      <c r="G808" t="str">
        <f t="shared" si="36"/>
        <v>Churned</v>
      </c>
      <c r="H808" s="1">
        <f t="shared" si="37"/>
        <v>45717</v>
      </c>
      <c r="J808">
        <f t="shared" si="38"/>
        <v>1</v>
      </c>
    </row>
    <row r="809" spans="1:10" x14ac:dyDescent="0.35">
      <c r="A809">
        <v>1808</v>
      </c>
      <c r="B809" s="1">
        <v>45600</v>
      </c>
      <c r="C809" t="s">
        <v>21</v>
      </c>
      <c r="D809">
        <v>500</v>
      </c>
      <c r="E809">
        <v>200</v>
      </c>
      <c r="G809" t="str">
        <f t="shared" si="36"/>
        <v>Active</v>
      </c>
      <c r="H809" s="1" t="str">
        <f t="shared" si="37"/>
        <v/>
      </c>
      <c r="J809">
        <f t="shared" si="38"/>
        <v>0</v>
      </c>
    </row>
    <row r="810" spans="1:10" x14ac:dyDescent="0.35">
      <c r="A810">
        <v>1809</v>
      </c>
      <c r="B810" s="1">
        <v>45831</v>
      </c>
      <c r="C810" t="s">
        <v>18</v>
      </c>
      <c r="D810">
        <v>200</v>
      </c>
      <c r="E810">
        <v>100</v>
      </c>
      <c r="G810" t="str">
        <f t="shared" si="36"/>
        <v>Active</v>
      </c>
      <c r="H810" s="1" t="str">
        <f t="shared" si="37"/>
        <v/>
      </c>
      <c r="J810">
        <f t="shared" si="38"/>
        <v>0</v>
      </c>
    </row>
    <row r="811" spans="1:10" x14ac:dyDescent="0.35">
      <c r="A811">
        <v>1810</v>
      </c>
      <c r="B811" s="1">
        <v>45643</v>
      </c>
      <c r="C811" t="s">
        <v>21</v>
      </c>
      <c r="D811">
        <v>500</v>
      </c>
      <c r="E811">
        <v>200</v>
      </c>
      <c r="F811" s="1">
        <v>45739</v>
      </c>
      <c r="G811" t="str">
        <f t="shared" si="36"/>
        <v>Churned</v>
      </c>
      <c r="H811" s="1">
        <f t="shared" si="37"/>
        <v>45717</v>
      </c>
      <c r="J811">
        <f t="shared" si="38"/>
        <v>1</v>
      </c>
    </row>
    <row r="812" spans="1:10" x14ac:dyDescent="0.35">
      <c r="A812">
        <v>1811</v>
      </c>
      <c r="B812" s="1">
        <v>45715</v>
      </c>
      <c r="C812" t="s">
        <v>21</v>
      </c>
      <c r="D812">
        <v>500</v>
      </c>
      <c r="E812">
        <v>200</v>
      </c>
      <c r="G812" t="str">
        <f t="shared" si="36"/>
        <v>Active</v>
      </c>
      <c r="H812" s="1" t="str">
        <f t="shared" si="37"/>
        <v/>
      </c>
      <c r="J812">
        <f t="shared" si="38"/>
        <v>0</v>
      </c>
    </row>
    <row r="813" spans="1:10" x14ac:dyDescent="0.35">
      <c r="A813">
        <v>1812</v>
      </c>
      <c r="B813" s="1">
        <v>45585</v>
      </c>
      <c r="C813" t="s">
        <v>18</v>
      </c>
      <c r="D813">
        <v>200</v>
      </c>
      <c r="E813">
        <v>100</v>
      </c>
      <c r="G813" t="str">
        <f t="shared" si="36"/>
        <v>Active</v>
      </c>
      <c r="H813" s="1" t="str">
        <f t="shared" si="37"/>
        <v/>
      </c>
      <c r="J813">
        <f t="shared" si="38"/>
        <v>0</v>
      </c>
    </row>
    <row r="814" spans="1:10" x14ac:dyDescent="0.35">
      <c r="A814">
        <v>1813</v>
      </c>
      <c r="B814" s="1">
        <v>45627</v>
      </c>
      <c r="C814" t="s">
        <v>75</v>
      </c>
      <c r="D814">
        <v>50</v>
      </c>
      <c r="E814">
        <v>30</v>
      </c>
      <c r="G814" t="str">
        <f t="shared" si="36"/>
        <v>Active</v>
      </c>
      <c r="H814" s="1" t="str">
        <f t="shared" si="37"/>
        <v/>
      </c>
      <c r="J814">
        <f t="shared" si="38"/>
        <v>0</v>
      </c>
    </row>
    <row r="815" spans="1:10" x14ac:dyDescent="0.35">
      <c r="A815">
        <v>1814</v>
      </c>
      <c r="B815" s="1">
        <v>45551</v>
      </c>
      <c r="C815" t="s">
        <v>75</v>
      </c>
      <c r="D815">
        <v>50</v>
      </c>
      <c r="E815">
        <v>30</v>
      </c>
      <c r="G815" t="str">
        <f t="shared" si="36"/>
        <v>Active</v>
      </c>
      <c r="H815" s="1" t="str">
        <f t="shared" si="37"/>
        <v/>
      </c>
      <c r="J815">
        <f t="shared" si="38"/>
        <v>0</v>
      </c>
    </row>
    <row r="816" spans="1:10" x14ac:dyDescent="0.35">
      <c r="A816">
        <v>1815</v>
      </c>
      <c r="B816" s="1">
        <v>45342</v>
      </c>
      <c r="C816" t="s">
        <v>18</v>
      </c>
      <c r="D816">
        <v>200</v>
      </c>
      <c r="E816">
        <v>100</v>
      </c>
      <c r="G816" t="str">
        <f t="shared" si="36"/>
        <v>Active</v>
      </c>
      <c r="H816" s="1" t="str">
        <f t="shared" si="37"/>
        <v/>
      </c>
      <c r="J816">
        <f t="shared" si="38"/>
        <v>0</v>
      </c>
    </row>
    <row r="817" spans="1:10" x14ac:dyDescent="0.35">
      <c r="A817">
        <v>1816</v>
      </c>
      <c r="B817" s="1">
        <v>45378</v>
      </c>
      <c r="C817" t="s">
        <v>18</v>
      </c>
      <c r="D817">
        <v>200</v>
      </c>
      <c r="E817">
        <v>100</v>
      </c>
      <c r="G817" t="str">
        <f t="shared" si="36"/>
        <v>Active</v>
      </c>
      <c r="H817" s="1" t="str">
        <f t="shared" si="37"/>
        <v/>
      </c>
      <c r="J817">
        <f t="shared" si="38"/>
        <v>0</v>
      </c>
    </row>
    <row r="818" spans="1:10" x14ac:dyDescent="0.35">
      <c r="A818">
        <v>1817</v>
      </c>
      <c r="B818" s="1">
        <v>45403</v>
      </c>
      <c r="C818" t="s">
        <v>21</v>
      </c>
      <c r="D818">
        <v>500</v>
      </c>
      <c r="E818">
        <v>200</v>
      </c>
      <c r="F818" s="1">
        <v>45438</v>
      </c>
      <c r="G818" t="str">
        <f t="shared" si="36"/>
        <v>Churned</v>
      </c>
      <c r="H818" s="1">
        <f t="shared" si="37"/>
        <v>45413</v>
      </c>
      <c r="J818">
        <f t="shared" si="38"/>
        <v>1</v>
      </c>
    </row>
    <row r="819" spans="1:10" x14ac:dyDescent="0.35">
      <c r="A819">
        <v>1818</v>
      </c>
      <c r="B819" s="1">
        <v>45685</v>
      </c>
      <c r="C819" t="s">
        <v>21</v>
      </c>
      <c r="D819">
        <v>500</v>
      </c>
      <c r="E819">
        <v>200</v>
      </c>
      <c r="G819" t="str">
        <f t="shared" si="36"/>
        <v>Active</v>
      </c>
      <c r="H819" s="1" t="str">
        <f t="shared" si="37"/>
        <v/>
      </c>
      <c r="J819">
        <f t="shared" si="38"/>
        <v>0</v>
      </c>
    </row>
    <row r="820" spans="1:10" x14ac:dyDescent="0.35">
      <c r="A820">
        <v>1819</v>
      </c>
      <c r="B820" s="1">
        <v>45559</v>
      </c>
      <c r="C820" t="s">
        <v>18</v>
      </c>
      <c r="D820">
        <v>200</v>
      </c>
      <c r="E820">
        <v>100</v>
      </c>
      <c r="G820" t="str">
        <f t="shared" si="36"/>
        <v>Active</v>
      </c>
      <c r="H820" s="1" t="str">
        <f t="shared" si="37"/>
        <v/>
      </c>
      <c r="J820">
        <f t="shared" si="38"/>
        <v>0</v>
      </c>
    </row>
    <row r="821" spans="1:10" x14ac:dyDescent="0.35">
      <c r="A821">
        <v>1820</v>
      </c>
      <c r="B821" s="1">
        <v>45336</v>
      </c>
      <c r="C821" t="s">
        <v>18</v>
      </c>
      <c r="D821">
        <v>200</v>
      </c>
      <c r="E821">
        <v>100</v>
      </c>
      <c r="G821" t="str">
        <f t="shared" si="36"/>
        <v>Active</v>
      </c>
      <c r="H821" s="1" t="str">
        <f t="shared" si="37"/>
        <v/>
      </c>
      <c r="J821">
        <f t="shared" si="38"/>
        <v>0</v>
      </c>
    </row>
    <row r="822" spans="1:10" x14ac:dyDescent="0.35">
      <c r="A822">
        <v>1821</v>
      </c>
      <c r="B822" s="1">
        <v>45535</v>
      </c>
      <c r="C822" t="s">
        <v>75</v>
      </c>
      <c r="D822">
        <v>50</v>
      </c>
      <c r="E822">
        <v>30</v>
      </c>
      <c r="G822" t="str">
        <f t="shared" si="36"/>
        <v>Active</v>
      </c>
      <c r="H822" s="1" t="str">
        <f t="shared" si="37"/>
        <v/>
      </c>
      <c r="J822">
        <f t="shared" si="38"/>
        <v>0</v>
      </c>
    </row>
    <row r="823" spans="1:10" x14ac:dyDescent="0.35">
      <c r="A823">
        <v>1822</v>
      </c>
      <c r="B823" s="1">
        <v>45693</v>
      </c>
      <c r="C823" t="s">
        <v>75</v>
      </c>
      <c r="D823">
        <v>50</v>
      </c>
      <c r="E823">
        <v>30</v>
      </c>
      <c r="F823" s="1">
        <v>45740</v>
      </c>
      <c r="G823" t="str">
        <f t="shared" si="36"/>
        <v>Churned</v>
      </c>
      <c r="H823" s="1">
        <f t="shared" si="37"/>
        <v>45717</v>
      </c>
      <c r="J823">
        <f t="shared" si="38"/>
        <v>1</v>
      </c>
    </row>
    <row r="824" spans="1:10" x14ac:dyDescent="0.35">
      <c r="A824">
        <v>1823</v>
      </c>
      <c r="B824" s="1">
        <v>45783</v>
      </c>
      <c r="C824" t="s">
        <v>18</v>
      </c>
      <c r="D824">
        <v>200</v>
      </c>
      <c r="E824">
        <v>100</v>
      </c>
      <c r="G824" t="str">
        <f t="shared" si="36"/>
        <v>Active</v>
      </c>
      <c r="H824" s="1" t="str">
        <f t="shared" si="37"/>
        <v/>
      </c>
      <c r="J824">
        <f t="shared" si="38"/>
        <v>0</v>
      </c>
    </row>
    <row r="825" spans="1:10" x14ac:dyDescent="0.35">
      <c r="A825">
        <v>1824</v>
      </c>
      <c r="B825" s="1">
        <v>45793</v>
      </c>
      <c r="C825" t="s">
        <v>18</v>
      </c>
      <c r="D825">
        <v>200</v>
      </c>
      <c r="E825">
        <v>100</v>
      </c>
      <c r="F825" s="1">
        <v>45823</v>
      </c>
      <c r="G825" t="str">
        <f t="shared" si="36"/>
        <v>Churned</v>
      </c>
      <c r="H825" s="1">
        <f t="shared" si="37"/>
        <v>45809</v>
      </c>
      <c r="J825">
        <f t="shared" si="38"/>
        <v>1</v>
      </c>
    </row>
    <row r="826" spans="1:10" x14ac:dyDescent="0.35">
      <c r="A826">
        <v>1825</v>
      </c>
      <c r="B826" s="1">
        <v>45758</v>
      </c>
      <c r="C826" t="s">
        <v>18</v>
      </c>
      <c r="D826">
        <v>200</v>
      </c>
      <c r="E826">
        <v>100</v>
      </c>
      <c r="G826" t="str">
        <f t="shared" si="36"/>
        <v>Active</v>
      </c>
      <c r="H826" s="1" t="str">
        <f t="shared" si="37"/>
        <v/>
      </c>
      <c r="J826">
        <f t="shared" si="38"/>
        <v>0</v>
      </c>
    </row>
    <row r="827" spans="1:10" x14ac:dyDescent="0.35">
      <c r="A827">
        <v>1826</v>
      </c>
      <c r="B827" s="1">
        <v>45794</v>
      </c>
      <c r="C827" t="s">
        <v>21</v>
      </c>
      <c r="D827">
        <v>500</v>
      </c>
      <c r="E827">
        <v>200</v>
      </c>
      <c r="G827" t="str">
        <f t="shared" si="36"/>
        <v>Active</v>
      </c>
      <c r="H827" s="1" t="str">
        <f t="shared" si="37"/>
        <v/>
      </c>
      <c r="J827">
        <f t="shared" si="38"/>
        <v>0</v>
      </c>
    </row>
    <row r="828" spans="1:10" x14ac:dyDescent="0.35">
      <c r="A828">
        <v>1827</v>
      </c>
      <c r="B828" s="1">
        <v>45515</v>
      </c>
      <c r="C828" t="s">
        <v>21</v>
      </c>
      <c r="D828">
        <v>500</v>
      </c>
      <c r="E828">
        <v>200</v>
      </c>
      <c r="G828" t="str">
        <f t="shared" si="36"/>
        <v>Active</v>
      </c>
      <c r="H828" s="1" t="str">
        <f t="shared" si="37"/>
        <v/>
      </c>
      <c r="J828">
        <f t="shared" si="38"/>
        <v>0</v>
      </c>
    </row>
    <row r="829" spans="1:10" x14ac:dyDescent="0.35">
      <c r="A829">
        <v>1828</v>
      </c>
      <c r="B829" s="1">
        <v>45826</v>
      </c>
      <c r="C829" t="s">
        <v>18</v>
      </c>
      <c r="D829">
        <v>200</v>
      </c>
      <c r="E829">
        <v>100</v>
      </c>
      <c r="G829" t="str">
        <f t="shared" si="36"/>
        <v>Active</v>
      </c>
      <c r="H829" s="1" t="str">
        <f t="shared" si="37"/>
        <v/>
      </c>
      <c r="J829">
        <f t="shared" si="38"/>
        <v>0</v>
      </c>
    </row>
    <row r="830" spans="1:10" x14ac:dyDescent="0.35">
      <c r="A830">
        <v>1829</v>
      </c>
      <c r="B830" s="1">
        <v>45455</v>
      </c>
      <c r="C830" t="s">
        <v>21</v>
      </c>
      <c r="D830">
        <v>500</v>
      </c>
      <c r="E830">
        <v>200</v>
      </c>
      <c r="G830" t="str">
        <f t="shared" si="36"/>
        <v>Active</v>
      </c>
      <c r="H830" s="1" t="str">
        <f t="shared" si="37"/>
        <v/>
      </c>
      <c r="J830">
        <f t="shared" si="38"/>
        <v>0</v>
      </c>
    </row>
    <row r="831" spans="1:10" x14ac:dyDescent="0.35">
      <c r="A831">
        <v>1830</v>
      </c>
      <c r="B831" s="1">
        <v>45597</v>
      </c>
      <c r="C831" t="s">
        <v>21</v>
      </c>
      <c r="D831">
        <v>500</v>
      </c>
      <c r="E831">
        <v>200</v>
      </c>
      <c r="G831" t="str">
        <f t="shared" si="36"/>
        <v>Active</v>
      </c>
      <c r="H831" s="1" t="str">
        <f t="shared" si="37"/>
        <v/>
      </c>
      <c r="J831">
        <f t="shared" si="38"/>
        <v>0</v>
      </c>
    </row>
    <row r="832" spans="1:10" x14ac:dyDescent="0.35">
      <c r="A832">
        <v>1831</v>
      </c>
      <c r="B832" s="1">
        <v>45304</v>
      </c>
      <c r="C832" t="s">
        <v>18</v>
      </c>
      <c r="D832">
        <v>200</v>
      </c>
      <c r="E832">
        <v>100</v>
      </c>
      <c r="G832" t="str">
        <f t="shared" si="36"/>
        <v>Active</v>
      </c>
      <c r="H832" s="1" t="str">
        <f t="shared" si="37"/>
        <v/>
      </c>
      <c r="J832">
        <f t="shared" si="38"/>
        <v>0</v>
      </c>
    </row>
    <row r="833" spans="1:10" x14ac:dyDescent="0.35">
      <c r="A833">
        <v>1832</v>
      </c>
      <c r="B833" s="1">
        <v>45704</v>
      </c>
      <c r="C833" t="s">
        <v>21</v>
      </c>
      <c r="D833">
        <v>500</v>
      </c>
      <c r="E833">
        <v>200</v>
      </c>
      <c r="G833" t="str">
        <f t="shared" si="36"/>
        <v>Active</v>
      </c>
      <c r="H833" s="1" t="str">
        <f t="shared" si="37"/>
        <v/>
      </c>
      <c r="J833">
        <f t="shared" si="38"/>
        <v>0</v>
      </c>
    </row>
    <row r="834" spans="1:10" x14ac:dyDescent="0.35">
      <c r="A834">
        <v>1833</v>
      </c>
      <c r="B834" s="1">
        <v>45498</v>
      </c>
      <c r="C834" t="s">
        <v>18</v>
      </c>
      <c r="D834">
        <v>200</v>
      </c>
      <c r="E834">
        <v>100</v>
      </c>
      <c r="G834" t="str">
        <f t="shared" si="36"/>
        <v>Active</v>
      </c>
      <c r="H834" s="1" t="str">
        <f t="shared" si="37"/>
        <v/>
      </c>
      <c r="J834">
        <f t="shared" si="38"/>
        <v>0</v>
      </c>
    </row>
    <row r="835" spans="1:10" x14ac:dyDescent="0.35">
      <c r="A835">
        <v>1834</v>
      </c>
      <c r="B835" s="1">
        <v>45720</v>
      </c>
      <c r="C835" t="s">
        <v>18</v>
      </c>
      <c r="D835">
        <v>200</v>
      </c>
      <c r="E835">
        <v>100</v>
      </c>
      <c r="F835" s="1">
        <v>45810</v>
      </c>
      <c r="G835" t="str">
        <f t="shared" ref="G835:G898" si="39">IF(F835="","Active","Churned")</f>
        <v>Churned</v>
      </c>
      <c r="H835" s="1">
        <f t="shared" ref="H835:H898" si="40">IF(F835="","",DATE(YEAR(F835),MONTH(F835),1))</f>
        <v>45809</v>
      </c>
      <c r="J835">
        <f t="shared" ref="J835:J898" si="41">IF(G835="Churned",1,0)</f>
        <v>1</v>
      </c>
    </row>
    <row r="836" spans="1:10" x14ac:dyDescent="0.35">
      <c r="A836">
        <v>1835</v>
      </c>
      <c r="B836" s="1">
        <v>45388</v>
      </c>
      <c r="C836" t="s">
        <v>75</v>
      </c>
      <c r="D836">
        <v>50</v>
      </c>
      <c r="E836">
        <v>30</v>
      </c>
      <c r="G836" t="str">
        <f t="shared" si="39"/>
        <v>Active</v>
      </c>
      <c r="H836" s="1" t="str">
        <f t="shared" si="40"/>
        <v/>
      </c>
      <c r="J836">
        <f t="shared" si="41"/>
        <v>0</v>
      </c>
    </row>
    <row r="837" spans="1:10" x14ac:dyDescent="0.35">
      <c r="A837">
        <v>1836</v>
      </c>
      <c r="B837" s="1">
        <v>45667</v>
      </c>
      <c r="C837" t="s">
        <v>21</v>
      </c>
      <c r="D837">
        <v>500</v>
      </c>
      <c r="E837">
        <v>200</v>
      </c>
      <c r="G837" t="str">
        <f t="shared" si="39"/>
        <v>Active</v>
      </c>
      <c r="H837" s="1" t="str">
        <f t="shared" si="40"/>
        <v/>
      </c>
      <c r="J837">
        <f t="shared" si="41"/>
        <v>0</v>
      </c>
    </row>
    <row r="838" spans="1:10" x14ac:dyDescent="0.35">
      <c r="A838">
        <v>1837</v>
      </c>
      <c r="B838" s="1">
        <v>45658</v>
      </c>
      <c r="C838" t="s">
        <v>21</v>
      </c>
      <c r="D838">
        <v>500</v>
      </c>
      <c r="E838">
        <v>200</v>
      </c>
      <c r="G838" t="str">
        <f t="shared" si="39"/>
        <v>Active</v>
      </c>
      <c r="H838" s="1" t="str">
        <f t="shared" si="40"/>
        <v/>
      </c>
      <c r="J838">
        <f t="shared" si="41"/>
        <v>0</v>
      </c>
    </row>
    <row r="839" spans="1:10" x14ac:dyDescent="0.35">
      <c r="A839">
        <v>1838</v>
      </c>
      <c r="B839" s="1">
        <v>45596</v>
      </c>
      <c r="C839" t="s">
        <v>18</v>
      </c>
      <c r="D839">
        <v>200</v>
      </c>
      <c r="E839">
        <v>100</v>
      </c>
      <c r="G839" t="str">
        <f t="shared" si="39"/>
        <v>Active</v>
      </c>
      <c r="H839" s="1" t="str">
        <f t="shared" si="40"/>
        <v/>
      </c>
      <c r="J839">
        <f t="shared" si="41"/>
        <v>0</v>
      </c>
    </row>
    <row r="840" spans="1:10" x14ac:dyDescent="0.35">
      <c r="A840">
        <v>1839</v>
      </c>
      <c r="B840" s="1">
        <v>45742</v>
      </c>
      <c r="C840" t="s">
        <v>75</v>
      </c>
      <c r="D840">
        <v>50</v>
      </c>
      <c r="E840">
        <v>30</v>
      </c>
      <c r="G840" t="str">
        <f t="shared" si="39"/>
        <v>Active</v>
      </c>
      <c r="H840" s="1" t="str">
        <f t="shared" si="40"/>
        <v/>
      </c>
      <c r="J840">
        <f t="shared" si="41"/>
        <v>0</v>
      </c>
    </row>
    <row r="841" spans="1:10" x14ac:dyDescent="0.35">
      <c r="A841">
        <v>1840</v>
      </c>
      <c r="B841" s="1">
        <v>45805</v>
      </c>
      <c r="C841" t="s">
        <v>75</v>
      </c>
      <c r="D841">
        <v>50</v>
      </c>
      <c r="E841">
        <v>30</v>
      </c>
      <c r="G841" t="str">
        <f t="shared" si="39"/>
        <v>Active</v>
      </c>
      <c r="H841" s="1" t="str">
        <f t="shared" si="40"/>
        <v/>
      </c>
      <c r="J841">
        <f t="shared" si="41"/>
        <v>0</v>
      </c>
    </row>
    <row r="842" spans="1:10" x14ac:dyDescent="0.35">
      <c r="A842">
        <v>1841</v>
      </c>
      <c r="B842" s="1">
        <v>45677</v>
      </c>
      <c r="C842" t="s">
        <v>21</v>
      </c>
      <c r="D842">
        <v>500</v>
      </c>
      <c r="E842">
        <v>200</v>
      </c>
      <c r="G842" t="str">
        <f t="shared" si="39"/>
        <v>Active</v>
      </c>
      <c r="H842" s="1" t="str">
        <f t="shared" si="40"/>
        <v/>
      </c>
      <c r="J842">
        <f t="shared" si="41"/>
        <v>0</v>
      </c>
    </row>
    <row r="843" spans="1:10" x14ac:dyDescent="0.35">
      <c r="A843">
        <v>1842</v>
      </c>
      <c r="B843" s="1">
        <v>45460</v>
      </c>
      <c r="C843" t="s">
        <v>75</v>
      </c>
      <c r="D843">
        <v>50</v>
      </c>
      <c r="E843">
        <v>30</v>
      </c>
      <c r="G843" t="str">
        <f t="shared" si="39"/>
        <v>Active</v>
      </c>
      <c r="H843" s="1" t="str">
        <f t="shared" si="40"/>
        <v/>
      </c>
      <c r="J843">
        <f t="shared" si="41"/>
        <v>0</v>
      </c>
    </row>
    <row r="844" spans="1:10" x14ac:dyDescent="0.35">
      <c r="A844">
        <v>1843</v>
      </c>
      <c r="B844" s="1">
        <v>45349</v>
      </c>
      <c r="C844" t="s">
        <v>18</v>
      </c>
      <c r="D844">
        <v>200</v>
      </c>
      <c r="E844">
        <v>100</v>
      </c>
      <c r="G844" t="str">
        <f t="shared" si="39"/>
        <v>Active</v>
      </c>
      <c r="H844" s="1" t="str">
        <f t="shared" si="40"/>
        <v/>
      </c>
      <c r="J844">
        <f t="shared" si="41"/>
        <v>0</v>
      </c>
    </row>
    <row r="845" spans="1:10" x14ac:dyDescent="0.35">
      <c r="A845">
        <v>1844</v>
      </c>
      <c r="B845" s="1">
        <v>45332</v>
      </c>
      <c r="C845" t="s">
        <v>75</v>
      </c>
      <c r="D845">
        <v>50</v>
      </c>
      <c r="E845">
        <v>30</v>
      </c>
      <c r="F845" s="1">
        <v>45728</v>
      </c>
      <c r="G845" t="str">
        <f t="shared" si="39"/>
        <v>Churned</v>
      </c>
      <c r="H845" s="1">
        <f t="shared" si="40"/>
        <v>45717</v>
      </c>
      <c r="J845">
        <f t="shared" si="41"/>
        <v>1</v>
      </c>
    </row>
    <row r="846" spans="1:10" x14ac:dyDescent="0.35">
      <c r="A846">
        <v>1845</v>
      </c>
      <c r="B846" s="1">
        <v>45299</v>
      </c>
      <c r="C846" t="s">
        <v>75</v>
      </c>
      <c r="D846">
        <v>50</v>
      </c>
      <c r="E846">
        <v>30</v>
      </c>
      <c r="G846" t="str">
        <f t="shared" si="39"/>
        <v>Active</v>
      </c>
      <c r="H846" s="1" t="str">
        <f t="shared" si="40"/>
        <v/>
      </c>
      <c r="J846">
        <f t="shared" si="41"/>
        <v>0</v>
      </c>
    </row>
    <row r="847" spans="1:10" x14ac:dyDescent="0.35">
      <c r="A847">
        <v>1846</v>
      </c>
      <c r="B847" s="1">
        <v>45561</v>
      </c>
      <c r="C847" t="s">
        <v>21</v>
      </c>
      <c r="D847">
        <v>500</v>
      </c>
      <c r="E847">
        <v>200</v>
      </c>
      <c r="G847" t="str">
        <f t="shared" si="39"/>
        <v>Active</v>
      </c>
      <c r="H847" s="1" t="str">
        <f t="shared" si="40"/>
        <v/>
      </c>
      <c r="J847">
        <f t="shared" si="41"/>
        <v>0</v>
      </c>
    </row>
    <row r="848" spans="1:10" x14ac:dyDescent="0.35">
      <c r="A848">
        <v>1847</v>
      </c>
      <c r="B848" s="1">
        <v>45835</v>
      </c>
      <c r="C848" t="s">
        <v>21</v>
      </c>
      <c r="D848">
        <v>500</v>
      </c>
      <c r="E848">
        <v>200</v>
      </c>
      <c r="G848" t="str">
        <f t="shared" si="39"/>
        <v>Active</v>
      </c>
      <c r="H848" s="1" t="str">
        <f t="shared" si="40"/>
        <v/>
      </c>
      <c r="J848">
        <f t="shared" si="41"/>
        <v>0</v>
      </c>
    </row>
    <row r="849" spans="1:10" x14ac:dyDescent="0.35">
      <c r="A849">
        <v>1848</v>
      </c>
      <c r="B849" s="1">
        <v>45735</v>
      </c>
      <c r="C849" t="s">
        <v>75</v>
      </c>
      <c r="D849">
        <v>50</v>
      </c>
      <c r="E849">
        <v>30</v>
      </c>
      <c r="G849" t="str">
        <f t="shared" si="39"/>
        <v>Active</v>
      </c>
      <c r="H849" s="1" t="str">
        <f t="shared" si="40"/>
        <v/>
      </c>
      <c r="J849">
        <f t="shared" si="41"/>
        <v>0</v>
      </c>
    </row>
    <row r="850" spans="1:10" x14ac:dyDescent="0.35">
      <c r="A850">
        <v>1849</v>
      </c>
      <c r="B850" s="1">
        <v>45611</v>
      </c>
      <c r="C850" t="s">
        <v>75</v>
      </c>
      <c r="D850">
        <v>50</v>
      </c>
      <c r="E850">
        <v>30</v>
      </c>
      <c r="G850" t="str">
        <f t="shared" si="39"/>
        <v>Active</v>
      </c>
      <c r="H850" s="1" t="str">
        <f t="shared" si="40"/>
        <v/>
      </c>
      <c r="J850">
        <f t="shared" si="41"/>
        <v>0</v>
      </c>
    </row>
    <row r="851" spans="1:10" x14ac:dyDescent="0.35">
      <c r="A851">
        <v>1850</v>
      </c>
      <c r="B851" s="1">
        <v>45300</v>
      </c>
      <c r="C851" t="s">
        <v>18</v>
      </c>
      <c r="D851">
        <v>200</v>
      </c>
      <c r="E851">
        <v>100</v>
      </c>
      <c r="G851" t="str">
        <f t="shared" si="39"/>
        <v>Active</v>
      </c>
      <c r="H851" s="1" t="str">
        <f t="shared" si="40"/>
        <v/>
      </c>
      <c r="J851">
        <f t="shared" si="41"/>
        <v>0</v>
      </c>
    </row>
    <row r="852" spans="1:10" x14ac:dyDescent="0.35">
      <c r="A852">
        <v>1851</v>
      </c>
      <c r="B852" s="1">
        <v>45302</v>
      </c>
      <c r="C852" t="s">
        <v>18</v>
      </c>
      <c r="D852">
        <v>200</v>
      </c>
      <c r="E852">
        <v>100</v>
      </c>
      <c r="G852" t="str">
        <f t="shared" si="39"/>
        <v>Active</v>
      </c>
      <c r="H852" s="1" t="str">
        <f t="shared" si="40"/>
        <v/>
      </c>
      <c r="J852">
        <f t="shared" si="41"/>
        <v>0</v>
      </c>
    </row>
    <row r="853" spans="1:10" x14ac:dyDescent="0.35">
      <c r="A853">
        <v>1852</v>
      </c>
      <c r="B853" s="1">
        <v>45797</v>
      </c>
      <c r="C853" t="s">
        <v>21</v>
      </c>
      <c r="D853">
        <v>500</v>
      </c>
      <c r="E853">
        <v>200</v>
      </c>
      <c r="G853" t="str">
        <f t="shared" si="39"/>
        <v>Active</v>
      </c>
      <c r="H853" s="1" t="str">
        <f t="shared" si="40"/>
        <v/>
      </c>
      <c r="J853">
        <f t="shared" si="41"/>
        <v>0</v>
      </c>
    </row>
    <row r="854" spans="1:10" x14ac:dyDescent="0.35">
      <c r="A854">
        <v>1853</v>
      </c>
      <c r="B854" s="1">
        <v>45426</v>
      </c>
      <c r="C854" t="s">
        <v>18</v>
      </c>
      <c r="D854">
        <v>200</v>
      </c>
      <c r="E854">
        <v>100</v>
      </c>
      <c r="G854" t="str">
        <f t="shared" si="39"/>
        <v>Active</v>
      </c>
      <c r="H854" s="1" t="str">
        <f t="shared" si="40"/>
        <v/>
      </c>
      <c r="J854">
        <f t="shared" si="41"/>
        <v>0</v>
      </c>
    </row>
    <row r="855" spans="1:10" x14ac:dyDescent="0.35">
      <c r="A855">
        <v>1854</v>
      </c>
      <c r="B855" s="1">
        <v>45798</v>
      </c>
      <c r="C855" t="s">
        <v>18</v>
      </c>
      <c r="D855">
        <v>200</v>
      </c>
      <c r="E855">
        <v>100</v>
      </c>
      <c r="G855" t="str">
        <f t="shared" si="39"/>
        <v>Active</v>
      </c>
      <c r="H855" s="1" t="str">
        <f t="shared" si="40"/>
        <v/>
      </c>
      <c r="J855">
        <f t="shared" si="41"/>
        <v>0</v>
      </c>
    </row>
    <row r="856" spans="1:10" x14ac:dyDescent="0.35">
      <c r="A856">
        <v>1855</v>
      </c>
      <c r="B856" s="1">
        <v>45818</v>
      </c>
      <c r="C856" t="s">
        <v>18</v>
      </c>
      <c r="D856">
        <v>200</v>
      </c>
      <c r="E856">
        <v>100</v>
      </c>
      <c r="G856" t="str">
        <f t="shared" si="39"/>
        <v>Active</v>
      </c>
      <c r="H856" s="1" t="str">
        <f t="shared" si="40"/>
        <v/>
      </c>
      <c r="J856">
        <f t="shared" si="41"/>
        <v>0</v>
      </c>
    </row>
    <row r="857" spans="1:10" x14ac:dyDescent="0.35">
      <c r="A857">
        <v>1856</v>
      </c>
      <c r="B857" s="1">
        <v>45729</v>
      </c>
      <c r="C857" t="s">
        <v>75</v>
      </c>
      <c r="D857">
        <v>50</v>
      </c>
      <c r="E857">
        <v>30</v>
      </c>
      <c r="G857" t="str">
        <f t="shared" si="39"/>
        <v>Active</v>
      </c>
      <c r="H857" s="1" t="str">
        <f t="shared" si="40"/>
        <v/>
      </c>
      <c r="J857">
        <f t="shared" si="41"/>
        <v>0</v>
      </c>
    </row>
    <row r="858" spans="1:10" x14ac:dyDescent="0.35">
      <c r="A858">
        <v>1857</v>
      </c>
      <c r="B858" s="1">
        <v>45656</v>
      </c>
      <c r="C858" t="s">
        <v>18</v>
      </c>
      <c r="D858">
        <v>200</v>
      </c>
      <c r="E858">
        <v>100</v>
      </c>
      <c r="G858" t="str">
        <f t="shared" si="39"/>
        <v>Active</v>
      </c>
      <c r="H858" s="1" t="str">
        <f t="shared" si="40"/>
        <v/>
      </c>
      <c r="J858">
        <f t="shared" si="41"/>
        <v>0</v>
      </c>
    </row>
    <row r="859" spans="1:10" x14ac:dyDescent="0.35">
      <c r="A859">
        <v>1858</v>
      </c>
      <c r="B859" s="1">
        <v>45379</v>
      </c>
      <c r="C859" t="s">
        <v>18</v>
      </c>
      <c r="D859">
        <v>200</v>
      </c>
      <c r="E859">
        <v>100</v>
      </c>
      <c r="G859" t="str">
        <f t="shared" si="39"/>
        <v>Active</v>
      </c>
      <c r="H859" s="1" t="str">
        <f t="shared" si="40"/>
        <v/>
      </c>
      <c r="J859">
        <f t="shared" si="41"/>
        <v>0</v>
      </c>
    </row>
    <row r="860" spans="1:10" x14ac:dyDescent="0.35">
      <c r="A860">
        <v>1859</v>
      </c>
      <c r="B860" s="1">
        <v>45373</v>
      </c>
      <c r="C860" t="s">
        <v>18</v>
      </c>
      <c r="D860">
        <v>200</v>
      </c>
      <c r="E860">
        <v>100</v>
      </c>
      <c r="G860" t="str">
        <f t="shared" si="39"/>
        <v>Active</v>
      </c>
      <c r="H860" s="1" t="str">
        <f t="shared" si="40"/>
        <v/>
      </c>
      <c r="J860">
        <f t="shared" si="41"/>
        <v>0</v>
      </c>
    </row>
    <row r="861" spans="1:10" x14ac:dyDescent="0.35">
      <c r="A861">
        <v>1860</v>
      </c>
      <c r="B861" s="1">
        <v>45597</v>
      </c>
      <c r="C861" t="s">
        <v>75</v>
      </c>
      <c r="D861">
        <v>50</v>
      </c>
      <c r="E861">
        <v>30</v>
      </c>
      <c r="G861" t="str">
        <f t="shared" si="39"/>
        <v>Active</v>
      </c>
      <c r="H861" s="1" t="str">
        <f t="shared" si="40"/>
        <v/>
      </c>
      <c r="J861">
        <f t="shared" si="41"/>
        <v>0</v>
      </c>
    </row>
    <row r="862" spans="1:10" x14ac:dyDescent="0.35">
      <c r="A862">
        <v>1861</v>
      </c>
      <c r="B862" s="1">
        <v>45721</v>
      </c>
      <c r="C862" t="s">
        <v>18</v>
      </c>
      <c r="D862">
        <v>200</v>
      </c>
      <c r="E862">
        <v>100</v>
      </c>
      <c r="G862" t="str">
        <f t="shared" si="39"/>
        <v>Active</v>
      </c>
      <c r="H862" s="1" t="str">
        <f t="shared" si="40"/>
        <v/>
      </c>
      <c r="J862">
        <f t="shared" si="41"/>
        <v>0</v>
      </c>
    </row>
    <row r="863" spans="1:10" x14ac:dyDescent="0.35">
      <c r="A863">
        <v>1862</v>
      </c>
      <c r="B863" s="1">
        <v>45577</v>
      </c>
      <c r="C863" t="s">
        <v>21</v>
      </c>
      <c r="D863">
        <v>500</v>
      </c>
      <c r="E863">
        <v>200</v>
      </c>
      <c r="G863" t="str">
        <f t="shared" si="39"/>
        <v>Active</v>
      </c>
      <c r="H863" s="1" t="str">
        <f t="shared" si="40"/>
        <v/>
      </c>
      <c r="J863">
        <f t="shared" si="41"/>
        <v>0</v>
      </c>
    </row>
    <row r="864" spans="1:10" x14ac:dyDescent="0.35">
      <c r="A864">
        <v>1863</v>
      </c>
      <c r="B864" s="1">
        <v>45434</v>
      </c>
      <c r="C864" t="s">
        <v>75</v>
      </c>
      <c r="D864">
        <v>50</v>
      </c>
      <c r="E864">
        <v>30</v>
      </c>
      <c r="G864" t="str">
        <f t="shared" si="39"/>
        <v>Active</v>
      </c>
      <c r="H864" s="1" t="str">
        <f t="shared" si="40"/>
        <v/>
      </c>
      <c r="J864">
        <f t="shared" si="41"/>
        <v>0</v>
      </c>
    </row>
    <row r="865" spans="1:10" x14ac:dyDescent="0.35">
      <c r="A865">
        <v>1864</v>
      </c>
      <c r="B865" s="1">
        <v>45508</v>
      </c>
      <c r="C865" t="s">
        <v>18</v>
      </c>
      <c r="D865">
        <v>200</v>
      </c>
      <c r="E865">
        <v>100</v>
      </c>
      <c r="G865" t="str">
        <f t="shared" si="39"/>
        <v>Active</v>
      </c>
      <c r="H865" s="1" t="str">
        <f t="shared" si="40"/>
        <v/>
      </c>
      <c r="J865">
        <f t="shared" si="41"/>
        <v>0</v>
      </c>
    </row>
    <row r="866" spans="1:10" x14ac:dyDescent="0.35">
      <c r="A866">
        <v>1865</v>
      </c>
      <c r="B866" s="1">
        <v>45390</v>
      </c>
      <c r="C866" t="s">
        <v>18</v>
      </c>
      <c r="D866">
        <v>200</v>
      </c>
      <c r="E866">
        <v>100</v>
      </c>
      <c r="G866" t="str">
        <f t="shared" si="39"/>
        <v>Active</v>
      </c>
      <c r="H866" s="1" t="str">
        <f t="shared" si="40"/>
        <v/>
      </c>
      <c r="J866">
        <f t="shared" si="41"/>
        <v>0</v>
      </c>
    </row>
    <row r="867" spans="1:10" x14ac:dyDescent="0.35">
      <c r="A867">
        <v>1866</v>
      </c>
      <c r="B867" s="1">
        <v>45503</v>
      </c>
      <c r="C867" t="s">
        <v>18</v>
      </c>
      <c r="D867">
        <v>200</v>
      </c>
      <c r="E867">
        <v>100</v>
      </c>
      <c r="G867" t="str">
        <f t="shared" si="39"/>
        <v>Active</v>
      </c>
      <c r="H867" s="1" t="str">
        <f t="shared" si="40"/>
        <v/>
      </c>
      <c r="J867">
        <f t="shared" si="41"/>
        <v>0</v>
      </c>
    </row>
    <row r="868" spans="1:10" x14ac:dyDescent="0.35">
      <c r="A868">
        <v>1867</v>
      </c>
      <c r="B868" s="1">
        <v>45416</v>
      </c>
      <c r="C868" t="s">
        <v>18</v>
      </c>
      <c r="D868">
        <v>200</v>
      </c>
      <c r="E868">
        <v>100</v>
      </c>
      <c r="G868" t="str">
        <f t="shared" si="39"/>
        <v>Active</v>
      </c>
      <c r="H868" s="1" t="str">
        <f t="shared" si="40"/>
        <v/>
      </c>
      <c r="J868">
        <f t="shared" si="41"/>
        <v>0</v>
      </c>
    </row>
    <row r="869" spans="1:10" x14ac:dyDescent="0.35">
      <c r="A869">
        <v>1868</v>
      </c>
      <c r="B869" s="1">
        <v>45830</v>
      </c>
      <c r="C869" t="s">
        <v>18</v>
      </c>
      <c r="D869">
        <v>200</v>
      </c>
      <c r="E869">
        <v>100</v>
      </c>
      <c r="G869" t="str">
        <f t="shared" si="39"/>
        <v>Active</v>
      </c>
      <c r="H869" s="1" t="str">
        <f t="shared" si="40"/>
        <v/>
      </c>
      <c r="J869">
        <f t="shared" si="41"/>
        <v>0</v>
      </c>
    </row>
    <row r="870" spans="1:10" x14ac:dyDescent="0.35">
      <c r="A870">
        <v>1869</v>
      </c>
      <c r="B870" s="1">
        <v>45433</v>
      </c>
      <c r="C870" t="s">
        <v>75</v>
      </c>
      <c r="D870">
        <v>50</v>
      </c>
      <c r="E870">
        <v>30</v>
      </c>
      <c r="G870" t="str">
        <f t="shared" si="39"/>
        <v>Active</v>
      </c>
      <c r="H870" s="1" t="str">
        <f t="shared" si="40"/>
        <v/>
      </c>
      <c r="J870">
        <f t="shared" si="41"/>
        <v>0</v>
      </c>
    </row>
    <row r="871" spans="1:10" x14ac:dyDescent="0.35">
      <c r="A871">
        <v>1870</v>
      </c>
      <c r="B871" s="1">
        <v>45496</v>
      </c>
      <c r="C871" t="s">
        <v>18</v>
      </c>
      <c r="D871">
        <v>200</v>
      </c>
      <c r="E871">
        <v>100</v>
      </c>
      <c r="G871" t="str">
        <f t="shared" si="39"/>
        <v>Active</v>
      </c>
      <c r="H871" s="1" t="str">
        <f t="shared" si="40"/>
        <v/>
      </c>
      <c r="J871">
        <f t="shared" si="41"/>
        <v>0</v>
      </c>
    </row>
    <row r="872" spans="1:10" x14ac:dyDescent="0.35">
      <c r="A872">
        <v>1871</v>
      </c>
      <c r="B872" s="1">
        <v>45769</v>
      </c>
      <c r="C872" t="s">
        <v>18</v>
      </c>
      <c r="D872">
        <v>200</v>
      </c>
      <c r="E872">
        <v>100</v>
      </c>
      <c r="G872" t="str">
        <f t="shared" si="39"/>
        <v>Active</v>
      </c>
      <c r="H872" s="1" t="str">
        <f t="shared" si="40"/>
        <v/>
      </c>
      <c r="J872">
        <f t="shared" si="41"/>
        <v>0</v>
      </c>
    </row>
    <row r="873" spans="1:10" x14ac:dyDescent="0.35">
      <c r="A873">
        <v>1872</v>
      </c>
      <c r="B873" s="1">
        <v>45558</v>
      </c>
      <c r="C873" t="s">
        <v>75</v>
      </c>
      <c r="D873">
        <v>50</v>
      </c>
      <c r="E873">
        <v>30</v>
      </c>
      <c r="G873" t="str">
        <f t="shared" si="39"/>
        <v>Active</v>
      </c>
      <c r="H873" s="1" t="str">
        <f t="shared" si="40"/>
        <v/>
      </c>
      <c r="J873">
        <f t="shared" si="41"/>
        <v>0</v>
      </c>
    </row>
    <row r="874" spans="1:10" x14ac:dyDescent="0.35">
      <c r="A874">
        <v>1873</v>
      </c>
      <c r="B874" s="1">
        <v>45346</v>
      </c>
      <c r="C874" t="s">
        <v>75</v>
      </c>
      <c r="D874">
        <v>50</v>
      </c>
      <c r="E874">
        <v>30</v>
      </c>
      <c r="G874" t="str">
        <f t="shared" si="39"/>
        <v>Active</v>
      </c>
      <c r="H874" s="1" t="str">
        <f t="shared" si="40"/>
        <v/>
      </c>
      <c r="J874">
        <f t="shared" si="41"/>
        <v>0</v>
      </c>
    </row>
    <row r="875" spans="1:10" x14ac:dyDescent="0.35">
      <c r="A875">
        <v>1874</v>
      </c>
      <c r="B875" s="1">
        <v>45662</v>
      </c>
      <c r="C875" t="s">
        <v>75</v>
      </c>
      <c r="D875">
        <v>50</v>
      </c>
      <c r="E875">
        <v>30</v>
      </c>
      <c r="G875" t="str">
        <f t="shared" si="39"/>
        <v>Active</v>
      </c>
      <c r="H875" s="1" t="str">
        <f t="shared" si="40"/>
        <v/>
      </c>
      <c r="J875">
        <f t="shared" si="41"/>
        <v>0</v>
      </c>
    </row>
    <row r="876" spans="1:10" x14ac:dyDescent="0.35">
      <c r="A876">
        <v>1875</v>
      </c>
      <c r="B876" s="1">
        <v>45327</v>
      </c>
      <c r="C876" t="s">
        <v>18</v>
      </c>
      <c r="D876">
        <v>200</v>
      </c>
      <c r="E876">
        <v>100</v>
      </c>
      <c r="G876" t="str">
        <f t="shared" si="39"/>
        <v>Active</v>
      </c>
      <c r="H876" s="1" t="str">
        <f t="shared" si="40"/>
        <v/>
      </c>
      <c r="J876">
        <f t="shared" si="41"/>
        <v>0</v>
      </c>
    </row>
    <row r="877" spans="1:10" x14ac:dyDescent="0.35">
      <c r="A877">
        <v>1876</v>
      </c>
      <c r="B877" s="1">
        <v>45631</v>
      </c>
      <c r="C877" t="s">
        <v>75</v>
      </c>
      <c r="D877">
        <v>50</v>
      </c>
      <c r="E877">
        <v>30</v>
      </c>
      <c r="F877" s="1">
        <v>45790</v>
      </c>
      <c r="G877" t="str">
        <f t="shared" si="39"/>
        <v>Churned</v>
      </c>
      <c r="H877" s="1">
        <f t="shared" si="40"/>
        <v>45778</v>
      </c>
      <c r="J877">
        <f t="shared" si="41"/>
        <v>1</v>
      </c>
    </row>
    <row r="878" spans="1:10" x14ac:dyDescent="0.35">
      <c r="A878">
        <v>1877</v>
      </c>
      <c r="B878" s="1">
        <v>45685</v>
      </c>
      <c r="C878" t="s">
        <v>18</v>
      </c>
      <c r="D878">
        <v>200</v>
      </c>
      <c r="E878">
        <v>100</v>
      </c>
      <c r="G878" t="str">
        <f t="shared" si="39"/>
        <v>Active</v>
      </c>
      <c r="H878" s="1" t="str">
        <f t="shared" si="40"/>
        <v/>
      </c>
      <c r="J878">
        <f t="shared" si="41"/>
        <v>0</v>
      </c>
    </row>
    <row r="879" spans="1:10" x14ac:dyDescent="0.35">
      <c r="A879">
        <v>1878</v>
      </c>
      <c r="B879" s="1">
        <v>45622</v>
      </c>
      <c r="C879" t="s">
        <v>18</v>
      </c>
      <c r="D879">
        <v>200</v>
      </c>
      <c r="E879">
        <v>100</v>
      </c>
      <c r="G879" t="str">
        <f t="shared" si="39"/>
        <v>Active</v>
      </c>
      <c r="H879" s="1" t="str">
        <f t="shared" si="40"/>
        <v/>
      </c>
      <c r="J879">
        <f t="shared" si="41"/>
        <v>0</v>
      </c>
    </row>
    <row r="880" spans="1:10" x14ac:dyDescent="0.35">
      <c r="A880">
        <v>1879</v>
      </c>
      <c r="B880" s="1">
        <v>45609</v>
      </c>
      <c r="C880" t="s">
        <v>75</v>
      </c>
      <c r="D880">
        <v>50</v>
      </c>
      <c r="E880">
        <v>30</v>
      </c>
      <c r="G880" t="str">
        <f t="shared" si="39"/>
        <v>Active</v>
      </c>
      <c r="H880" s="1" t="str">
        <f t="shared" si="40"/>
        <v/>
      </c>
      <c r="J880">
        <f t="shared" si="41"/>
        <v>0</v>
      </c>
    </row>
    <row r="881" spans="1:10" x14ac:dyDescent="0.35">
      <c r="A881">
        <v>1880</v>
      </c>
      <c r="B881" s="1">
        <v>45725</v>
      </c>
      <c r="C881" t="s">
        <v>18</v>
      </c>
      <c r="D881">
        <v>200</v>
      </c>
      <c r="E881">
        <v>100</v>
      </c>
      <c r="G881" t="str">
        <f t="shared" si="39"/>
        <v>Active</v>
      </c>
      <c r="H881" s="1" t="str">
        <f t="shared" si="40"/>
        <v/>
      </c>
      <c r="J881">
        <f t="shared" si="41"/>
        <v>0</v>
      </c>
    </row>
    <row r="882" spans="1:10" x14ac:dyDescent="0.35">
      <c r="A882">
        <v>1881</v>
      </c>
      <c r="B882" s="1">
        <v>45615</v>
      </c>
      <c r="C882" t="s">
        <v>75</v>
      </c>
      <c r="D882">
        <v>50</v>
      </c>
      <c r="E882">
        <v>30</v>
      </c>
      <c r="G882" t="str">
        <f t="shared" si="39"/>
        <v>Active</v>
      </c>
      <c r="H882" s="1" t="str">
        <f t="shared" si="40"/>
        <v/>
      </c>
      <c r="J882">
        <f t="shared" si="41"/>
        <v>0</v>
      </c>
    </row>
    <row r="883" spans="1:10" x14ac:dyDescent="0.35">
      <c r="A883">
        <v>1882</v>
      </c>
      <c r="B883" s="1">
        <v>45514</v>
      </c>
      <c r="C883" t="s">
        <v>21</v>
      </c>
      <c r="D883">
        <v>500</v>
      </c>
      <c r="E883">
        <v>200</v>
      </c>
      <c r="G883" t="str">
        <f t="shared" si="39"/>
        <v>Active</v>
      </c>
      <c r="H883" s="1" t="str">
        <f t="shared" si="40"/>
        <v/>
      </c>
      <c r="J883">
        <f t="shared" si="41"/>
        <v>0</v>
      </c>
    </row>
    <row r="884" spans="1:10" x14ac:dyDescent="0.35">
      <c r="A884">
        <v>1883</v>
      </c>
      <c r="B884" s="1">
        <v>45704</v>
      </c>
      <c r="C884" t="s">
        <v>75</v>
      </c>
      <c r="D884">
        <v>50</v>
      </c>
      <c r="E884">
        <v>30</v>
      </c>
      <c r="F884" s="1">
        <v>45754</v>
      </c>
      <c r="G884" t="str">
        <f t="shared" si="39"/>
        <v>Churned</v>
      </c>
      <c r="H884" s="1">
        <f t="shared" si="40"/>
        <v>45748</v>
      </c>
      <c r="J884">
        <f t="shared" si="41"/>
        <v>1</v>
      </c>
    </row>
    <row r="885" spans="1:10" x14ac:dyDescent="0.35">
      <c r="A885">
        <v>1884</v>
      </c>
      <c r="B885" s="1">
        <v>45646</v>
      </c>
      <c r="C885" t="s">
        <v>18</v>
      </c>
      <c r="D885">
        <v>200</v>
      </c>
      <c r="E885">
        <v>100</v>
      </c>
      <c r="G885" t="str">
        <f t="shared" si="39"/>
        <v>Active</v>
      </c>
      <c r="H885" s="1" t="str">
        <f t="shared" si="40"/>
        <v/>
      </c>
      <c r="J885">
        <f t="shared" si="41"/>
        <v>0</v>
      </c>
    </row>
    <row r="886" spans="1:10" x14ac:dyDescent="0.35">
      <c r="A886">
        <v>1885</v>
      </c>
      <c r="B886" s="1">
        <v>45469</v>
      </c>
      <c r="C886" t="s">
        <v>18</v>
      </c>
      <c r="D886">
        <v>200</v>
      </c>
      <c r="E886">
        <v>100</v>
      </c>
      <c r="G886" t="str">
        <f t="shared" si="39"/>
        <v>Active</v>
      </c>
      <c r="H886" s="1" t="str">
        <f t="shared" si="40"/>
        <v/>
      </c>
      <c r="J886">
        <f t="shared" si="41"/>
        <v>0</v>
      </c>
    </row>
    <row r="887" spans="1:10" x14ac:dyDescent="0.35">
      <c r="A887">
        <v>1886</v>
      </c>
      <c r="B887" s="1">
        <v>45687</v>
      </c>
      <c r="C887" t="s">
        <v>75</v>
      </c>
      <c r="D887">
        <v>50</v>
      </c>
      <c r="E887">
        <v>30</v>
      </c>
      <c r="G887" t="str">
        <f t="shared" si="39"/>
        <v>Active</v>
      </c>
      <c r="H887" s="1" t="str">
        <f t="shared" si="40"/>
        <v/>
      </c>
      <c r="J887">
        <f t="shared" si="41"/>
        <v>0</v>
      </c>
    </row>
    <row r="888" spans="1:10" x14ac:dyDescent="0.35">
      <c r="A888">
        <v>1887</v>
      </c>
      <c r="B888" s="1">
        <v>45463</v>
      </c>
      <c r="C888" t="s">
        <v>75</v>
      </c>
      <c r="D888">
        <v>50</v>
      </c>
      <c r="E888">
        <v>30</v>
      </c>
      <c r="G888" t="str">
        <f t="shared" si="39"/>
        <v>Active</v>
      </c>
      <c r="H888" s="1" t="str">
        <f t="shared" si="40"/>
        <v/>
      </c>
      <c r="J888">
        <f t="shared" si="41"/>
        <v>0</v>
      </c>
    </row>
    <row r="889" spans="1:10" x14ac:dyDescent="0.35">
      <c r="A889">
        <v>1888</v>
      </c>
      <c r="B889" s="1">
        <v>45658</v>
      </c>
      <c r="C889" t="s">
        <v>18</v>
      </c>
      <c r="D889">
        <v>200</v>
      </c>
      <c r="E889">
        <v>100</v>
      </c>
      <c r="G889" t="str">
        <f t="shared" si="39"/>
        <v>Active</v>
      </c>
      <c r="H889" s="1" t="str">
        <f t="shared" si="40"/>
        <v/>
      </c>
      <c r="J889">
        <f t="shared" si="41"/>
        <v>0</v>
      </c>
    </row>
    <row r="890" spans="1:10" x14ac:dyDescent="0.35">
      <c r="A890">
        <v>1889</v>
      </c>
      <c r="B890" s="1">
        <v>45306</v>
      </c>
      <c r="C890" t="s">
        <v>75</v>
      </c>
      <c r="D890">
        <v>50</v>
      </c>
      <c r="E890">
        <v>30</v>
      </c>
      <c r="F890" s="1">
        <v>45594</v>
      </c>
      <c r="G890" t="str">
        <f t="shared" si="39"/>
        <v>Churned</v>
      </c>
      <c r="H890" s="1">
        <f t="shared" si="40"/>
        <v>45566</v>
      </c>
      <c r="J890">
        <f t="shared" si="41"/>
        <v>1</v>
      </c>
    </row>
    <row r="891" spans="1:10" x14ac:dyDescent="0.35">
      <c r="A891">
        <v>1890</v>
      </c>
      <c r="B891" s="1">
        <v>45620</v>
      </c>
      <c r="C891" t="s">
        <v>18</v>
      </c>
      <c r="D891">
        <v>200</v>
      </c>
      <c r="E891">
        <v>100</v>
      </c>
      <c r="G891" t="str">
        <f t="shared" si="39"/>
        <v>Active</v>
      </c>
      <c r="H891" s="1" t="str">
        <f t="shared" si="40"/>
        <v/>
      </c>
      <c r="J891">
        <f t="shared" si="41"/>
        <v>0</v>
      </c>
    </row>
    <row r="892" spans="1:10" x14ac:dyDescent="0.35">
      <c r="A892">
        <v>1891</v>
      </c>
      <c r="B892" s="1">
        <v>45746</v>
      </c>
      <c r="C892" t="s">
        <v>75</v>
      </c>
      <c r="D892">
        <v>50</v>
      </c>
      <c r="E892">
        <v>30</v>
      </c>
      <c r="G892" t="str">
        <f t="shared" si="39"/>
        <v>Active</v>
      </c>
      <c r="H892" s="1" t="str">
        <f t="shared" si="40"/>
        <v/>
      </c>
      <c r="J892">
        <f t="shared" si="41"/>
        <v>0</v>
      </c>
    </row>
    <row r="893" spans="1:10" x14ac:dyDescent="0.35">
      <c r="A893">
        <v>1892</v>
      </c>
      <c r="B893" s="1">
        <v>45819</v>
      </c>
      <c r="C893" t="s">
        <v>75</v>
      </c>
      <c r="D893">
        <v>50</v>
      </c>
      <c r="E893">
        <v>30</v>
      </c>
      <c r="G893" t="str">
        <f t="shared" si="39"/>
        <v>Active</v>
      </c>
      <c r="H893" s="1" t="str">
        <f t="shared" si="40"/>
        <v/>
      </c>
      <c r="J893">
        <f t="shared" si="41"/>
        <v>0</v>
      </c>
    </row>
    <row r="894" spans="1:10" x14ac:dyDescent="0.35">
      <c r="A894">
        <v>1893</v>
      </c>
      <c r="B894" s="1">
        <v>45498</v>
      </c>
      <c r="C894" t="s">
        <v>75</v>
      </c>
      <c r="D894">
        <v>50</v>
      </c>
      <c r="E894">
        <v>30</v>
      </c>
      <c r="G894" t="str">
        <f t="shared" si="39"/>
        <v>Active</v>
      </c>
      <c r="H894" s="1" t="str">
        <f t="shared" si="40"/>
        <v/>
      </c>
      <c r="J894">
        <f t="shared" si="41"/>
        <v>0</v>
      </c>
    </row>
    <row r="895" spans="1:10" x14ac:dyDescent="0.35">
      <c r="A895">
        <v>1894</v>
      </c>
      <c r="B895" s="1">
        <v>45548</v>
      </c>
      <c r="C895" t="s">
        <v>75</v>
      </c>
      <c r="D895">
        <v>50</v>
      </c>
      <c r="E895">
        <v>30</v>
      </c>
      <c r="G895" t="str">
        <f t="shared" si="39"/>
        <v>Active</v>
      </c>
      <c r="H895" s="1" t="str">
        <f t="shared" si="40"/>
        <v/>
      </c>
      <c r="J895">
        <f t="shared" si="41"/>
        <v>0</v>
      </c>
    </row>
    <row r="896" spans="1:10" x14ac:dyDescent="0.35">
      <c r="A896">
        <v>1895</v>
      </c>
      <c r="B896" s="1">
        <v>45589</v>
      </c>
      <c r="C896" t="s">
        <v>18</v>
      </c>
      <c r="D896">
        <v>200</v>
      </c>
      <c r="E896">
        <v>100</v>
      </c>
      <c r="G896" t="str">
        <f t="shared" si="39"/>
        <v>Active</v>
      </c>
      <c r="H896" s="1" t="str">
        <f t="shared" si="40"/>
        <v/>
      </c>
      <c r="J896">
        <f t="shared" si="41"/>
        <v>0</v>
      </c>
    </row>
    <row r="897" spans="1:10" x14ac:dyDescent="0.35">
      <c r="A897">
        <v>1896</v>
      </c>
      <c r="B897" s="1">
        <v>45717</v>
      </c>
      <c r="C897" t="s">
        <v>75</v>
      </c>
      <c r="D897">
        <v>50</v>
      </c>
      <c r="E897">
        <v>30</v>
      </c>
      <c r="F897" s="1">
        <v>45815</v>
      </c>
      <c r="G897" t="str">
        <f t="shared" si="39"/>
        <v>Churned</v>
      </c>
      <c r="H897" s="1">
        <f t="shared" si="40"/>
        <v>45809</v>
      </c>
      <c r="J897">
        <f t="shared" si="41"/>
        <v>1</v>
      </c>
    </row>
    <row r="898" spans="1:10" x14ac:dyDescent="0.35">
      <c r="A898">
        <v>1897</v>
      </c>
      <c r="B898" s="1">
        <v>45518</v>
      </c>
      <c r="C898" t="s">
        <v>75</v>
      </c>
      <c r="D898">
        <v>50</v>
      </c>
      <c r="E898">
        <v>30</v>
      </c>
      <c r="G898" t="str">
        <f t="shared" si="39"/>
        <v>Active</v>
      </c>
      <c r="H898" s="1" t="str">
        <f t="shared" si="40"/>
        <v/>
      </c>
      <c r="J898">
        <f t="shared" si="41"/>
        <v>0</v>
      </c>
    </row>
    <row r="899" spans="1:10" x14ac:dyDescent="0.35">
      <c r="A899">
        <v>1898</v>
      </c>
      <c r="B899" s="1">
        <v>45661</v>
      </c>
      <c r="C899" t="s">
        <v>75</v>
      </c>
      <c r="D899">
        <v>50</v>
      </c>
      <c r="E899">
        <v>30</v>
      </c>
      <c r="G899" t="str">
        <f t="shared" ref="G899:G962" si="42">IF(F899="","Active","Churned")</f>
        <v>Active</v>
      </c>
      <c r="H899" s="1" t="str">
        <f t="shared" ref="H899:H962" si="43">IF(F899="","",DATE(YEAR(F899),MONTH(F899),1))</f>
        <v/>
      </c>
      <c r="J899">
        <f t="shared" ref="J899:J962" si="44">IF(G899="Churned",1,0)</f>
        <v>0</v>
      </c>
    </row>
    <row r="900" spans="1:10" x14ac:dyDescent="0.35">
      <c r="A900">
        <v>1899</v>
      </c>
      <c r="B900" s="1">
        <v>45320</v>
      </c>
      <c r="C900" t="s">
        <v>18</v>
      </c>
      <c r="D900">
        <v>200</v>
      </c>
      <c r="E900">
        <v>100</v>
      </c>
      <c r="F900" s="1">
        <v>45681</v>
      </c>
      <c r="G900" t="str">
        <f t="shared" si="42"/>
        <v>Churned</v>
      </c>
      <c r="H900" s="1">
        <f t="shared" si="43"/>
        <v>45658</v>
      </c>
      <c r="J900">
        <f t="shared" si="44"/>
        <v>1</v>
      </c>
    </row>
    <row r="901" spans="1:10" x14ac:dyDescent="0.35">
      <c r="A901">
        <v>1900</v>
      </c>
      <c r="B901" s="1">
        <v>45729</v>
      </c>
      <c r="C901" t="s">
        <v>75</v>
      </c>
      <c r="D901">
        <v>50</v>
      </c>
      <c r="E901">
        <v>30</v>
      </c>
      <c r="F901" s="1">
        <v>45782</v>
      </c>
      <c r="G901" t="str">
        <f t="shared" si="42"/>
        <v>Churned</v>
      </c>
      <c r="H901" s="1">
        <f t="shared" si="43"/>
        <v>45778</v>
      </c>
      <c r="J901">
        <f t="shared" si="44"/>
        <v>1</v>
      </c>
    </row>
    <row r="902" spans="1:10" x14ac:dyDescent="0.35">
      <c r="A902">
        <v>1901</v>
      </c>
      <c r="B902" s="1">
        <v>45733</v>
      </c>
      <c r="C902" t="s">
        <v>21</v>
      </c>
      <c r="D902">
        <v>500</v>
      </c>
      <c r="E902">
        <v>200</v>
      </c>
      <c r="G902" t="str">
        <f t="shared" si="42"/>
        <v>Active</v>
      </c>
      <c r="H902" s="1" t="str">
        <f t="shared" si="43"/>
        <v/>
      </c>
      <c r="J902">
        <f t="shared" si="44"/>
        <v>0</v>
      </c>
    </row>
    <row r="903" spans="1:10" x14ac:dyDescent="0.35">
      <c r="A903">
        <v>1902</v>
      </c>
      <c r="B903" s="1">
        <v>45493</v>
      </c>
      <c r="C903" t="s">
        <v>21</v>
      </c>
      <c r="D903">
        <v>500</v>
      </c>
      <c r="E903">
        <v>200</v>
      </c>
      <c r="G903" t="str">
        <f t="shared" si="42"/>
        <v>Active</v>
      </c>
      <c r="H903" s="1" t="str">
        <f t="shared" si="43"/>
        <v/>
      </c>
      <c r="J903">
        <f t="shared" si="44"/>
        <v>0</v>
      </c>
    </row>
    <row r="904" spans="1:10" x14ac:dyDescent="0.35">
      <c r="A904">
        <v>1903</v>
      </c>
      <c r="B904" s="1">
        <v>45495</v>
      </c>
      <c r="C904" t="s">
        <v>75</v>
      </c>
      <c r="D904">
        <v>50</v>
      </c>
      <c r="E904">
        <v>30</v>
      </c>
      <c r="G904" t="str">
        <f t="shared" si="42"/>
        <v>Active</v>
      </c>
      <c r="H904" s="1" t="str">
        <f t="shared" si="43"/>
        <v/>
      </c>
      <c r="J904">
        <f t="shared" si="44"/>
        <v>0</v>
      </c>
    </row>
    <row r="905" spans="1:10" x14ac:dyDescent="0.35">
      <c r="A905">
        <v>1904</v>
      </c>
      <c r="B905" s="1">
        <v>45503</v>
      </c>
      <c r="C905" t="s">
        <v>75</v>
      </c>
      <c r="D905">
        <v>50</v>
      </c>
      <c r="E905">
        <v>30</v>
      </c>
      <c r="G905" t="str">
        <f t="shared" si="42"/>
        <v>Active</v>
      </c>
      <c r="H905" s="1" t="str">
        <f t="shared" si="43"/>
        <v/>
      </c>
      <c r="J905">
        <f t="shared" si="44"/>
        <v>0</v>
      </c>
    </row>
    <row r="906" spans="1:10" x14ac:dyDescent="0.35">
      <c r="A906">
        <v>1905</v>
      </c>
      <c r="B906" s="1">
        <v>45602</v>
      </c>
      <c r="C906" t="s">
        <v>21</v>
      </c>
      <c r="D906">
        <v>500</v>
      </c>
      <c r="E906">
        <v>200</v>
      </c>
      <c r="G906" t="str">
        <f t="shared" si="42"/>
        <v>Active</v>
      </c>
      <c r="H906" s="1" t="str">
        <f t="shared" si="43"/>
        <v/>
      </c>
      <c r="J906">
        <f t="shared" si="44"/>
        <v>0</v>
      </c>
    </row>
    <row r="907" spans="1:10" x14ac:dyDescent="0.35">
      <c r="A907">
        <v>1906</v>
      </c>
      <c r="B907" s="1">
        <v>45541</v>
      </c>
      <c r="C907" t="s">
        <v>21</v>
      </c>
      <c r="D907">
        <v>500</v>
      </c>
      <c r="E907">
        <v>200</v>
      </c>
      <c r="G907" t="str">
        <f t="shared" si="42"/>
        <v>Active</v>
      </c>
      <c r="H907" s="1" t="str">
        <f t="shared" si="43"/>
        <v/>
      </c>
      <c r="J907">
        <f t="shared" si="44"/>
        <v>0</v>
      </c>
    </row>
    <row r="908" spans="1:10" x14ac:dyDescent="0.35">
      <c r="A908">
        <v>1907</v>
      </c>
      <c r="B908" s="1">
        <v>45622</v>
      </c>
      <c r="C908" t="s">
        <v>75</v>
      </c>
      <c r="D908">
        <v>50</v>
      </c>
      <c r="E908">
        <v>30</v>
      </c>
      <c r="G908" t="str">
        <f t="shared" si="42"/>
        <v>Active</v>
      </c>
      <c r="H908" s="1" t="str">
        <f t="shared" si="43"/>
        <v/>
      </c>
      <c r="J908">
        <f t="shared" si="44"/>
        <v>0</v>
      </c>
    </row>
    <row r="909" spans="1:10" x14ac:dyDescent="0.35">
      <c r="A909">
        <v>1908</v>
      </c>
      <c r="B909" s="1">
        <v>45837</v>
      </c>
      <c r="C909" t="s">
        <v>21</v>
      </c>
      <c r="D909">
        <v>500</v>
      </c>
      <c r="E909">
        <v>200</v>
      </c>
      <c r="G909" t="str">
        <f t="shared" si="42"/>
        <v>Active</v>
      </c>
      <c r="H909" s="1" t="str">
        <f t="shared" si="43"/>
        <v/>
      </c>
      <c r="J909">
        <f t="shared" si="44"/>
        <v>0</v>
      </c>
    </row>
    <row r="910" spans="1:10" x14ac:dyDescent="0.35">
      <c r="A910">
        <v>1909</v>
      </c>
      <c r="B910" s="1">
        <v>45572</v>
      </c>
      <c r="C910" t="s">
        <v>18</v>
      </c>
      <c r="D910">
        <v>200</v>
      </c>
      <c r="E910">
        <v>100</v>
      </c>
      <c r="G910" t="str">
        <f t="shared" si="42"/>
        <v>Active</v>
      </c>
      <c r="H910" s="1" t="str">
        <f t="shared" si="43"/>
        <v/>
      </c>
      <c r="J910">
        <f t="shared" si="44"/>
        <v>0</v>
      </c>
    </row>
    <row r="911" spans="1:10" x14ac:dyDescent="0.35">
      <c r="A911">
        <v>1910</v>
      </c>
      <c r="B911" s="1">
        <v>45367</v>
      </c>
      <c r="C911" t="s">
        <v>18</v>
      </c>
      <c r="D911">
        <v>200</v>
      </c>
      <c r="E911">
        <v>100</v>
      </c>
      <c r="G911" t="str">
        <f t="shared" si="42"/>
        <v>Active</v>
      </c>
      <c r="H911" s="1" t="str">
        <f t="shared" si="43"/>
        <v/>
      </c>
      <c r="J911">
        <f t="shared" si="44"/>
        <v>0</v>
      </c>
    </row>
    <row r="912" spans="1:10" x14ac:dyDescent="0.35">
      <c r="A912">
        <v>1911</v>
      </c>
      <c r="B912" s="1">
        <v>45611</v>
      </c>
      <c r="C912" t="s">
        <v>18</v>
      </c>
      <c r="D912">
        <v>200</v>
      </c>
      <c r="E912">
        <v>100</v>
      </c>
      <c r="G912" t="str">
        <f t="shared" si="42"/>
        <v>Active</v>
      </c>
      <c r="H912" s="1" t="str">
        <f t="shared" si="43"/>
        <v/>
      </c>
      <c r="J912">
        <f t="shared" si="44"/>
        <v>0</v>
      </c>
    </row>
    <row r="913" spans="1:10" x14ac:dyDescent="0.35">
      <c r="A913">
        <v>1912</v>
      </c>
      <c r="B913" s="1">
        <v>45555</v>
      </c>
      <c r="C913" t="s">
        <v>75</v>
      </c>
      <c r="D913">
        <v>50</v>
      </c>
      <c r="E913">
        <v>30</v>
      </c>
      <c r="G913" t="str">
        <f t="shared" si="42"/>
        <v>Active</v>
      </c>
      <c r="H913" s="1" t="str">
        <f t="shared" si="43"/>
        <v/>
      </c>
      <c r="J913">
        <f t="shared" si="44"/>
        <v>0</v>
      </c>
    </row>
    <row r="914" spans="1:10" x14ac:dyDescent="0.35">
      <c r="A914">
        <v>1913</v>
      </c>
      <c r="B914" s="1">
        <v>45375</v>
      </c>
      <c r="C914" t="s">
        <v>21</v>
      </c>
      <c r="D914">
        <v>500</v>
      </c>
      <c r="E914">
        <v>200</v>
      </c>
      <c r="G914" t="str">
        <f t="shared" si="42"/>
        <v>Active</v>
      </c>
      <c r="H914" s="1" t="str">
        <f t="shared" si="43"/>
        <v/>
      </c>
      <c r="J914">
        <f t="shared" si="44"/>
        <v>0</v>
      </c>
    </row>
    <row r="915" spans="1:10" x14ac:dyDescent="0.35">
      <c r="A915">
        <v>1914</v>
      </c>
      <c r="B915" s="1">
        <v>45808</v>
      </c>
      <c r="C915" t="s">
        <v>21</v>
      </c>
      <c r="D915">
        <v>500</v>
      </c>
      <c r="E915">
        <v>200</v>
      </c>
      <c r="G915" t="str">
        <f t="shared" si="42"/>
        <v>Active</v>
      </c>
      <c r="H915" s="1" t="str">
        <f t="shared" si="43"/>
        <v/>
      </c>
      <c r="J915">
        <f t="shared" si="44"/>
        <v>0</v>
      </c>
    </row>
    <row r="916" spans="1:10" x14ac:dyDescent="0.35">
      <c r="A916">
        <v>1915</v>
      </c>
      <c r="B916" s="1">
        <v>45623</v>
      </c>
      <c r="C916" t="s">
        <v>18</v>
      </c>
      <c r="D916">
        <v>200</v>
      </c>
      <c r="E916">
        <v>100</v>
      </c>
      <c r="G916" t="str">
        <f t="shared" si="42"/>
        <v>Active</v>
      </c>
      <c r="H916" s="1" t="str">
        <f t="shared" si="43"/>
        <v/>
      </c>
      <c r="J916">
        <f t="shared" si="44"/>
        <v>0</v>
      </c>
    </row>
    <row r="917" spans="1:10" x14ac:dyDescent="0.35">
      <c r="A917">
        <v>1916</v>
      </c>
      <c r="B917" s="1">
        <v>45592</v>
      </c>
      <c r="C917" t="s">
        <v>75</v>
      </c>
      <c r="D917">
        <v>50</v>
      </c>
      <c r="E917">
        <v>30</v>
      </c>
      <c r="G917" t="str">
        <f t="shared" si="42"/>
        <v>Active</v>
      </c>
      <c r="H917" s="1" t="str">
        <f t="shared" si="43"/>
        <v/>
      </c>
      <c r="J917">
        <f t="shared" si="44"/>
        <v>0</v>
      </c>
    </row>
    <row r="918" spans="1:10" x14ac:dyDescent="0.35">
      <c r="A918">
        <v>1917</v>
      </c>
      <c r="B918" s="1">
        <v>45697</v>
      </c>
      <c r="C918" t="s">
        <v>75</v>
      </c>
      <c r="D918">
        <v>50</v>
      </c>
      <c r="E918">
        <v>30</v>
      </c>
      <c r="G918" t="str">
        <f t="shared" si="42"/>
        <v>Active</v>
      </c>
      <c r="H918" s="1" t="str">
        <f t="shared" si="43"/>
        <v/>
      </c>
      <c r="J918">
        <f t="shared" si="44"/>
        <v>0</v>
      </c>
    </row>
    <row r="919" spans="1:10" x14ac:dyDescent="0.35">
      <c r="A919">
        <v>1918</v>
      </c>
      <c r="B919" s="1">
        <v>45465</v>
      </c>
      <c r="C919" t="s">
        <v>18</v>
      </c>
      <c r="D919">
        <v>200</v>
      </c>
      <c r="E919">
        <v>100</v>
      </c>
      <c r="F919" s="1">
        <v>45639</v>
      </c>
      <c r="G919" t="str">
        <f t="shared" si="42"/>
        <v>Churned</v>
      </c>
      <c r="H919" s="1">
        <f t="shared" si="43"/>
        <v>45627</v>
      </c>
      <c r="J919">
        <f t="shared" si="44"/>
        <v>1</v>
      </c>
    </row>
    <row r="920" spans="1:10" x14ac:dyDescent="0.35">
      <c r="A920">
        <v>1919</v>
      </c>
      <c r="B920" s="1">
        <v>45360</v>
      </c>
      <c r="C920" t="s">
        <v>75</v>
      </c>
      <c r="D920">
        <v>50</v>
      </c>
      <c r="E920">
        <v>30</v>
      </c>
      <c r="G920" t="str">
        <f t="shared" si="42"/>
        <v>Active</v>
      </c>
      <c r="H920" s="1" t="str">
        <f t="shared" si="43"/>
        <v/>
      </c>
      <c r="J920">
        <f t="shared" si="44"/>
        <v>0</v>
      </c>
    </row>
    <row r="921" spans="1:10" x14ac:dyDescent="0.35">
      <c r="A921">
        <v>1920</v>
      </c>
      <c r="B921" s="1">
        <v>45393</v>
      </c>
      <c r="C921" t="s">
        <v>18</v>
      </c>
      <c r="D921">
        <v>200</v>
      </c>
      <c r="E921">
        <v>100</v>
      </c>
      <c r="G921" t="str">
        <f t="shared" si="42"/>
        <v>Active</v>
      </c>
      <c r="H921" s="1" t="str">
        <f t="shared" si="43"/>
        <v/>
      </c>
      <c r="J921">
        <f t="shared" si="44"/>
        <v>0</v>
      </c>
    </row>
    <row r="922" spans="1:10" x14ac:dyDescent="0.35">
      <c r="A922">
        <v>1921</v>
      </c>
      <c r="B922" s="1">
        <v>45594</v>
      </c>
      <c r="C922" t="s">
        <v>21</v>
      </c>
      <c r="D922">
        <v>500</v>
      </c>
      <c r="E922">
        <v>200</v>
      </c>
      <c r="G922" t="str">
        <f t="shared" si="42"/>
        <v>Active</v>
      </c>
      <c r="H922" s="1" t="str">
        <f t="shared" si="43"/>
        <v/>
      </c>
      <c r="J922">
        <f t="shared" si="44"/>
        <v>0</v>
      </c>
    </row>
    <row r="923" spans="1:10" x14ac:dyDescent="0.35">
      <c r="A923">
        <v>1922</v>
      </c>
      <c r="B923" s="1">
        <v>45428</v>
      </c>
      <c r="C923" t="s">
        <v>21</v>
      </c>
      <c r="D923">
        <v>500</v>
      </c>
      <c r="E923">
        <v>200</v>
      </c>
      <c r="G923" t="str">
        <f t="shared" si="42"/>
        <v>Active</v>
      </c>
      <c r="H923" s="1" t="str">
        <f t="shared" si="43"/>
        <v/>
      </c>
      <c r="J923">
        <f t="shared" si="44"/>
        <v>0</v>
      </c>
    </row>
    <row r="924" spans="1:10" x14ac:dyDescent="0.35">
      <c r="A924">
        <v>1923</v>
      </c>
      <c r="B924" s="1">
        <v>45831</v>
      </c>
      <c r="C924" t="s">
        <v>75</v>
      </c>
      <c r="D924">
        <v>50</v>
      </c>
      <c r="E924">
        <v>30</v>
      </c>
      <c r="G924" t="str">
        <f t="shared" si="42"/>
        <v>Active</v>
      </c>
      <c r="H924" s="1" t="str">
        <f t="shared" si="43"/>
        <v/>
      </c>
      <c r="J924">
        <f t="shared" si="44"/>
        <v>0</v>
      </c>
    </row>
    <row r="925" spans="1:10" x14ac:dyDescent="0.35">
      <c r="A925">
        <v>1924</v>
      </c>
      <c r="B925" s="1">
        <v>45591</v>
      </c>
      <c r="C925" t="s">
        <v>75</v>
      </c>
      <c r="D925">
        <v>50</v>
      </c>
      <c r="E925">
        <v>30</v>
      </c>
      <c r="F925" s="1">
        <v>45828</v>
      </c>
      <c r="G925" t="str">
        <f t="shared" si="42"/>
        <v>Churned</v>
      </c>
      <c r="H925" s="1">
        <f t="shared" si="43"/>
        <v>45809</v>
      </c>
      <c r="J925">
        <f t="shared" si="44"/>
        <v>1</v>
      </c>
    </row>
    <row r="926" spans="1:10" x14ac:dyDescent="0.35">
      <c r="A926">
        <v>1925</v>
      </c>
      <c r="B926" s="1">
        <v>45352</v>
      </c>
      <c r="C926" t="s">
        <v>75</v>
      </c>
      <c r="D926">
        <v>50</v>
      </c>
      <c r="E926">
        <v>30</v>
      </c>
      <c r="G926" t="str">
        <f t="shared" si="42"/>
        <v>Active</v>
      </c>
      <c r="H926" s="1" t="str">
        <f t="shared" si="43"/>
        <v/>
      </c>
      <c r="J926">
        <f t="shared" si="44"/>
        <v>0</v>
      </c>
    </row>
    <row r="927" spans="1:10" x14ac:dyDescent="0.35">
      <c r="A927">
        <v>1926</v>
      </c>
      <c r="B927" s="1">
        <v>45298</v>
      </c>
      <c r="C927" t="s">
        <v>21</v>
      </c>
      <c r="D927">
        <v>500</v>
      </c>
      <c r="E927">
        <v>200</v>
      </c>
      <c r="G927" t="str">
        <f t="shared" si="42"/>
        <v>Active</v>
      </c>
      <c r="H927" s="1" t="str">
        <f t="shared" si="43"/>
        <v/>
      </c>
      <c r="J927">
        <f t="shared" si="44"/>
        <v>0</v>
      </c>
    </row>
    <row r="928" spans="1:10" x14ac:dyDescent="0.35">
      <c r="A928">
        <v>1927</v>
      </c>
      <c r="B928" s="1">
        <v>45440</v>
      </c>
      <c r="C928" t="s">
        <v>18</v>
      </c>
      <c r="D928">
        <v>200</v>
      </c>
      <c r="E928">
        <v>100</v>
      </c>
      <c r="G928" t="str">
        <f t="shared" si="42"/>
        <v>Active</v>
      </c>
      <c r="H928" s="1" t="str">
        <f t="shared" si="43"/>
        <v/>
      </c>
      <c r="J928">
        <f t="shared" si="44"/>
        <v>0</v>
      </c>
    </row>
    <row r="929" spans="1:10" x14ac:dyDescent="0.35">
      <c r="A929">
        <v>1928</v>
      </c>
      <c r="B929" s="1">
        <v>45723</v>
      </c>
      <c r="C929" t="s">
        <v>75</v>
      </c>
      <c r="D929">
        <v>50</v>
      </c>
      <c r="E929">
        <v>30</v>
      </c>
      <c r="G929" t="str">
        <f t="shared" si="42"/>
        <v>Active</v>
      </c>
      <c r="H929" s="1" t="str">
        <f t="shared" si="43"/>
        <v/>
      </c>
      <c r="J929">
        <f t="shared" si="44"/>
        <v>0</v>
      </c>
    </row>
    <row r="930" spans="1:10" x14ac:dyDescent="0.35">
      <c r="A930">
        <v>1929</v>
      </c>
      <c r="B930" s="1">
        <v>45548</v>
      </c>
      <c r="C930" t="s">
        <v>21</v>
      </c>
      <c r="D930">
        <v>500</v>
      </c>
      <c r="E930">
        <v>200</v>
      </c>
      <c r="F930" s="1">
        <v>45614</v>
      </c>
      <c r="G930" t="str">
        <f t="shared" si="42"/>
        <v>Churned</v>
      </c>
      <c r="H930" s="1">
        <f t="shared" si="43"/>
        <v>45597</v>
      </c>
      <c r="J930">
        <f t="shared" si="44"/>
        <v>1</v>
      </c>
    </row>
    <row r="931" spans="1:10" x14ac:dyDescent="0.35">
      <c r="A931">
        <v>1930</v>
      </c>
      <c r="B931" s="1">
        <v>45599</v>
      </c>
      <c r="C931" t="s">
        <v>75</v>
      </c>
      <c r="D931">
        <v>50</v>
      </c>
      <c r="E931">
        <v>30</v>
      </c>
      <c r="G931" t="str">
        <f t="shared" si="42"/>
        <v>Active</v>
      </c>
      <c r="H931" s="1" t="str">
        <f t="shared" si="43"/>
        <v/>
      </c>
      <c r="J931">
        <f t="shared" si="44"/>
        <v>0</v>
      </c>
    </row>
    <row r="932" spans="1:10" x14ac:dyDescent="0.35">
      <c r="A932">
        <v>1931</v>
      </c>
      <c r="B932" s="1">
        <v>45593</v>
      </c>
      <c r="C932" t="s">
        <v>75</v>
      </c>
      <c r="D932">
        <v>50</v>
      </c>
      <c r="E932">
        <v>30</v>
      </c>
      <c r="G932" t="str">
        <f t="shared" si="42"/>
        <v>Active</v>
      </c>
      <c r="H932" s="1" t="str">
        <f t="shared" si="43"/>
        <v/>
      </c>
      <c r="J932">
        <f t="shared" si="44"/>
        <v>0</v>
      </c>
    </row>
    <row r="933" spans="1:10" x14ac:dyDescent="0.35">
      <c r="A933">
        <v>1932</v>
      </c>
      <c r="B933" s="1">
        <v>45314</v>
      </c>
      <c r="C933" t="s">
        <v>18</v>
      </c>
      <c r="D933">
        <v>200</v>
      </c>
      <c r="E933">
        <v>100</v>
      </c>
      <c r="G933" t="str">
        <f t="shared" si="42"/>
        <v>Active</v>
      </c>
      <c r="H933" s="1" t="str">
        <f t="shared" si="43"/>
        <v/>
      </c>
      <c r="J933">
        <f t="shared" si="44"/>
        <v>0</v>
      </c>
    </row>
    <row r="934" spans="1:10" x14ac:dyDescent="0.35">
      <c r="A934">
        <v>1933</v>
      </c>
      <c r="B934" s="1">
        <v>45595</v>
      </c>
      <c r="C934" t="s">
        <v>75</v>
      </c>
      <c r="D934">
        <v>50</v>
      </c>
      <c r="E934">
        <v>30</v>
      </c>
      <c r="G934" t="str">
        <f t="shared" si="42"/>
        <v>Active</v>
      </c>
      <c r="H934" s="1" t="str">
        <f t="shared" si="43"/>
        <v/>
      </c>
      <c r="J934">
        <f t="shared" si="44"/>
        <v>0</v>
      </c>
    </row>
    <row r="935" spans="1:10" x14ac:dyDescent="0.35">
      <c r="A935">
        <v>1934</v>
      </c>
      <c r="B935" s="1">
        <v>45715</v>
      </c>
      <c r="C935" t="s">
        <v>18</v>
      </c>
      <c r="D935">
        <v>200</v>
      </c>
      <c r="E935">
        <v>100</v>
      </c>
      <c r="G935" t="str">
        <f t="shared" si="42"/>
        <v>Active</v>
      </c>
      <c r="H935" s="1" t="str">
        <f t="shared" si="43"/>
        <v/>
      </c>
      <c r="J935">
        <f t="shared" si="44"/>
        <v>0</v>
      </c>
    </row>
    <row r="936" spans="1:10" x14ac:dyDescent="0.35">
      <c r="A936">
        <v>1935</v>
      </c>
      <c r="B936" s="1">
        <v>45370</v>
      </c>
      <c r="C936" t="s">
        <v>18</v>
      </c>
      <c r="D936">
        <v>200</v>
      </c>
      <c r="E936">
        <v>100</v>
      </c>
      <c r="G936" t="str">
        <f t="shared" si="42"/>
        <v>Active</v>
      </c>
      <c r="H936" s="1" t="str">
        <f t="shared" si="43"/>
        <v/>
      </c>
      <c r="J936">
        <f t="shared" si="44"/>
        <v>0</v>
      </c>
    </row>
    <row r="937" spans="1:10" x14ac:dyDescent="0.35">
      <c r="A937">
        <v>1936</v>
      </c>
      <c r="B937" s="1">
        <v>45670</v>
      </c>
      <c r="C937" t="s">
        <v>75</v>
      </c>
      <c r="D937">
        <v>50</v>
      </c>
      <c r="E937">
        <v>30</v>
      </c>
      <c r="G937" t="str">
        <f t="shared" si="42"/>
        <v>Active</v>
      </c>
      <c r="H937" s="1" t="str">
        <f t="shared" si="43"/>
        <v/>
      </c>
      <c r="J937">
        <f t="shared" si="44"/>
        <v>0</v>
      </c>
    </row>
    <row r="938" spans="1:10" x14ac:dyDescent="0.35">
      <c r="A938">
        <v>1937</v>
      </c>
      <c r="B938" s="1">
        <v>45521</v>
      </c>
      <c r="C938" t="s">
        <v>21</v>
      </c>
      <c r="D938">
        <v>500</v>
      </c>
      <c r="E938">
        <v>200</v>
      </c>
      <c r="G938" t="str">
        <f t="shared" si="42"/>
        <v>Active</v>
      </c>
      <c r="H938" s="1" t="str">
        <f t="shared" si="43"/>
        <v/>
      </c>
      <c r="J938">
        <f t="shared" si="44"/>
        <v>0</v>
      </c>
    </row>
    <row r="939" spans="1:10" x14ac:dyDescent="0.35">
      <c r="A939">
        <v>1938</v>
      </c>
      <c r="B939" s="1">
        <v>45421</v>
      </c>
      <c r="C939" t="s">
        <v>75</v>
      </c>
      <c r="D939">
        <v>50</v>
      </c>
      <c r="E939">
        <v>30</v>
      </c>
      <c r="G939" t="str">
        <f t="shared" si="42"/>
        <v>Active</v>
      </c>
      <c r="H939" s="1" t="str">
        <f t="shared" si="43"/>
        <v/>
      </c>
      <c r="J939">
        <f t="shared" si="44"/>
        <v>0</v>
      </c>
    </row>
    <row r="940" spans="1:10" x14ac:dyDescent="0.35">
      <c r="A940">
        <v>1939</v>
      </c>
      <c r="B940" s="1">
        <v>45313</v>
      </c>
      <c r="C940" t="s">
        <v>75</v>
      </c>
      <c r="D940">
        <v>50</v>
      </c>
      <c r="E940">
        <v>30</v>
      </c>
      <c r="G940" t="str">
        <f t="shared" si="42"/>
        <v>Active</v>
      </c>
      <c r="H940" s="1" t="str">
        <f t="shared" si="43"/>
        <v/>
      </c>
      <c r="J940">
        <f t="shared" si="44"/>
        <v>0</v>
      </c>
    </row>
    <row r="941" spans="1:10" x14ac:dyDescent="0.35">
      <c r="A941">
        <v>1940</v>
      </c>
      <c r="B941" s="1">
        <v>45440</v>
      </c>
      <c r="C941" t="s">
        <v>75</v>
      </c>
      <c r="D941">
        <v>50</v>
      </c>
      <c r="E941">
        <v>30</v>
      </c>
      <c r="G941" t="str">
        <f t="shared" si="42"/>
        <v>Active</v>
      </c>
      <c r="H941" s="1" t="str">
        <f t="shared" si="43"/>
        <v/>
      </c>
      <c r="J941">
        <f t="shared" si="44"/>
        <v>0</v>
      </c>
    </row>
    <row r="942" spans="1:10" x14ac:dyDescent="0.35">
      <c r="A942">
        <v>1941</v>
      </c>
      <c r="B942" s="1">
        <v>45739</v>
      </c>
      <c r="C942" t="s">
        <v>75</v>
      </c>
      <c r="D942">
        <v>50</v>
      </c>
      <c r="E942">
        <v>30</v>
      </c>
      <c r="G942" t="str">
        <f t="shared" si="42"/>
        <v>Active</v>
      </c>
      <c r="H942" s="1" t="str">
        <f t="shared" si="43"/>
        <v/>
      </c>
      <c r="J942">
        <f t="shared" si="44"/>
        <v>0</v>
      </c>
    </row>
    <row r="943" spans="1:10" x14ac:dyDescent="0.35">
      <c r="A943">
        <v>1942</v>
      </c>
      <c r="B943" s="1">
        <v>45829</v>
      </c>
      <c r="C943" t="s">
        <v>75</v>
      </c>
      <c r="D943">
        <v>50</v>
      </c>
      <c r="E943">
        <v>30</v>
      </c>
      <c r="G943" t="str">
        <f t="shared" si="42"/>
        <v>Active</v>
      </c>
      <c r="H943" s="1" t="str">
        <f t="shared" si="43"/>
        <v/>
      </c>
      <c r="J943">
        <f t="shared" si="44"/>
        <v>0</v>
      </c>
    </row>
    <row r="944" spans="1:10" x14ac:dyDescent="0.35">
      <c r="A944">
        <v>1943</v>
      </c>
      <c r="B944" s="1">
        <v>45733</v>
      </c>
      <c r="C944" t="s">
        <v>18</v>
      </c>
      <c r="D944">
        <v>200</v>
      </c>
      <c r="E944">
        <v>100</v>
      </c>
      <c r="G944" t="str">
        <f t="shared" si="42"/>
        <v>Active</v>
      </c>
      <c r="H944" s="1" t="str">
        <f t="shared" si="43"/>
        <v/>
      </c>
      <c r="J944">
        <f t="shared" si="44"/>
        <v>0</v>
      </c>
    </row>
    <row r="945" spans="1:10" x14ac:dyDescent="0.35">
      <c r="A945">
        <v>1944</v>
      </c>
      <c r="B945" s="1">
        <v>45535</v>
      </c>
      <c r="C945" t="s">
        <v>21</v>
      </c>
      <c r="D945">
        <v>500</v>
      </c>
      <c r="E945">
        <v>200</v>
      </c>
      <c r="G945" t="str">
        <f t="shared" si="42"/>
        <v>Active</v>
      </c>
      <c r="H945" s="1" t="str">
        <f t="shared" si="43"/>
        <v/>
      </c>
      <c r="J945">
        <f t="shared" si="44"/>
        <v>0</v>
      </c>
    </row>
    <row r="946" spans="1:10" x14ac:dyDescent="0.35">
      <c r="A946">
        <v>1945</v>
      </c>
      <c r="B946" s="1">
        <v>45752</v>
      </c>
      <c r="C946" t="s">
        <v>18</v>
      </c>
      <c r="D946">
        <v>200</v>
      </c>
      <c r="E946">
        <v>100</v>
      </c>
      <c r="G946" t="str">
        <f t="shared" si="42"/>
        <v>Active</v>
      </c>
      <c r="H946" s="1" t="str">
        <f t="shared" si="43"/>
        <v/>
      </c>
      <c r="J946">
        <f t="shared" si="44"/>
        <v>0</v>
      </c>
    </row>
    <row r="947" spans="1:10" x14ac:dyDescent="0.35">
      <c r="A947">
        <v>1946</v>
      </c>
      <c r="B947" s="1">
        <v>45833</v>
      </c>
      <c r="C947" t="s">
        <v>18</v>
      </c>
      <c r="D947">
        <v>200</v>
      </c>
      <c r="E947">
        <v>100</v>
      </c>
      <c r="G947" t="str">
        <f t="shared" si="42"/>
        <v>Active</v>
      </c>
      <c r="H947" s="1" t="str">
        <f t="shared" si="43"/>
        <v/>
      </c>
      <c r="J947">
        <f t="shared" si="44"/>
        <v>0</v>
      </c>
    </row>
    <row r="948" spans="1:10" x14ac:dyDescent="0.35">
      <c r="A948">
        <v>1947</v>
      </c>
      <c r="B948" s="1">
        <v>45409</v>
      </c>
      <c r="C948" t="s">
        <v>75</v>
      </c>
      <c r="D948">
        <v>50</v>
      </c>
      <c r="E948">
        <v>30</v>
      </c>
      <c r="G948" t="str">
        <f t="shared" si="42"/>
        <v>Active</v>
      </c>
      <c r="H948" s="1" t="str">
        <f t="shared" si="43"/>
        <v/>
      </c>
      <c r="J948">
        <f t="shared" si="44"/>
        <v>0</v>
      </c>
    </row>
    <row r="949" spans="1:10" x14ac:dyDescent="0.35">
      <c r="A949">
        <v>1948</v>
      </c>
      <c r="B949" s="1">
        <v>45642</v>
      </c>
      <c r="C949" t="s">
        <v>75</v>
      </c>
      <c r="D949">
        <v>50</v>
      </c>
      <c r="E949">
        <v>30</v>
      </c>
      <c r="G949" t="str">
        <f t="shared" si="42"/>
        <v>Active</v>
      </c>
      <c r="H949" s="1" t="str">
        <f t="shared" si="43"/>
        <v/>
      </c>
      <c r="J949">
        <f t="shared" si="44"/>
        <v>0</v>
      </c>
    </row>
    <row r="950" spans="1:10" x14ac:dyDescent="0.35">
      <c r="A950">
        <v>1949</v>
      </c>
      <c r="B950" s="1">
        <v>45457</v>
      </c>
      <c r="C950" t="s">
        <v>18</v>
      </c>
      <c r="D950">
        <v>200</v>
      </c>
      <c r="E950">
        <v>100</v>
      </c>
      <c r="G950" t="str">
        <f t="shared" si="42"/>
        <v>Active</v>
      </c>
      <c r="H950" s="1" t="str">
        <f t="shared" si="43"/>
        <v/>
      </c>
      <c r="J950">
        <f t="shared" si="44"/>
        <v>0</v>
      </c>
    </row>
    <row r="951" spans="1:10" x14ac:dyDescent="0.35">
      <c r="A951">
        <v>1950</v>
      </c>
      <c r="B951" s="1">
        <v>45396</v>
      </c>
      <c r="C951" t="s">
        <v>18</v>
      </c>
      <c r="D951">
        <v>200</v>
      </c>
      <c r="E951">
        <v>100</v>
      </c>
      <c r="G951" t="str">
        <f t="shared" si="42"/>
        <v>Active</v>
      </c>
      <c r="H951" s="1" t="str">
        <f t="shared" si="43"/>
        <v/>
      </c>
      <c r="J951">
        <f t="shared" si="44"/>
        <v>0</v>
      </c>
    </row>
    <row r="952" spans="1:10" x14ac:dyDescent="0.35">
      <c r="A952">
        <v>1951</v>
      </c>
      <c r="B952" s="1">
        <v>45425</v>
      </c>
      <c r="C952" t="s">
        <v>75</v>
      </c>
      <c r="D952">
        <v>50</v>
      </c>
      <c r="E952">
        <v>30</v>
      </c>
      <c r="F952" s="1">
        <v>45598</v>
      </c>
      <c r="G952" t="str">
        <f t="shared" si="42"/>
        <v>Churned</v>
      </c>
      <c r="H952" s="1">
        <f t="shared" si="43"/>
        <v>45597</v>
      </c>
      <c r="J952">
        <f t="shared" si="44"/>
        <v>1</v>
      </c>
    </row>
    <row r="953" spans="1:10" x14ac:dyDescent="0.35">
      <c r="A953">
        <v>1952</v>
      </c>
      <c r="B953" s="1">
        <v>45397</v>
      </c>
      <c r="C953" t="s">
        <v>18</v>
      </c>
      <c r="D953">
        <v>200</v>
      </c>
      <c r="E953">
        <v>100</v>
      </c>
      <c r="G953" t="str">
        <f t="shared" si="42"/>
        <v>Active</v>
      </c>
      <c r="H953" s="1" t="str">
        <f t="shared" si="43"/>
        <v/>
      </c>
      <c r="J953">
        <f t="shared" si="44"/>
        <v>0</v>
      </c>
    </row>
    <row r="954" spans="1:10" x14ac:dyDescent="0.35">
      <c r="A954">
        <v>1953</v>
      </c>
      <c r="B954" s="1">
        <v>45828</v>
      </c>
      <c r="C954" t="s">
        <v>75</v>
      </c>
      <c r="D954">
        <v>50</v>
      </c>
      <c r="E954">
        <v>30</v>
      </c>
      <c r="F954" s="1">
        <v>45838</v>
      </c>
      <c r="G954" t="str">
        <f t="shared" si="42"/>
        <v>Churned</v>
      </c>
      <c r="H954" s="1">
        <f t="shared" si="43"/>
        <v>45809</v>
      </c>
      <c r="J954">
        <f t="shared" si="44"/>
        <v>1</v>
      </c>
    </row>
    <row r="955" spans="1:10" x14ac:dyDescent="0.35">
      <c r="A955">
        <v>1954</v>
      </c>
      <c r="B955" s="1">
        <v>45581</v>
      </c>
      <c r="C955" t="s">
        <v>21</v>
      </c>
      <c r="D955">
        <v>500</v>
      </c>
      <c r="E955">
        <v>200</v>
      </c>
      <c r="G955" t="str">
        <f t="shared" si="42"/>
        <v>Active</v>
      </c>
      <c r="H955" s="1" t="str">
        <f t="shared" si="43"/>
        <v/>
      </c>
      <c r="J955">
        <f t="shared" si="44"/>
        <v>0</v>
      </c>
    </row>
    <row r="956" spans="1:10" x14ac:dyDescent="0.35">
      <c r="A956">
        <v>1955</v>
      </c>
      <c r="B956" s="1">
        <v>45669</v>
      </c>
      <c r="C956" t="s">
        <v>18</v>
      </c>
      <c r="D956">
        <v>200</v>
      </c>
      <c r="E956">
        <v>100</v>
      </c>
      <c r="G956" t="str">
        <f t="shared" si="42"/>
        <v>Active</v>
      </c>
      <c r="H956" s="1" t="str">
        <f t="shared" si="43"/>
        <v/>
      </c>
      <c r="J956">
        <f t="shared" si="44"/>
        <v>0</v>
      </c>
    </row>
    <row r="957" spans="1:10" x14ac:dyDescent="0.35">
      <c r="A957">
        <v>1956</v>
      </c>
      <c r="B957" s="1">
        <v>45788</v>
      </c>
      <c r="C957" t="s">
        <v>75</v>
      </c>
      <c r="D957">
        <v>50</v>
      </c>
      <c r="E957">
        <v>30</v>
      </c>
      <c r="G957" t="str">
        <f t="shared" si="42"/>
        <v>Active</v>
      </c>
      <c r="H957" s="1" t="str">
        <f t="shared" si="43"/>
        <v/>
      </c>
      <c r="J957">
        <f t="shared" si="44"/>
        <v>0</v>
      </c>
    </row>
    <row r="958" spans="1:10" x14ac:dyDescent="0.35">
      <c r="A958">
        <v>1957</v>
      </c>
      <c r="B958" s="1">
        <v>45760</v>
      </c>
      <c r="C958" t="s">
        <v>18</v>
      </c>
      <c r="D958">
        <v>200</v>
      </c>
      <c r="E958">
        <v>100</v>
      </c>
      <c r="G958" t="str">
        <f t="shared" si="42"/>
        <v>Active</v>
      </c>
      <c r="H958" s="1" t="str">
        <f t="shared" si="43"/>
        <v/>
      </c>
      <c r="J958">
        <f t="shared" si="44"/>
        <v>0</v>
      </c>
    </row>
    <row r="959" spans="1:10" x14ac:dyDescent="0.35">
      <c r="A959">
        <v>1958</v>
      </c>
      <c r="B959" s="1">
        <v>45373</v>
      </c>
      <c r="C959" t="s">
        <v>21</v>
      </c>
      <c r="D959">
        <v>500</v>
      </c>
      <c r="E959">
        <v>200</v>
      </c>
      <c r="G959" t="str">
        <f t="shared" si="42"/>
        <v>Active</v>
      </c>
      <c r="H959" s="1" t="str">
        <f t="shared" si="43"/>
        <v/>
      </c>
      <c r="J959">
        <f t="shared" si="44"/>
        <v>0</v>
      </c>
    </row>
    <row r="960" spans="1:10" x14ac:dyDescent="0.35">
      <c r="A960">
        <v>1959</v>
      </c>
      <c r="B960" s="1">
        <v>45487</v>
      </c>
      <c r="C960" t="s">
        <v>75</v>
      </c>
      <c r="D960">
        <v>50</v>
      </c>
      <c r="E960">
        <v>30</v>
      </c>
      <c r="G960" t="str">
        <f t="shared" si="42"/>
        <v>Active</v>
      </c>
      <c r="H960" s="1" t="str">
        <f t="shared" si="43"/>
        <v/>
      </c>
      <c r="J960">
        <f t="shared" si="44"/>
        <v>0</v>
      </c>
    </row>
    <row r="961" spans="1:10" x14ac:dyDescent="0.35">
      <c r="A961">
        <v>1960</v>
      </c>
      <c r="B961" s="1">
        <v>45306</v>
      </c>
      <c r="C961" t="s">
        <v>21</v>
      </c>
      <c r="D961">
        <v>500</v>
      </c>
      <c r="E961">
        <v>200</v>
      </c>
      <c r="G961" t="str">
        <f t="shared" si="42"/>
        <v>Active</v>
      </c>
      <c r="H961" s="1" t="str">
        <f t="shared" si="43"/>
        <v/>
      </c>
      <c r="J961">
        <f t="shared" si="44"/>
        <v>0</v>
      </c>
    </row>
    <row r="962" spans="1:10" x14ac:dyDescent="0.35">
      <c r="A962">
        <v>1961</v>
      </c>
      <c r="B962" s="1">
        <v>45623</v>
      </c>
      <c r="C962" t="s">
        <v>18</v>
      </c>
      <c r="D962">
        <v>200</v>
      </c>
      <c r="E962">
        <v>100</v>
      </c>
      <c r="G962" t="str">
        <f t="shared" si="42"/>
        <v>Active</v>
      </c>
      <c r="H962" s="1" t="str">
        <f t="shared" si="43"/>
        <v/>
      </c>
      <c r="J962">
        <f t="shared" si="44"/>
        <v>0</v>
      </c>
    </row>
    <row r="963" spans="1:10" x14ac:dyDescent="0.35">
      <c r="A963">
        <v>1962</v>
      </c>
      <c r="B963" s="1">
        <v>45296</v>
      </c>
      <c r="C963" t="s">
        <v>18</v>
      </c>
      <c r="D963">
        <v>200</v>
      </c>
      <c r="E963">
        <v>100</v>
      </c>
      <c r="G963" t="str">
        <f t="shared" ref="G963:G1001" si="45">IF(F963="","Active","Churned")</f>
        <v>Active</v>
      </c>
      <c r="H963" s="1" t="str">
        <f t="shared" ref="H963:H1001" si="46">IF(F963="","",DATE(YEAR(F963),MONTH(F963),1))</f>
        <v/>
      </c>
      <c r="J963">
        <f t="shared" ref="J963:J1001" si="47">IF(G963="Churned",1,0)</f>
        <v>0</v>
      </c>
    </row>
    <row r="964" spans="1:10" x14ac:dyDescent="0.35">
      <c r="A964">
        <v>1963</v>
      </c>
      <c r="B964" s="1">
        <v>45449</v>
      </c>
      <c r="C964" t="s">
        <v>21</v>
      </c>
      <c r="D964">
        <v>500</v>
      </c>
      <c r="E964">
        <v>200</v>
      </c>
      <c r="G964" t="str">
        <f t="shared" si="45"/>
        <v>Active</v>
      </c>
      <c r="H964" s="1" t="str">
        <f t="shared" si="46"/>
        <v/>
      </c>
      <c r="J964">
        <f t="shared" si="47"/>
        <v>0</v>
      </c>
    </row>
    <row r="965" spans="1:10" x14ac:dyDescent="0.35">
      <c r="A965">
        <v>1964</v>
      </c>
      <c r="B965" s="1">
        <v>45798</v>
      </c>
      <c r="C965" t="s">
        <v>21</v>
      </c>
      <c r="D965">
        <v>500</v>
      </c>
      <c r="E965">
        <v>200</v>
      </c>
      <c r="G965" t="str">
        <f t="shared" si="45"/>
        <v>Active</v>
      </c>
      <c r="H965" s="1" t="str">
        <f t="shared" si="46"/>
        <v/>
      </c>
      <c r="J965">
        <f t="shared" si="47"/>
        <v>0</v>
      </c>
    </row>
    <row r="966" spans="1:10" x14ac:dyDescent="0.35">
      <c r="A966">
        <v>1965</v>
      </c>
      <c r="B966" s="1">
        <v>45315</v>
      </c>
      <c r="C966" t="s">
        <v>75</v>
      </c>
      <c r="D966">
        <v>50</v>
      </c>
      <c r="E966">
        <v>30</v>
      </c>
      <c r="F966" s="1">
        <v>45823</v>
      </c>
      <c r="G966" t="str">
        <f t="shared" si="45"/>
        <v>Churned</v>
      </c>
      <c r="H966" s="1">
        <f t="shared" si="46"/>
        <v>45809</v>
      </c>
      <c r="J966">
        <f t="shared" si="47"/>
        <v>1</v>
      </c>
    </row>
    <row r="967" spans="1:10" x14ac:dyDescent="0.35">
      <c r="A967">
        <v>1966</v>
      </c>
      <c r="B967" s="1">
        <v>45313</v>
      </c>
      <c r="C967" t="s">
        <v>18</v>
      </c>
      <c r="D967">
        <v>200</v>
      </c>
      <c r="E967">
        <v>100</v>
      </c>
      <c r="G967" t="str">
        <f t="shared" si="45"/>
        <v>Active</v>
      </c>
      <c r="H967" s="1" t="str">
        <f t="shared" si="46"/>
        <v/>
      </c>
      <c r="J967">
        <f t="shared" si="47"/>
        <v>0</v>
      </c>
    </row>
    <row r="968" spans="1:10" x14ac:dyDescent="0.35">
      <c r="A968">
        <v>1967</v>
      </c>
      <c r="B968" s="1">
        <v>45637</v>
      </c>
      <c r="C968" t="s">
        <v>18</v>
      </c>
      <c r="D968">
        <v>200</v>
      </c>
      <c r="E968">
        <v>100</v>
      </c>
      <c r="G968" t="str">
        <f t="shared" si="45"/>
        <v>Active</v>
      </c>
      <c r="H968" s="1" t="str">
        <f t="shared" si="46"/>
        <v/>
      </c>
      <c r="J968">
        <f t="shared" si="47"/>
        <v>0</v>
      </c>
    </row>
    <row r="969" spans="1:10" x14ac:dyDescent="0.35">
      <c r="A969">
        <v>1968</v>
      </c>
      <c r="B969" s="1">
        <v>45703</v>
      </c>
      <c r="C969" t="s">
        <v>21</v>
      </c>
      <c r="D969">
        <v>500</v>
      </c>
      <c r="E969">
        <v>200</v>
      </c>
      <c r="G969" t="str">
        <f t="shared" si="45"/>
        <v>Active</v>
      </c>
      <c r="H969" s="1" t="str">
        <f t="shared" si="46"/>
        <v/>
      </c>
      <c r="J969">
        <f t="shared" si="47"/>
        <v>0</v>
      </c>
    </row>
    <row r="970" spans="1:10" x14ac:dyDescent="0.35">
      <c r="A970">
        <v>1969</v>
      </c>
      <c r="B970" s="1">
        <v>45731</v>
      </c>
      <c r="C970" t="s">
        <v>75</v>
      </c>
      <c r="D970">
        <v>50</v>
      </c>
      <c r="E970">
        <v>30</v>
      </c>
      <c r="G970" t="str">
        <f t="shared" si="45"/>
        <v>Active</v>
      </c>
      <c r="H970" s="1" t="str">
        <f t="shared" si="46"/>
        <v/>
      </c>
      <c r="J970">
        <f t="shared" si="47"/>
        <v>0</v>
      </c>
    </row>
    <row r="971" spans="1:10" x14ac:dyDescent="0.35">
      <c r="A971">
        <v>1970</v>
      </c>
      <c r="B971" s="1">
        <v>45636</v>
      </c>
      <c r="C971" t="s">
        <v>18</v>
      </c>
      <c r="D971">
        <v>200</v>
      </c>
      <c r="E971">
        <v>100</v>
      </c>
      <c r="F971" s="1">
        <v>45829</v>
      </c>
      <c r="G971" t="str">
        <f t="shared" si="45"/>
        <v>Churned</v>
      </c>
      <c r="H971" s="1">
        <f t="shared" si="46"/>
        <v>45809</v>
      </c>
      <c r="J971">
        <f t="shared" si="47"/>
        <v>1</v>
      </c>
    </row>
    <row r="972" spans="1:10" x14ac:dyDescent="0.35">
      <c r="A972">
        <v>1971</v>
      </c>
      <c r="B972" s="1">
        <v>45752</v>
      </c>
      <c r="C972" t="s">
        <v>21</v>
      </c>
      <c r="D972">
        <v>500</v>
      </c>
      <c r="E972">
        <v>200</v>
      </c>
      <c r="G972" t="str">
        <f t="shared" si="45"/>
        <v>Active</v>
      </c>
      <c r="H972" s="1" t="str">
        <f t="shared" si="46"/>
        <v/>
      </c>
      <c r="J972">
        <f t="shared" si="47"/>
        <v>0</v>
      </c>
    </row>
    <row r="973" spans="1:10" x14ac:dyDescent="0.35">
      <c r="A973">
        <v>1972</v>
      </c>
      <c r="B973" s="1">
        <v>45611</v>
      </c>
      <c r="C973" t="s">
        <v>18</v>
      </c>
      <c r="D973">
        <v>200</v>
      </c>
      <c r="E973">
        <v>100</v>
      </c>
      <c r="G973" t="str">
        <f t="shared" si="45"/>
        <v>Active</v>
      </c>
      <c r="H973" s="1" t="str">
        <f t="shared" si="46"/>
        <v/>
      </c>
      <c r="J973">
        <f t="shared" si="47"/>
        <v>0</v>
      </c>
    </row>
    <row r="974" spans="1:10" x14ac:dyDescent="0.35">
      <c r="A974">
        <v>1973</v>
      </c>
      <c r="B974" s="1">
        <v>45560</v>
      </c>
      <c r="C974" t="s">
        <v>75</v>
      </c>
      <c r="D974">
        <v>50</v>
      </c>
      <c r="E974">
        <v>30</v>
      </c>
      <c r="G974" t="str">
        <f t="shared" si="45"/>
        <v>Active</v>
      </c>
      <c r="H974" s="1" t="str">
        <f t="shared" si="46"/>
        <v/>
      </c>
      <c r="J974">
        <f t="shared" si="47"/>
        <v>0</v>
      </c>
    </row>
    <row r="975" spans="1:10" x14ac:dyDescent="0.35">
      <c r="A975">
        <v>1974</v>
      </c>
      <c r="B975" s="1">
        <v>45570</v>
      </c>
      <c r="C975" t="s">
        <v>21</v>
      </c>
      <c r="D975">
        <v>500</v>
      </c>
      <c r="E975">
        <v>200</v>
      </c>
      <c r="G975" t="str">
        <f t="shared" si="45"/>
        <v>Active</v>
      </c>
      <c r="H975" s="1" t="str">
        <f t="shared" si="46"/>
        <v/>
      </c>
      <c r="J975">
        <f t="shared" si="47"/>
        <v>0</v>
      </c>
    </row>
    <row r="976" spans="1:10" x14ac:dyDescent="0.35">
      <c r="A976">
        <v>1975</v>
      </c>
      <c r="B976" s="1">
        <v>45338</v>
      </c>
      <c r="C976" t="s">
        <v>75</v>
      </c>
      <c r="D976">
        <v>50</v>
      </c>
      <c r="E976">
        <v>30</v>
      </c>
      <c r="F976" s="1">
        <v>45486</v>
      </c>
      <c r="G976" t="str">
        <f t="shared" si="45"/>
        <v>Churned</v>
      </c>
      <c r="H976" s="1">
        <f t="shared" si="46"/>
        <v>45474</v>
      </c>
      <c r="J976">
        <f t="shared" si="47"/>
        <v>1</v>
      </c>
    </row>
    <row r="977" spans="1:10" x14ac:dyDescent="0.35">
      <c r="A977">
        <v>1976</v>
      </c>
      <c r="B977" s="1">
        <v>45556</v>
      </c>
      <c r="C977" t="s">
        <v>18</v>
      </c>
      <c r="D977">
        <v>200</v>
      </c>
      <c r="E977">
        <v>100</v>
      </c>
      <c r="G977" t="str">
        <f t="shared" si="45"/>
        <v>Active</v>
      </c>
      <c r="H977" s="1" t="str">
        <f t="shared" si="46"/>
        <v/>
      </c>
      <c r="J977">
        <f t="shared" si="47"/>
        <v>0</v>
      </c>
    </row>
    <row r="978" spans="1:10" x14ac:dyDescent="0.35">
      <c r="A978">
        <v>1977</v>
      </c>
      <c r="B978" s="1">
        <v>45545</v>
      </c>
      <c r="C978" t="s">
        <v>75</v>
      </c>
      <c r="D978">
        <v>50</v>
      </c>
      <c r="E978">
        <v>30</v>
      </c>
      <c r="G978" t="str">
        <f t="shared" si="45"/>
        <v>Active</v>
      </c>
      <c r="H978" s="1" t="str">
        <f t="shared" si="46"/>
        <v/>
      </c>
      <c r="J978">
        <f t="shared" si="47"/>
        <v>0</v>
      </c>
    </row>
    <row r="979" spans="1:10" x14ac:dyDescent="0.35">
      <c r="A979">
        <v>1978</v>
      </c>
      <c r="B979" s="1">
        <v>45789</v>
      </c>
      <c r="C979" t="s">
        <v>21</v>
      </c>
      <c r="D979">
        <v>500</v>
      </c>
      <c r="E979">
        <v>200</v>
      </c>
      <c r="G979" t="str">
        <f t="shared" si="45"/>
        <v>Active</v>
      </c>
      <c r="H979" s="1" t="str">
        <f t="shared" si="46"/>
        <v/>
      </c>
      <c r="J979">
        <f t="shared" si="47"/>
        <v>0</v>
      </c>
    </row>
    <row r="980" spans="1:10" x14ac:dyDescent="0.35">
      <c r="A980">
        <v>1979</v>
      </c>
      <c r="B980" s="1">
        <v>45768</v>
      </c>
      <c r="C980" t="s">
        <v>75</v>
      </c>
      <c r="D980">
        <v>50</v>
      </c>
      <c r="E980">
        <v>30</v>
      </c>
      <c r="G980" t="str">
        <f t="shared" si="45"/>
        <v>Active</v>
      </c>
      <c r="H980" s="1" t="str">
        <f t="shared" si="46"/>
        <v/>
      </c>
      <c r="J980">
        <f t="shared" si="47"/>
        <v>0</v>
      </c>
    </row>
    <row r="981" spans="1:10" x14ac:dyDescent="0.35">
      <c r="A981">
        <v>1980</v>
      </c>
      <c r="B981" s="1">
        <v>45784</v>
      </c>
      <c r="C981" t="s">
        <v>18</v>
      </c>
      <c r="D981">
        <v>200</v>
      </c>
      <c r="E981">
        <v>100</v>
      </c>
      <c r="G981" t="str">
        <f t="shared" si="45"/>
        <v>Active</v>
      </c>
      <c r="H981" s="1" t="str">
        <f t="shared" si="46"/>
        <v/>
      </c>
      <c r="J981">
        <f t="shared" si="47"/>
        <v>0</v>
      </c>
    </row>
    <row r="982" spans="1:10" x14ac:dyDescent="0.35">
      <c r="A982">
        <v>1981</v>
      </c>
      <c r="B982" s="1">
        <v>45509</v>
      </c>
      <c r="C982" t="s">
        <v>21</v>
      </c>
      <c r="D982">
        <v>500</v>
      </c>
      <c r="E982">
        <v>200</v>
      </c>
      <c r="G982" t="str">
        <f t="shared" si="45"/>
        <v>Active</v>
      </c>
      <c r="H982" s="1" t="str">
        <f t="shared" si="46"/>
        <v/>
      </c>
      <c r="J982">
        <f t="shared" si="47"/>
        <v>0</v>
      </c>
    </row>
    <row r="983" spans="1:10" x14ac:dyDescent="0.35">
      <c r="A983">
        <v>1982</v>
      </c>
      <c r="B983" s="1">
        <v>45462</v>
      </c>
      <c r="C983" t="s">
        <v>75</v>
      </c>
      <c r="D983">
        <v>50</v>
      </c>
      <c r="E983">
        <v>30</v>
      </c>
      <c r="F983" s="1">
        <v>45799</v>
      </c>
      <c r="G983" t="str">
        <f t="shared" si="45"/>
        <v>Churned</v>
      </c>
      <c r="H983" s="1">
        <f t="shared" si="46"/>
        <v>45778</v>
      </c>
      <c r="J983">
        <f t="shared" si="47"/>
        <v>1</v>
      </c>
    </row>
    <row r="984" spans="1:10" x14ac:dyDescent="0.35">
      <c r="A984">
        <v>1983</v>
      </c>
      <c r="B984" s="1">
        <v>45364</v>
      </c>
      <c r="C984" t="s">
        <v>75</v>
      </c>
      <c r="D984">
        <v>50</v>
      </c>
      <c r="E984">
        <v>30</v>
      </c>
      <c r="G984" t="str">
        <f t="shared" si="45"/>
        <v>Active</v>
      </c>
      <c r="H984" s="1" t="str">
        <f t="shared" si="46"/>
        <v/>
      </c>
      <c r="J984">
        <f t="shared" si="47"/>
        <v>0</v>
      </c>
    </row>
    <row r="985" spans="1:10" x14ac:dyDescent="0.35">
      <c r="A985">
        <v>1984</v>
      </c>
      <c r="B985" s="1">
        <v>45388</v>
      </c>
      <c r="C985" t="s">
        <v>21</v>
      </c>
      <c r="D985">
        <v>500</v>
      </c>
      <c r="E985">
        <v>200</v>
      </c>
      <c r="G985" t="str">
        <f t="shared" si="45"/>
        <v>Active</v>
      </c>
      <c r="H985" s="1" t="str">
        <f t="shared" si="46"/>
        <v/>
      </c>
      <c r="J985">
        <f t="shared" si="47"/>
        <v>0</v>
      </c>
    </row>
    <row r="986" spans="1:10" x14ac:dyDescent="0.35">
      <c r="A986">
        <v>1985</v>
      </c>
      <c r="B986" s="1">
        <v>45380</v>
      </c>
      <c r="C986" t="s">
        <v>75</v>
      </c>
      <c r="D986">
        <v>50</v>
      </c>
      <c r="E986">
        <v>30</v>
      </c>
      <c r="G986" t="str">
        <f t="shared" si="45"/>
        <v>Active</v>
      </c>
      <c r="H986" s="1" t="str">
        <f t="shared" si="46"/>
        <v/>
      </c>
      <c r="J986">
        <f t="shared" si="47"/>
        <v>0</v>
      </c>
    </row>
    <row r="987" spans="1:10" x14ac:dyDescent="0.35">
      <c r="A987">
        <v>1986</v>
      </c>
      <c r="B987" s="1">
        <v>45460</v>
      </c>
      <c r="C987" t="s">
        <v>21</v>
      </c>
      <c r="D987">
        <v>500</v>
      </c>
      <c r="E987">
        <v>200</v>
      </c>
      <c r="F987" s="1">
        <v>45612</v>
      </c>
      <c r="G987" t="str">
        <f t="shared" si="45"/>
        <v>Churned</v>
      </c>
      <c r="H987" s="1">
        <f t="shared" si="46"/>
        <v>45597</v>
      </c>
      <c r="J987">
        <f t="shared" si="47"/>
        <v>1</v>
      </c>
    </row>
    <row r="988" spans="1:10" x14ac:dyDescent="0.35">
      <c r="A988">
        <v>1987</v>
      </c>
      <c r="B988" s="1">
        <v>45381</v>
      </c>
      <c r="C988" t="s">
        <v>21</v>
      </c>
      <c r="D988">
        <v>500</v>
      </c>
      <c r="E988">
        <v>200</v>
      </c>
      <c r="G988" t="str">
        <f t="shared" si="45"/>
        <v>Active</v>
      </c>
      <c r="H988" s="1" t="str">
        <f t="shared" si="46"/>
        <v/>
      </c>
      <c r="J988">
        <f t="shared" si="47"/>
        <v>0</v>
      </c>
    </row>
    <row r="989" spans="1:10" x14ac:dyDescent="0.35">
      <c r="A989">
        <v>1988</v>
      </c>
      <c r="B989" s="1">
        <v>45625</v>
      </c>
      <c r="C989" t="s">
        <v>21</v>
      </c>
      <c r="D989">
        <v>500</v>
      </c>
      <c r="E989">
        <v>200</v>
      </c>
      <c r="F989" s="1">
        <v>45744</v>
      </c>
      <c r="G989" t="str">
        <f t="shared" si="45"/>
        <v>Churned</v>
      </c>
      <c r="H989" s="1">
        <f t="shared" si="46"/>
        <v>45717</v>
      </c>
      <c r="J989">
        <f t="shared" si="47"/>
        <v>1</v>
      </c>
    </row>
    <row r="990" spans="1:10" x14ac:dyDescent="0.35">
      <c r="A990">
        <v>1989</v>
      </c>
      <c r="B990" s="1">
        <v>45528</v>
      </c>
      <c r="C990" t="s">
        <v>75</v>
      </c>
      <c r="D990">
        <v>50</v>
      </c>
      <c r="E990">
        <v>30</v>
      </c>
      <c r="G990" t="str">
        <f t="shared" si="45"/>
        <v>Active</v>
      </c>
      <c r="H990" s="1" t="str">
        <f t="shared" si="46"/>
        <v/>
      </c>
      <c r="J990">
        <f t="shared" si="47"/>
        <v>0</v>
      </c>
    </row>
    <row r="991" spans="1:10" x14ac:dyDescent="0.35">
      <c r="A991">
        <v>1990</v>
      </c>
      <c r="B991" s="1">
        <v>45772</v>
      </c>
      <c r="C991" t="s">
        <v>75</v>
      </c>
      <c r="D991">
        <v>50</v>
      </c>
      <c r="E991">
        <v>30</v>
      </c>
      <c r="G991" t="str">
        <f t="shared" si="45"/>
        <v>Active</v>
      </c>
      <c r="H991" s="1" t="str">
        <f t="shared" si="46"/>
        <v/>
      </c>
      <c r="J991">
        <f t="shared" si="47"/>
        <v>0</v>
      </c>
    </row>
    <row r="992" spans="1:10" x14ac:dyDescent="0.35">
      <c r="A992">
        <v>1991</v>
      </c>
      <c r="B992" s="1">
        <v>45606</v>
      </c>
      <c r="C992" t="s">
        <v>18</v>
      </c>
      <c r="D992">
        <v>200</v>
      </c>
      <c r="E992">
        <v>100</v>
      </c>
      <c r="G992" t="str">
        <f t="shared" si="45"/>
        <v>Active</v>
      </c>
      <c r="H992" s="1" t="str">
        <f t="shared" si="46"/>
        <v/>
      </c>
      <c r="J992">
        <f t="shared" si="47"/>
        <v>0</v>
      </c>
    </row>
    <row r="993" spans="1:10" x14ac:dyDescent="0.35">
      <c r="A993">
        <v>1992</v>
      </c>
      <c r="B993" s="1">
        <v>45435</v>
      </c>
      <c r="C993" t="s">
        <v>18</v>
      </c>
      <c r="D993">
        <v>200</v>
      </c>
      <c r="E993">
        <v>100</v>
      </c>
      <c r="G993" t="str">
        <f t="shared" si="45"/>
        <v>Active</v>
      </c>
      <c r="H993" s="1" t="str">
        <f t="shared" si="46"/>
        <v/>
      </c>
      <c r="J993">
        <f t="shared" si="47"/>
        <v>0</v>
      </c>
    </row>
    <row r="994" spans="1:10" x14ac:dyDescent="0.35">
      <c r="A994">
        <v>1993</v>
      </c>
      <c r="B994" s="1">
        <v>45462</v>
      </c>
      <c r="C994" t="s">
        <v>18</v>
      </c>
      <c r="D994">
        <v>200</v>
      </c>
      <c r="E994">
        <v>100</v>
      </c>
      <c r="G994" t="str">
        <f t="shared" si="45"/>
        <v>Active</v>
      </c>
      <c r="H994" s="1" t="str">
        <f t="shared" si="46"/>
        <v/>
      </c>
      <c r="J994">
        <f t="shared" si="47"/>
        <v>0</v>
      </c>
    </row>
    <row r="995" spans="1:10" x14ac:dyDescent="0.35">
      <c r="A995">
        <v>1994</v>
      </c>
      <c r="B995" s="1">
        <v>45295</v>
      </c>
      <c r="C995" t="s">
        <v>75</v>
      </c>
      <c r="D995">
        <v>50</v>
      </c>
      <c r="E995">
        <v>30</v>
      </c>
      <c r="G995" t="str">
        <f t="shared" si="45"/>
        <v>Active</v>
      </c>
      <c r="H995" s="1" t="str">
        <f t="shared" si="46"/>
        <v/>
      </c>
      <c r="J995">
        <f t="shared" si="47"/>
        <v>0</v>
      </c>
    </row>
    <row r="996" spans="1:10" x14ac:dyDescent="0.35">
      <c r="A996">
        <v>1995</v>
      </c>
      <c r="B996" s="1">
        <v>45314</v>
      </c>
      <c r="C996" t="s">
        <v>18</v>
      </c>
      <c r="D996">
        <v>200</v>
      </c>
      <c r="E996">
        <v>100</v>
      </c>
      <c r="G996" t="str">
        <f t="shared" si="45"/>
        <v>Active</v>
      </c>
      <c r="H996" s="1" t="str">
        <f t="shared" si="46"/>
        <v/>
      </c>
      <c r="J996">
        <f t="shared" si="47"/>
        <v>0</v>
      </c>
    </row>
    <row r="997" spans="1:10" x14ac:dyDescent="0.35">
      <c r="A997">
        <v>1996</v>
      </c>
      <c r="B997" s="1">
        <v>45706</v>
      </c>
      <c r="C997" t="s">
        <v>18</v>
      </c>
      <c r="D997">
        <v>200</v>
      </c>
      <c r="E997">
        <v>100</v>
      </c>
      <c r="G997" t="str">
        <f t="shared" si="45"/>
        <v>Active</v>
      </c>
      <c r="H997" s="1" t="str">
        <f t="shared" si="46"/>
        <v/>
      </c>
      <c r="J997">
        <f t="shared" si="47"/>
        <v>0</v>
      </c>
    </row>
    <row r="998" spans="1:10" x14ac:dyDescent="0.35">
      <c r="A998">
        <v>1997</v>
      </c>
      <c r="B998" s="1">
        <v>45700</v>
      </c>
      <c r="C998" t="s">
        <v>18</v>
      </c>
      <c r="D998">
        <v>200</v>
      </c>
      <c r="E998">
        <v>100</v>
      </c>
      <c r="G998" t="str">
        <f t="shared" si="45"/>
        <v>Active</v>
      </c>
      <c r="H998" s="1" t="str">
        <f t="shared" si="46"/>
        <v/>
      </c>
      <c r="J998">
        <f t="shared" si="47"/>
        <v>0</v>
      </c>
    </row>
    <row r="999" spans="1:10" x14ac:dyDescent="0.35">
      <c r="A999">
        <v>1998</v>
      </c>
      <c r="B999" s="1">
        <v>45304</v>
      </c>
      <c r="C999" t="s">
        <v>75</v>
      </c>
      <c r="D999">
        <v>50</v>
      </c>
      <c r="E999">
        <v>30</v>
      </c>
      <c r="G999" t="str">
        <f t="shared" si="45"/>
        <v>Active</v>
      </c>
      <c r="H999" s="1" t="str">
        <f t="shared" si="46"/>
        <v/>
      </c>
      <c r="J999">
        <f t="shared" si="47"/>
        <v>0</v>
      </c>
    </row>
    <row r="1000" spans="1:10" x14ac:dyDescent="0.35">
      <c r="A1000">
        <v>1999</v>
      </c>
      <c r="B1000" s="1">
        <v>45755</v>
      </c>
      <c r="C1000" t="s">
        <v>21</v>
      </c>
      <c r="D1000">
        <v>500</v>
      </c>
      <c r="E1000">
        <v>200</v>
      </c>
      <c r="F1000" s="1">
        <v>45813</v>
      </c>
      <c r="G1000" t="str">
        <f t="shared" si="45"/>
        <v>Churned</v>
      </c>
      <c r="H1000" s="1">
        <f t="shared" si="46"/>
        <v>45809</v>
      </c>
      <c r="J1000">
        <f t="shared" si="47"/>
        <v>1</v>
      </c>
    </row>
    <row r="1001" spans="1:10" x14ac:dyDescent="0.35">
      <c r="A1001">
        <v>2000</v>
      </c>
      <c r="B1001" s="1">
        <v>45497</v>
      </c>
      <c r="C1001" t="s">
        <v>18</v>
      </c>
      <c r="D1001">
        <v>200</v>
      </c>
      <c r="E1001">
        <v>100</v>
      </c>
      <c r="G1001" t="str">
        <f t="shared" si="45"/>
        <v>Active</v>
      </c>
      <c r="H1001" s="1" t="str">
        <f t="shared" si="46"/>
        <v/>
      </c>
      <c r="J1001">
        <f t="shared" si="4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30D4-5C36-407A-90C6-F2FD5786F3DD}">
  <sheetPr>
    <tabColor rgb="FF00B050"/>
  </sheetPr>
  <dimension ref="A1:J989"/>
  <sheetViews>
    <sheetView zoomScale="80" workbookViewId="0"/>
  </sheetViews>
  <sheetFormatPr defaultRowHeight="14.5" x14ac:dyDescent="0.35"/>
  <cols>
    <col min="1" max="1" width="16.453125" customWidth="1"/>
    <col min="2" max="2" width="17.81640625" customWidth="1"/>
    <col min="3" max="3" width="19.1796875" style="1" customWidth="1"/>
    <col min="4" max="4" width="16.453125" customWidth="1"/>
    <col min="5" max="5" width="12.81640625" customWidth="1"/>
    <col min="6" max="6" width="14.1796875" bestFit="1" customWidth="1"/>
    <col min="11" max="11" width="16.26953125" bestFit="1" customWidth="1"/>
  </cols>
  <sheetData>
    <row r="1" spans="1:10" x14ac:dyDescent="0.35">
      <c r="A1" t="s">
        <v>76</v>
      </c>
      <c r="B1" t="s">
        <v>66</v>
      </c>
      <c r="C1" s="1" t="s">
        <v>42</v>
      </c>
      <c r="D1" t="s">
        <v>69</v>
      </c>
      <c r="E1" t="s">
        <v>77</v>
      </c>
      <c r="F1" t="s">
        <v>70</v>
      </c>
    </row>
    <row r="2" spans="1:10" x14ac:dyDescent="0.35">
      <c r="A2" t="s">
        <v>78</v>
      </c>
      <c r="B2">
        <v>1020</v>
      </c>
      <c r="C2" s="1">
        <v>45566</v>
      </c>
      <c r="D2">
        <v>200</v>
      </c>
      <c r="E2" t="str">
        <f>_xlfn.XLOOKUP(B2,customer_clean!A:A,customer_clean!C:C)</f>
        <v>Pro</v>
      </c>
      <c r="F2">
        <f>_xlfn.XLOOKUP(B2,customer_clean!A:A,customer_clean!E:E)</f>
        <v>100</v>
      </c>
    </row>
    <row r="3" spans="1:10" x14ac:dyDescent="0.35">
      <c r="A3" t="s">
        <v>79</v>
      </c>
      <c r="B3">
        <v>1020</v>
      </c>
      <c r="C3" s="1">
        <v>45597</v>
      </c>
      <c r="D3">
        <v>200</v>
      </c>
      <c r="E3" t="str">
        <f>_xlfn.XLOOKUP(B3,customer_clean!A:A,customer_clean!C:C)</f>
        <v>Pro</v>
      </c>
      <c r="F3">
        <f>_xlfn.XLOOKUP(B3,customer_clean!A:A,customer_clean!E:E)</f>
        <v>100</v>
      </c>
    </row>
    <row r="4" spans="1:10" x14ac:dyDescent="0.35">
      <c r="A4" t="s">
        <v>80</v>
      </c>
      <c r="B4">
        <v>1020</v>
      </c>
      <c r="C4" s="1">
        <v>45627</v>
      </c>
      <c r="D4">
        <v>200</v>
      </c>
      <c r="E4" t="str">
        <f>_xlfn.XLOOKUP(B4,customer_clean!A:A,customer_clean!C:C)</f>
        <v>Pro</v>
      </c>
      <c r="F4">
        <f>_xlfn.XLOOKUP(B4,customer_clean!A:A,customer_clean!E:E)</f>
        <v>100</v>
      </c>
    </row>
    <row r="5" spans="1:10" x14ac:dyDescent="0.35">
      <c r="A5" t="s">
        <v>81</v>
      </c>
      <c r="B5">
        <v>1020</v>
      </c>
      <c r="C5" s="1">
        <v>45658</v>
      </c>
      <c r="D5">
        <v>200</v>
      </c>
      <c r="E5" t="str">
        <f>_xlfn.XLOOKUP(B5,customer_clean!A:A,customer_clean!C:C)</f>
        <v>Pro</v>
      </c>
      <c r="F5">
        <f>_xlfn.XLOOKUP(B5,customer_clean!A:A,customer_clean!E:E)</f>
        <v>100</v>
      </c>
    </row>
    <row r="6" spans="1:10" x14ac:dyDescent="0.35">
      <c r="A6" t="s">
        <v>82</v>
      </c>
      <c r="B6">
        <v>1020</v>
      </c>
      <c r="C6" s="1">
        <v>45689</v>
      </c>
      <c r="D6">
        <v>200</v>
      </c>
      <c r="E6" t="str">
        <f>_xlfn.XLOOKUP(B6,customer_clean!A:A,customer_clean!C:C)</f>
        <v>Pro</v>
      </c>
      <c r="F6">
        <f>_xlfn.XLOOKUP(B6,customer_clean!A:A,customer_clean!E:E)</f>
        <v>100</v>
      </c>
    </row>
    <row r="7" spans="1:10" x14ac:dyDescent="0.35">
      <c r="A7" t="s">
        <v>83</v>
      </c>
      <c r="B7">
        <v>1020</v>
      </c>
      <c r="C7" s="1">
        <v>45717</v>
      </c>
      <c r="D7">
        <v>200</v>
      </c>
      <c r="E7" t="str">
        <f>_xlfn.XLOOKUP(B7,customer_clean!A:A,customer_clean!C:C)</f>
        <v>Pro</v>
      </c>
      <c r="F7">
        <f>_xlfn.XLOOKUP(B7,customer_clean!A:A,customer_clean!E:E)</f>
        <v>100</v>
      </c>
    </row>
    <row r="8" spans="1:10" x14ac:dyDescent="0.35">
      <c r="A8" t="s">
        <v>84</v>
      </c>
      <c r="B8">
        <v>1020</v>
      </c>
      <c r="C8" s="1">
        <v>45748</v>
      </c>
      <c r="D8">
        <v>200</v>
      </c>
      <c r="E8" t="str">
        <f>_xlfn.XLOOKUP(B8,customer_clean!A:A,customer_clean!C:C)</f>
        <v>Pro</v>
      </c>
      <c r="F8">
        <f>_xlfn.XLOOKUP(B8,customer_clean!A:A,customer_clean!E:E)</f>
        <v>100</v>
      </c>
    </row>
    <row r="9" spans="1:10" x14ac:dyDescent="0.35">
      <c r="A9" t="s">
        <v>85</v>
      </c>
      <c r="B9">
        <v>1021</v>
      </c>
      <c r="C9" s="1">
        <v>45383</v>
      </c>
      <c r="D9">
        <v>200</v>
      </c>
      <c r="E9" t="str">
        <f>_xlfn.XLOOKUP(B9,customer_clean!A:A,customer_clean!C:C)</f>
        <v>Pro</v>
      </c>
      <c r="F9">
        <f>_xlfn.XLOOKUP(B9,customer_clean!A:A,customer_clean!E:E)</f>
        <v>100</v>
      </c>
    </row>
    <row r="10" spans="1:10" x14ac:dyDescent="0.35">
      <c r="A10" t="s">
        <v>86</v>
      </c>
      <c r="B10">
        <v>1021</v>
      </c>
      <c r="C10" s="1">
        <v>45413</v>
      </c>
      <c r="D10">
        <v>200</v>
      </c>
      <c r="E10" t="str">
        <f>_xlfn.XLOOKUP(B10,customer_clean!A:A,customer_clean!C:C)</f>
        <v>Pro</v>
      </c>
      <c r="F10">
        <f>_xlfn.XLOOKUP(B10,customer_clean!A:A,customer_clean!E:E)</f>
        <v>100</v>
      </c>
    </row>
    <row r="11" spans="1:10" x14ac:dyDescent="0.35">
      <c r="A11" t="s">
        <v>87</v>
      </c>
      <c r="B11">
        <v>1023</v>
      </c>
      <c r="C11" s="1">
        <v>45627</v>
      </c>
      <c r="D11">
        <v>50</v>
      </c>
      <c r="E11" t="str">
        <f>_xlfn.XLOOKUP(B11,customer_clean!A:A,customer_clean!C:C)</f>
        <v>Basic</v>
      </c>
      <c r="F11">
        <f>_xlfn.XLOOKUP(B11,customer_clean!A:A,customer_clean!E:E)</f>
        <v>30</v>
      </c>
    </row>
    <row r="12" spans="1:10" x14ac:dyDescent="0.35">
      <c r="A12" t="s">
        <v>88</v>
      </c>
      <c r="B12">
        <v>1023</v>
      </c>
      <c r="C12" s="1">
        <v>45658</v>
      </c>
      <c r="D12">
        <v>50</v>
      </c>
      <c r="E12" t="str">
        <f>_xlfn.XLOOKUP(B12,customer_clean!A:A,customer_clean!C:C)</f>
        <v>Basic</v>
      </c>
      <c r="F12">
        <f>_xlfn.XLOOKUP(B12,customer_clean!A:A,customer_clean!E:E)</f>
        <v>30</v>
      </c>
      <c r="J12" s="6"/>
    </row>
    <row r="13" spans="1:10" x14ac:dyDescent="0.35">
      <c r="A13" t="s">
        <v>89</v>
      </c>
      <c r="B13">
        <v>1023</v>
      </c>
      <c r="C13" s="1">
        <v>45689</v>
      </c>
      <c r="D13">
        <v>50</v>
      </c>
      <c r="E13" t="str">
        <f>_xlfn.XLOOKUP(B13,customer_clean!A:A,customer_clean!C:C)</f>
        <v>Basic</v>
      </c>
      <c r="F13">
        <f>_xlfn.XLOOKUP(B13,customer_clean!A:A,customer_clean!E:E)</f>
        <v>30</v>
      </c>
    </row>
    <row r="14" spans="1:10" x14ac:dyDescent="0.35">
      <c r="A14" t="s">
        <v>90</v>
      </c>
      <c r="B14">
        <v>1023</v>
      </c>
      <c r="C14" s="1">
        <v>45717</v>
      </c>
      <c r="D14">
        <v>50</v>
      </c>
      <c r="E14" t="str">
        <f>_xlfn.XLOOKUP(B14,customer_clean!A:A,customer_clean!C:C)</f>
        <v>Basic</v>
      </c>
      <c r="F14">
        <f>_xlfn.XLOOKUP(B14,customer_clean!A:A,customer_clean!E:E)</f>
        <v>30</v>
      </c>
    </row>
    <row r="15" spans="1:10" x14ac:dyDescent="0.35">
      <c r="A15" t="s">
        <v>91</v>
      </c>
      <c r="B15">
        <v>1023</v>
      </c>
      <c r="C15" s="1">
        <v>45748</v>
      </c>
      <c r="D15">
        <v>50</v>
      </c>
      <c r="E15" t="str">
        <f>_xlfn.XLOOKUP(B15,customer_clean!A:A,customer_clean!C:C)</f>
        <v>Basic</v>
      </c>
      <c r="F15">
        <f>_xlfn.XLOOKUP(B15,customer_clean!A:A,customer_clean!E:E)</f>
        <v>30</v>
      </c>
    </row>
    <row r="16" spans="1:10" x14ac:dyDescent="0.35">
      <c r="A16" t="s">
        <v>92</v>
      </c>
      <c r="B16">
        <v>1023</v>
      </c>
      <c r="C16" s="1">
        <v>45778</v>
      </c>
      <c r="D16">
        <v>50</v>
      </c>
      <c r="E16" t="str">
        <f>_xlfn.XLOOKUP(B16,customer_clean!A:A,customer_clean!C:C)</f>
        <v>Basic</v>
      </c>
      <c r="F16">
        <f>_xlfn.XLOOKUP(B16,customer_clean!A:A,customer_clean!E:E)</f>
        <v>30</v>
      </c>
    </row>
    <row r="17" spans="1:6" x14ac:dyDescent="0.35">
      <c r="A17" t="s">
        <v>93</v>
      </c>
      <c r="B17">
        <v>1023</v>
      </c>
      <c r="C17" s="1">
        <v>45809</v>
      </c>
      <c r="D17">
        <v>50</v>
      </c>
      <c r="E17" t="str">
        <f>_xlfn.XLOOKUP(B17,customer_clean!A:A,customer_clean!C:C)</f>
        <v>Basic</v>
      </c>
      <c r="F17">
        <f>_xlfn.XLOOKUP(B17,customer_clean!A:A,customer_clean!E:E)</f>
        <v>30</v>
      </c>
    </row>
    <row r="18" spans="1:6" x14ac:dyDescent="0.35">
      <c r="A18" t="s">
        <v>94</v>
      </c>
      <c r="B18">
        <v>1026</v>
      </c>
      <c r="C18" s="1">
        <v>45717</v>
      </c>
      <c r="D18">
        <v>200</v>
      </c>
      <c r="E18" t="str">
        <f>_xlfn.XLOOKUP(B18,customer_clean!A:A,customer_clean!C:C)</f>
        <v>Pro</v>
      </c>
      <c r="F18">
        <f>_xlfn.XLOOKUP(B18,customer_clean!A:A,customer_clean!E:E)</f>
        <v>100</v>
      </c>
    </row>
    <row r="19" spans="1:6" x14ac:dyDescent="0.35">
      <c r="A19" t="s">
        <v>95</v>
      </c>
      <c r="B19">
        <v>1026</v>
      </c>
      <c r="C19" s="1">
        <v>45748</v>
      </c>
      <c r="D19">
        <v>200</v>
      </c>
      <c r="E19" t="str">
        <f>_xlfn.XLOOKUP(B19,customer_clean!A:A,customer_clean!C:C)</f>
        <v>Pro</v>
      </c>
      <c r="F19">
        <f>_xlfn.XLOOKUP(B19,customer_clean!A:A,customer_clean!E:E)</f>
        <v>100</v>
      </c>
    </row>
    <row r="20" spans="1:6" x14ac:dyDescent="0.35">
      <c r="A20" t="s">
        <v>96</v>
      </c>
      <c r="B20">
        <v>1026</v>
      </c>
      <c r="C20" s="1">
        <v>45778</v>
      </c>
      <c r="D20">
        <v>200</v>
      </c>
      <c r="E20" t="str">
        <f>_xlfn.XLOOKUP(B20,customer_clean!A:A,customer_clean!C:C)</f>
        <v>Pro</v>
      </c>
      <c r="F20">
        <f>_xlfn.XLOOKUP(B20,customer_clean!A:A,customer_clean!E:E)</f>
        <v>100</v>
      </c>
    </row>
    <row r="21" spans="1:6" x14ac:dyDescent="0.35">
      <c r="A21" t="s">
        <v>97</v>
      </c>
      <c r="B21">
        <v>1031</v>
      </c>
      <c r="C21" s="1">
        <v>45383</v>
      </c>
      <c r="D21">
        <v>200</v>
      </c>
      <c r="E21" t="str">
        <f>_xlfn.XLOOKUP(B21,customer_clean!A:A,customer_clean!C:C)</f>
        <v>Pro</v>
      </c>
      <c r="F21">
        <f>_xlfn.XLOOKUP(B21,customer_clean!A:A,customer_clean!E:E)</f>
        <v>100</v>
      </c>
    </row>
    <row r="22" spans="1:6" x14ac:dyDescent="0.35">
      <c r="A22" t="s">
        <v>98</v>
      </c>
      <c r="B22">
        <v>1031</v>
      </c>
      <c r="C22" s="1">
        <v>45413</v>
      </c>
      <c r="D22">
        <v>200</v>
      </c>
      <c r="E22" t="str">
        <f>_xlfn.XLOOKUP(B22,customer_clean!A:A,customer_clean!C:C)</f>
        <v>Pro</v>
      </c>
      <c r="F22">
        <f>_xlfn.XLOOKUP(B22,customer_clean!A:A,customer_clean!E:E)</f>
        <v>100</v>
      </c>
    </row>
    <row r="23" spans="1:6" x14ac:dyDescent="0.35">
      <c r="A23" t="s">
        <v>99</v>
      </c>
      <c r="B23">
        <v>1031</v>
      </c>
      <c r="C23" s="1">
        <v>45444</v>
      </c>
      <c r="D23">
        <v>200</v>
      </c>
      <c r="E23" t="str">
        <f>_xlfn.XLOOKUP(B23,customer_clean!A:A,customer_clean!C:C)</f>
        <v>Pro</v>
      </c>
      <c r="F23">
        <f>_xlfn.XLOOKUP(B23,customer_clean!A:A,customer_clean!E:E)</f>
        <v>100</v>
      </c>
    </row>
    <row r="24" spans="1:6" x14ac:dyDescent="0.35">
      <c r="A24" t="s">
        <v>100</v>
      </c>
      <c r="B24">
        <v>1031</v>
      </c>
      <c r="C24" s="1">
        <v>45474</v>
      </c>
      <c r="D24">
        <v>200</v>
      </c>
      <c r="E24" t="str">
        <f>_xlfn.XLOOKUP(B24,customer_clean!A:A,customer_clean!C:C)</f>
        <v>Pro</v>
      </c>
      <c r="F24">
        <f>_xlfn.XLOOKUP(B24,customer_clean!A:A,customer_clean!E:E)</f>
        <v>100</v>
      </c>
    </row>
    <row r="25" spans="1:6" x14ac:dyDescent="0.35">
      <c r="A25" t="s">
        <v>101</v>
      </c>
      <c r="B25">
        <v>1031</v>
      </c>
      <c r="C25" s="1">
        <v>45505</v>
      </c>
      <c r="D25">
        <v>200</v>
      </c>
      <c r="E25" t="str">
        <f>_xlfn.XLOOKUP(B25,customer_clean!A:A,customer_clean!C:C)</f>
        <v>Pro</v>
      </c>
      <c r="F25">
        <f>_xlfn.XLOOKUP(B25,customer_clean!A:A,customer_clean!E:E)</f>
        <v>100</v>
      </c>
    </row>
    <row r="26" spans="1:6" x14ac:dyDescent="0.35">
      <c r="A26" t="s">
        <v>102</v>
      </c>
      <c r="B26">
        <v>1031</v>
      </c>
      <c r="C26" s="1">
        <v>45536</v>
      </c>
      <c r="D26">
        <v>200</v>
      </c>
      <c r="E26" t="str">
        <f>_xlfn.XLOOKUP(B26,customer_clean!A:A,customer_clean!C:C)</f>
        <v>Pro</v>
      </c>
      <c r="F26">
        <f>_xlfn.XLOOKUP(B26,customer_clean!A:A,customer_clean!E:E)</f>
        <v>100</v>
      </c>
    </row>
    <row r="27" spans="1:6" x14ac:dyDescent="0.35">
      <c r="A27" t="s">
        <v>103</v>
      </c>
      <c r="B27">
        <v>1031</v>
      </c>
      <c r="C27" s="1">
        <v>45566</v>
      </c>
      <c r="D27">
        <v>200</v>
      </c>
      <c r="E27" t="str">
        <f>_xlfn.XLOOKUP(B27,customer_clean!A:A,customer_clean!C:C)</f>
        <v>Pro</v>
      </c>
      <c r="F27">
        <f>_xlfn.XLOOKUP(B27,customer_clean!A:A,customer_clean!E:E)</f>
        <v>100</v>
      </c>
    </row>
    <row r="28" spans="1:6" x14ac:dyDescent="0.35">
      <c r="A28" t="s">
        <v>104</v>
      </c>
      <c r="B28">
        <v>1031</v>
      </c>
      <c r="C28" s="1">
        <v>45597</v>
      </c>
      <c r="D28">
        <v>200</v>
      </c>
      <c r="E28" t="str">
        <f>_xlfn.XLOOKUP(B28,customer_clean!A:A,customer_clean!C:C)</f>
        <v>Pro</v>
      </c>
      <c r="F28">
        <f>_xlfn.XLOOKUP(B28,customer_clean!A:A,customer_clean!E:E)</f>
        <v>100</v>
      </c>
    </row>
    <row r="29" spans="1:6" x14ac:dyDescent="0.35">
      <c r="A29" t="s">
        <v>105</v>
      </c>
      <c r="B29">
        <v>1031</v>
      </c>
      <c r="C29" s="1">
        <v>45627</v>
      </c>
      <c r="D29">
        <v>200</v>
      </c>
      <c r="E29" t="str">
        <f>_xlfn.XLOOKUP(B29,customer_clean!A:A,customer_clean!C:C)</f>
        <v>Pro</v>
      </c>
      <c r="F29">
        <f>_xlfn.XLOOKUP(B29,customer_clean!A:A,customer_clean!E:E)</f>
        <v>100</v>
      </c>
    </row>
    <row r="30" spans="1:6" x14ac:dyDescent="0.35">
      <c r="A30" t="s">
        <v>106</v>
      </c>
      <c r="B30">
        <v>1034</v>
      </c>
      <c r="C30" s="1">
        <v>45383</v>
      </c>
      <c r="D30">
        <v>50</v>
      </c>
      <c r="E30" t="str">
        <f>_xlfn.XLOOKUP(B30,customer_clean!A:A,customer_clean!C:C)</f>
        <v>Basic</v>
      </c>
      <c r="F30">
        <f>_xlfn.XLOOKUP(B30,customer_clean!A:A,customer_clean!E:E)</f>
        <v>30</v>
      </c>
    </row>
    <row r="31" spans="1:6" x14ac:dyDescent="0.35">
      <c r="A31" t="s">
        <v>107</v>
      </c>
      <c r="B31">
        <v>1034</v>
      </c>
      <c r="C31" s="1">
        <v>45413</v>
      </c>
      <c r="D31">
        <v>50</v>
      </c>
      <c r="E31" t="str">
        <f>_xlfn.XLOOKUP(B31,customer_clean!A:A,customer_clean!C:C)</f>
        <v>Basic</v>
      </c>
      <c r="F31">
        <f>_xlfn.XLOOKUP(B31,customer_clean!A:A,customer_clean!E:E)</f>
        <v>30</v>
      </c>
    </row>
    <row r="32" spans="1:6" x14ac:dyDescent="0.35">
      <c r="A32" t="s">
        <v>108</v>
      </c>
      <c r="B32">
        <v>1034</v>
      </c>
      <c r="C32" s="1">
        <v>45444</v>
      </c>
      <c r="D32">
        <v>50</v>
      </c>
      <c r="E32" t="str">
        <f>_xlfn.XLOOKUP(B32,customer_clean!A:A,customer_clean!C:C)</f>
        <v>Basic</v>
      </c>
      <c r="F32">
        <f>_xlfn.XLOOKUP(B32,customer_clean!A:A,customer_clean!E:E)</f>
        <v>30</v>
      </c>
    </row>
    <row r="33" spans="1:6" x14ac:dyDescent="0.35">
      <c r="A33" t="s">
        <v>109</v>
      </c>
      <c r="B33">
        <v>1034</v>
      </c>
      <c r="C33" s="1">
        <v>45474</v>
      </c>
      <c r="D33">
        <v>50</v>
      </c>
      <c r="E33" t="str">
        <f>_xlfn.XLOOKUP(B33,customer_clean!A:A,customer_clean!C:C)</f>
        <v>Basic</v>
      </c>
      <c r="F33">
        <f>_xlfn.XLOOKUP(B33,customer_clean!A:A,customer_clean!E:E)</f>
        <v>30</v>
      </c>
    </row>
    <row r="34" spans="1:6" x14ac:dyDescent="0.35">
      <c r="A34" t="s">
        <v>110</v>
      </c>
      <c r="B34">
        <v>1034</v>
      </c>
      <c r="C34" s="1">
        <v>45505</v>
      </c>
      <c r="D34">
        <v>50</v>
      </c>
      <c r="E34" t="str">
        <f>_xlfn.XLOOKUP(B34,customer_clean!A:A,customer_clean!C:C)</f>
        <v>Basic</v>
      </c>
      <c r="F34">
        <f>_xlfn.XLOOKUP(B34,customer_clean!A:A,customer_clean!E:E)</f>
        <v>30</v>
      </c>
    </row>
    <row r="35" spans="1:6" x14ac:dyDescent="0.35">
      <c r="A35" t="s">
        <v>111</v>
      </c>
      <c r="B35">
        <v>1034</v>
      </c>
      <c r="C35" s="1">
        <v>45536</v>
      </c>
      <c r="D35">
        <v>50</v>
      </c>
      <c r="E35" t="str">
        <f>_xlfn.XLOOKUP(B35,customer_clean!A:A,customer_clean!C:C)</f>
        <v>Basic</v>
      </c>
      <c r="F35">
        <f>_xlfn.XLOOKUP(B35,customer_clean!A:A,customer_clean!E:E)</f>
        <v>30</v>
      </c>
    </row>
    <row r="36" spans="1:6" x14ac:dyDescent="0.35">
      <c r="A36" t="s">
        <v>112</v>
      </c>
      <c r="B36">
        <v>1034</v>
      </c>
      <c r="C36" s="1">
        <v>45566</v>
      </c>
      <c r="D36">
        <v>50</v>
      </c>
      <c r="E36" t="str">
        <f>_xlfn.XLOOKUP(B36,customer_clean!A:A,customer_clean!C:C)</f>
        <v>Basic</v>
      </c>
      <c r="F36">
        <f>_xlfn.XLOOKUP(B36,customer_clean!A:A,customer_clean!E:E)</f>
        <v>30</v>
      </c>
    </row>
    <row r="37" spans="1:6" x14ac:dyDescent="0.35">
      <c r="A37" t="s">
        <v>113</v>
      </c>
      <c r="B37">
        <v>1034</v>
      </c>
      <c r="C37" s="1">
        <v>45597</v>
      </c>
      <c r="D37">
        <v>50</v>
      </c>
      <c r="E37" t="str">
        <f>_xlfn.XLOOKUP(B37,customer_clean!A:A,customer_clean!C:C)</f>
        <v>Basic</v>
      </c>
      <c r="F37">
        <f>_xlfn.XLOOKUP(B37,customer_clean!A:A,customer_clean!E:E)</f>
        <v>30</v>
      </c>
    </row>
    <row r="38" spans="1:6" x14ac:dyDescent="0.35">
      <c r="A38" t="s">
        <v>114</v>
      </c>
      <c r="B38">
        <v>1034</v>
      </c>
      <c r="C38" s="1">
        <v>45627</v>
      </c>
      <c r="D38">
        <v>50</v>
      </c>
      <c r="E38" t="str">
        <f>_xlfn.XLOOKUP(B38,customer_clean!A:A,customer_clean!C:C)</f>
        <v>Basic</v>
      </c>
      <c r="F38">
        <f>_xlfn.XLOOKUP(B38,customer_clean!A:A,customer_clean!E:E)</f>
        <v>30</v>
      </c>
    </row>
    <row r="39" spans="1:6" x14ac:dyDescent="0.35">
      <c r="A39" t="s">
        <v>115</v>
      </c>
      <c r="B39">
        <v>1034</v>
      </c>
      <c r="C39" s="1">
        <v>45658</v>
      </c>
      <c r="D39">
        <v>50</v>
      </c>
      <c r="E39" t="str">
        <f>_xlfn.XLOOKUP(B39,customer_clean!A:A,customer_clean!C:C)</f>
        <v>Basic</v>
      </c>
      <c r="F39">
        <f>_xlfn.XLOOKUP(B39,customer_clean!A:A,customer_clean!E:E)</f>
        <v>30</v>
      </c>
    </row>
    <row r="40" spans="1:6" x14ac:dyDescent="0.35">
      <c r="A40" t="s">
        <v>116</v>
      </c>
      <c r="B40">
        <v>1034</v>
      </c>
      <c r="C40" s="1">
        <v>45689</v>
      </c>
      <c r="D40">
        <v>50</v>
      </c>
      <c r="E40" t="str">
        <f>_xlfn.XLOOKUP(B40,customer_clean!A:A,customer_clean!C:C)</f>
        <v>Basic</v>
      </c>
      <c r="F40">
        <f>_xlfn.XLOOKUP(B40,customer_clean!A:A,customer_clean!E:E)</f>
        <v>30</v>
      </c>
    </row>
    <row r="41" spans="1:6" x14ac:dyDescent="0.35">
      <c r="A41" t="s">
        <v>117</v>
      </c>
      <c r="B41">
        <v>1034</v>
      </c>
      <c r="C41" s="1">
        <v>45717</v>
      </c>
      <c r="D41">
        <v>50</v>
      </c>
      <c r="E41" t="str">
        <f>_xlfn.XLOOKUP(B41,customer_clean!A:A,customer_clean!C:C)</f>
        <v>Basic</v>
      </c>
      <c r="F41">
        <f>_xlfn.XLOOKUP(B41,customer_clean!A:A,customer_clean!E:E)</f>
        <v>30</v>
      </c>
    </row>
    <row r="42" spans="1:6" x14ac:dyDescent="0.35">
      <c r="A42" t="s">
        <v>118</v>
      </c>
      <c r="B42">
        <v>1034</v>
      </c>
      <c r="C42" s="1">
        <v>45748</v>
      </c>
      <c r="D42">
        <v>50</v>
      </c>
      <c r="E42" t="str">
        <f>_xlfn.XLOOKUP(B42,customer_clean!A:A,customer_clean!C:C)</f>
        <v>Basic</v>
      </c>
      <c r="F42">
        <f>_xlfn.XLOOKUP(B42,customer_clean!A:A,customer_clean!E:E)</f>
        <v>30</v>
      </c>
    </row>
    <row r="43" spans="1:6" x14ac:dyDescent="0.35">
      <c r="A43" t="s">
        <v>119</v>
      </c>
      <c r="B43">
        <v>1035</v>
      </c>
      <c r="C43" s="1">
        <v>45474</v>
      </c>
      <c r="D43">
        <v>50</v>
      </c>
      <c r="E43" t="str">
        <f>_xlfn.XLOOKUP(B43,customer_clean!A:A,customer_clean!C:C)</f>
        <v>Basic</v>
      </c>
      <c r="F43">
        <f>_xlfn.XLOOKUP(B43,customer_clean!A:A,customer_clean!E:E)</f>
        <v>30</v>
      </c>
    </row>
    <row r="44" spans="1:6" x14ac:dyDescent="0.35">
      <c r="A44" t="s">
        <v>120</v>
      </c>
      <c r="B44">
        <v>1035</v>
      </c>
      <c r="C44" s="1">
        <v>45505</v>
      </c>
      <c r="D44">
        <v>50</v>
      </c>
      <c r="E44" t="str">
        <f>_xlfn.XLOOKUP(B44,customer_clean!A:A,customer_clean!C:C)</f>
        <v>Basic</v>
      </c>
      <c r="F44">
        <f>_xlfn.XLOOKUP(B44,customer_clean!A:A,customer_clean!E:E)</f>
        <v>30</v>
      </c>
    </row>
    <row r="45" spans="1:6" x14ac:dyDescent="0.35">
      <c r="A45" t="s">
        <v>121</v>
      </c>
      <c r="B45">
        <v>1035</v>
      </c>
      <c r="C45" s="1">
        <v>45536</v>
      </c>
      <c r="D45">
        <v>50</v>
      </c>
      <c r="E45" t="str">
        <f>_xlfn.XLOOKUP(B45,customer_clean!A:A,customer_clean!C:C)</f>
        <v>Basic</v>
      </c>
      <c r="F45">
        <f>_xlfn.XLOOKUP(B45,customer_clean!A:A,customer_clean!E:E)</f>
        <v>30</v>
      </c>
    </row>
    <row r="46" spans="1:6" x14ac:dyDescent="0.35">
      <c r="A46" t="s">
        <v>122</v>
      </c>
      <c r="B46">
        <v>1035</v>
      </c>
      <c r="C46" s="1">
        <v>45566</v>
      </c>
      <c r="D46">
        <v>50</v>
      </c>
      <c r="E46" t="str">
        <f>_xlfn.XLOOKUP(B46,customer_clean!A:A,customer_clean!C:C)</f>
        <v>Basic</v>
      </c>
      <c r="F46">
        <f>_xlfn.XLOOKUP(B46,customer_clean!A:A,customer_clean!E:E)</f>
        <v>30</v>
      </c>
    </row>
    <row r="47" spans="1:6" x14ac:dyDescent="0.35">
      <c r="A47" t="s">
        <v>123</v>
      </c>
      <c r="B47">
        <v>1035</v>
      </c>
      <c r="C47" s="1">
        <v>45597</v>
      </c>
      <c r="D47">
        <v>50</v>
      </c>
      <c r="E47" t="str">
        <f>_xlfn.XLOOKUP(B47,customer_clean!A:A,customer_clean!C:C)</f>
        <v>Basic</v>
      </c>
      <c r="F47">
        <f>_xlfn.XLOOKUP(B47,customer_clean!A:A,customer_clean!E:E)</f>
        <v>30</v>
      </c>
    </row>
    <row r="48" spans="1:6" x14ac:dyDescent="0.35">
      <c r="A48" t="s">
        <v>124</v>
      </c>
      <c r="B48">
        <v>1035</v>
      </c>
      <c r="C48" s="1">
        <v>45627</v>
      </c>
      <c r="D48">
        <v>50</v>
      </c>
      <c r="E48" t="str">
        <f>_xlfn.XLOOKUP(B48,customer_clean!A:A,customer_clean!C:C)</f>
        <v>Basic</v>
      </c>
      <c r="F48">
        <f>_xlfn.XLOOKUP(B48,customer_clean!A:A,customer_clean!E:E)</f>
        <v>30</v>
      </c>
    </row>
    <row r="49" spans="1:9" x14ac:dyDescent="0.35">
      <c r="A49" t="s">
        <v>125</v>
      </c>
      <c r="B49">
        <v>1035</v>
      </c>
      <c r="C49" s="1">
        <v>45658</v>
      </c>
      <c r="D49">
        <v>50</v>
      </c>
      <c r="E49" t="str">
        <f>_xlfn.XLOOKUP(B49,customer_clean!A:A,customer_clean!C:C)</f>
        <v>Basic</v>
      </c>
      <c r="F49">
        <f>_xlfn.XLOOKUP(B49,customer_clean!A:A,customer_clean!E:E)</f>
        <v>30</v>
      </c>
    </row>
    <row r="50" spans="1:9" x14ac:dyDescent="0.35">
      <c r="A50" t="s">
        <v>126</v>
      </c>
      <c r="B50">
        <v>1035</v>
      </c>
      <c r="C50" s="1">
        <v>45689</v>
      </c>
      <c r="D50">
        <v>50</v>
      </c>
      <c r="E50" t="str">
        <f>_xlfn.XLOOKUP(B50,customer_clean!A:A,customer_clean!C:C)</f>
        <v>Basic</v>
      </c>
      <c r="F50">
        <f>_xlfn.XLOOKUP(B50,customer_clean!A:A,customer_clean!E:E)</f>
        <v>30</v>
      </c>
    </row>
    <row r="51" spans="1:9" x14ac:dyDescent="0.35">
      <c r="A51" t="s">
        <v>127</v>
      </c>
      <c r="B51">
        <v>1035</v>
      </c>
      <c r="C51" s="1">
        <v>45717</v>
      </c>
      <c r="D51">
        <v>50</v>
      </c>
      <c r="E51" t="str">
        <f>_xlfn.XLOOKUP(B51,customer_clean!A:A,customer_clean!C:C)</f>
        <v>Basic</v>
      </c>
      <c r="F51">
        <f>_xlfn.XLOOKUP(B51,customer_clean!A:A,customer_clean!E:E)</f>
        <v>30</v>
      </c>
    </row>
    <row r="52" spans="1:9" x14ac:dyDescent="0.35">
      <c r="A52" t="s">
        <v>128</v>
      </c>
      <c r="B52">
        <v>1035</v>
      </c>
      <c r="C52" s="1">
        <v>45748</v>
      </c>
      <c r="D52">
        <v>50</v>
      </c>
      <c r="E52" t="str">
        <f>_xlfn.XLOOKUP(B52,customer_clean!A:A,customer_clean!C:C)</f>
        <v>Basic</v>
      </c>
      <c r="F52">
        <f>_xlfn.XLOOKUP(B52,customer_clean!A:A,customer_clean!E:E)</f>
        <v>30</v>
      </c>
    </row>
    <row r="53" spans="1:9" x14ac:dyDescent="0.35">
      <c r="A53" t="s">
        <v>129</v>
      </c>
      <c r="B53">
        <v>1042</v>
      </c>
      <c r="C53" s="1">
        <v>45383</v>
      </c>
      <c r="D53">
        <v>200</v>
      </c>
      <c r="E53" t="str">
        <f>_xlfn.XLOOKUP(B53,customer_clean!A:A,customer_clean!C:C)</f>
        <v>Pro</v>
      </c>
      <c r="F53">
        <f>_xlfn.XLOOKUP(B53,customer_clean!A:A,customer_clean!E:E)</f>
        <v>100</v>
      </c>
    </row>
    <row r="54" spans="1:9" x14ac:dyDescent="0.35">
      <c r="A54" t="s">
        <v>130</v>
      </c>
      <c r="B54">
        <v>1042</v>
      </c>
      <c r="C54" s="1">
        <v>45413</v>
      </c>
      <c r="D54">
        <v>200</v>
      </c>
      <c r="E54" t="str">
        <f>_xlfn.XLOOKUP(B54,customer_clean!A:A,customer_clean!C:C)</f>
        <v>Pro</v>
      </c>
      <c r="F54">
        <f>_xlfn.XLOOKUP(B54,customer_clean!A:A,customer_clean!E:E)</f>
        <v>100</v>
      </c>
    </row>
    <row r="55" spans="1:9" x14ac:dyDescent="0.35">
      <c r="A55" t="s">
        <v>131</v>
      </c>
      <c r="B55">
        <v>1042</v>
      </c>
      <c r="C55" s="1">
        <v>45444</v>
      </c>
      <c r="D55">
        <v>200</v>
      </c>
      <c r="E55" t="str">
        <f>_xlfn.XLOOKUP(B55,customer_clean!A:A,customer_clean!C:C)</f>
        <v>Pro</v>
      </c>
      <c r="F55">
        <f>_xlfn.XLOOKUP(B55,customer_clean!A:A,customer_clean!E:E)</f>
        <v>100</v>
      </c>
    </row>
    <row r="56" spans="1:9" x14ac:dyDescent="0.35">
      <c r="A56" t="s">
        <v>132</v>
      </c>
      <c r="B56">
        <v>1042</v>
      </c>
      <c r="C56" s="1">
        <v>45474</v>
      </c>
      <c r="D56">
        <v>200</v>
      </c>
      <c r="E56" t="str">
        <f>_xlfn.XLOOKUP(B56,customer_clean!A:A,customer_clean!C:C)</f>
        <v>Pro</v>
      </c>
      <c r="F56">
        <f>_xlfn.XLOOKUP(B56,customer_clean!A:A,customer_clean!E:E)</f>
        <v>100</v>
      </c>
    </row>
    <row r="57" spans="1:9" x14ac:dyDescent="0.35">
      <c r="A57" t="s">
        <v>133</v>
      </c>
      <c r="B57">
        <v>1042</v>
      </c>
      <c r="C57" s="1">
        <v>45505</v>
      </c>
      <c r="D57">
        <v>200</v>
      </c>
      <c r="E57" t="str">
        <f>_xlfn.XLOOKUP(B57,customer_clean!A:A,customer_clean!C:C)</f>
        <v>Pro</v>
      </c>
      <c r="F57">
        <f>_xlfn.XLOOKUP(B57,customer_clean!A:A,customer_clean!E:E)</f>
        <v>100</v>
      </c>
    </row>
    <row r="58" spans="1:9" x14ac:dyDescent="0.35">
      <c r="A58" t="s">
        <v>134</v>
      </c>
      <c r="B58">
        <v>1042</v>
      </c>
      <c r="C58" s="1">
        <v>45536</v>
      </c>
      <c r="D58">
        <v>200</v>
      </c>
      <c r="E58" t="str">
        <f>_xlfn.XLOOKUP(B58,customer_clean!A:A,customer_clean!C:C)</f>
        <v>Pro</v>
      </c>
      <c r="F58">
        <f>_xlfn.XLOOKUP(B58,customer_clean!A:A,customer_clean!E:E)</f>
        <v>100</v>
      </c>
    </row>
    <row r="59" spans="1:9" x14ac:dyDescent="0.35">
      <c r="A59" t="s">
        <v>135</v>
      </c>
      <c r="B59">
        <v>1042</v>
      </c>
      <c r="C59" s="1">
        <v>45566</v>
      </c>
      <c r="D59">
        <v>200</v>
      </c>
      <c r="E59" t="str">
        <f>_xlfn.XLOOKUP(B59,customer_clean!A:A,customer_clean!C:C)</f>
        <v>Pro</v>
      </c>
      <c r="F59">
        <f>_xlfn.XLOOKUP(B59,customer_clean!A:A,customer_clean!E:E)</f>
        <v>100</v>
      </c>
    </row>
    <row r="60" spans="1:9" x14ac:dyDescent="0.35">
      <c r="A60" t="s">
        <v>136</v>
      </c>
      <c r="B60">
        <v>1042</v>
      </c>
      <c r="C60" s="1">
        <v>45597</v>
      </c>
      <c r="D60">
        <v>200</v>
      </c>
      <c r="E60" t="str">
        <f>_xlfn.XLOOKUP(B60,customer_clean!A:A,customer_clean!C:C)</f>
        <v>Pro</v>
      </c>
      <c r="F60">
        <f>_xlfn.XLOOKUP(B60,customer_clean!A:A,customer_clean!E:E)</f>
        <v>100</v>
      </c>
    </row>
    <row r="61" spans="1:9" x14ac:dyDescent="0.35">
      <c r="A61" t="s">
        <v>137</v>
      </c>
      <c r="B61">
        <v>1042</v>
      </c>
      <c r="C61" s="1">
        <v>45627</v>
      </c>
      <c r="D61">
        <v>200</v>
      </c>
      <c r="E61" t="str">
        <f>_xlfn.XLOOKUP(B61,customer_clean!A:A,customer_clean!C:C)</f>
        <v>Pro</v>
      </c>
      <c r="F61">
        <f>_xlfn.XLOOKUP(B61,customer_clean!A:A,customer_clean!E:E)</f>
        <v>100</v>
      </c>
    </row>
    <row r="62" spans="1:9" x14ac:dyDescent="0.35">
      <c r="A62" t="s">
        <v>138</v>
      </c>
      <c r="B62">
        <v>1042</v>
      </c>
      <c r="C62" s="1">
        <v>45658</v>
      </c>
      <c r="D62">
        <v>200</v>
      </c>
      <c r="E62" t="str">
        <f>_xlfn.XLOOKUP(B62,customer_clean!A:A,customer_clean!C:C)</f>
        <v>Pro</v>
      </c>
      <c r="F62">
        <f>_xlfn.XLOOKUP(B62,customer_clean!A:A,customer_clean!E:E)</f>
        <v>100</v>
      </c>
    </row>
    <row r="63" spans="1:9" x14ac:dyDescent="0.35">
      <c r="A63" t="s">
        <v>139</v>
      </c>
      <c r="B63">
        <v>1042</v>
      </c>
      <c r="C63" s="1">
        <v>45689</v>
      </c>
      <c r="D63">
        <v>200</v>
      </c>
      <c r="E63" t="str">
        <f>_xlfn.XLOOKUP(B63,customer_clean!A:A,customer_clean!C:C)</f>
        <v>Pro</v>
      </c>
      <c r="F63">
        <f>_xlfn.XLOOKUP(B63,customer_clean!A:A,customer_clean!E:E)</f>
        <v>100</v>
      </c>
      <c r="I63" t="s">
        <v>21</v>
      </c>
    </row>
    <row r="64" spans="1:9" x14ac:dyDescent="0.35">
      <c r="A64" t="s">
        <v>140</v>
      </c>
      <c r="B64">
        <v>1042</v>
      </c>
      <c r="C64" s="1">
        <v>45717</v>
      </c>
      <c r="D64">
        <v>200</v>
      </c>
      <c r="E64" t="str">
        <f>_xlfn.XLOOKUP(B64,customer_clean!A:A,customer_clean!C:C)</f>
        <v>Pro</v>
      </c>
      <c r="F64">
        <f>_xlfn.XLOOKUP(B64,customer_clean!A:A,customer_clean!E:E)</f>
        <v>100</v>
      </c>
    </row>
    <row r="65" spans="1:6" x14ac:dyDescent="0.35">
      <c r="A65" t="s">
        <v>141</v>
      </c>
      <c r="B65">
        <v>1043</v>
      </c>
      <c r="C65" s="1">
        <v>45658</v>
      </c>
      <c r="D65">
        <v>500</v>
      </c>
      <c r="E65" t="str">
        <f>_xlfn.XLOOKUP(B65,customer_clean!A:A,customer_clean!C:C)</f>
        <v>Enterprise</v>
      </c>
      <c r="F65">
        <f>_xlfn.XLOOKUP(B65,customer_clean!A:A,customer_clean!E:E)</f>
        <v>200</v>
      </c>
    </row>
    <row r="66" spans="1:6" x14ac:dyDescent="0.35">
      <c r="A66" t="s">
        <v>142</v>
      </c>
      <c r="B66">
        <v>1043</v>
      </c>
      <c r="C66" s="1">
        <v>45689</v>
      </c>
      <c r="D66">
        <v>500</v>
      </c>
      <c r="E66" t="str">
        <f>_xlfn.XLOOKUP(B66,customer_clean!A:A,customer_clean!C:C)</f>
        <v>Enterprise</v>
      </c>
      <c r="F66">
        <f>_xlfn.XLOOKUP(B66,customer_clean!A:A,customer_clean!E:E)</f>
        <v>200</v>
      </c>
    </row>
    <row r="67" spans="1:6" x14ac:dyDescent="0.35">
      <c r="A67" t="s">
        <v>143</v>
      </c>
      <c r="B67">
        <v>1047</v>
      </c>
      <c r="C67" s="1">
        <v>45658</v>
      </c>
      <c r="D67">
        <v>50</v>
      </c>
      <c r="E67" t="str">
        <f>_xlfn.XLOOKUP(B67,customer_clean!A:A,customer_clean!C:C)</f>
        <v>Basic</v>
      </c>
      <c r="F67">
        <f>_xlfn.XLOOKUP(B67,customer_clean!A:A,customer_clean!E:E)</f>
        <v>30</v>
      </c>
    </row>
    <row r="68" spans="1:6" x14ac:dyDescent="0.35">
      <c r="A68" t="s">
        <v>144</v>
      </c>
      <c r="B68">
        <v>1047</v>
      </c>
      <c r="C68" s="1">
        <v>45689</v>
      </c>
      <c r="D68">
        <v>50</v>
      </c>
      <c r="E68" t="str">
        <f>_xlfn.XLOOKUP(B68,customer_clean!A:A,customer_clean!C:C)</f>
        <v>Basic</v>
      </c>
      <c r="F68">
        <f>_xlfn.XLOOKUP(B68,customer_clean!A:A,customer_clean!E:E)</f>
        <v>30</v>
      </c>
    </row>
    <row r="69" spans="1:6" x14ac:dyDescent="0.35">
      <c r="A69" t="s">
        <v>145</v>
      </c>
      <c r="B69">
        <v>1047</v>
      </c>
      <c r="C69" s="1">
        <v>45717</v>
      </c>
      <c r="D69">
        <v>50</v>
      </c>
      <c r="E69" t="str">
        <f>_xlfn.XLOOKUP(B69,customer_clean!A:A,customer_clean!C:C)</f>
        <v>Basic</v>
      </c>
      <c r="F69">
        <f>_xlfn.XLOOKUP(B69,customer_clean!A:A,customer_clean!E:E)</f>
        <v>30</v>
      </c>
    </row>
    <row r="70" spans="1:6" x14ac:dyDescent="0.35">
      <c r="A70" t="s">
        <v>146</v>
      </c>
      <c r="B70">
        <v>1047</v>
      </c>
      <c r="C70" s="1">
        <v>45748</v>
      </c>
      <c r="D70">
        <v>50</v>
      </c>
      <c r="E70" t="str">
        <f>_xlfn.XLOOKUP(B70,customer_clean!A:A,customer_clean!C:C)</f>
        <v>Basic</v>
      </c>
      <c r="F70">
        <f>_xlfn.XLOOKUP(B70,customer_clean!A:A,customer_clean!E:E)</f>
        <v>30</v>
      </c>
    </row>
    <row r="71" spans="1:6" x14ac:dyDescent="0.35">
      <c r="A71" t="s">
        <v>147</v>
      </c>
      <c r="B71">
        <v>1056</v>
      </c>
      <c r="C71" s="1">
        <v>45566</v>
      </c>
      <c r="D71">
        <v>200</v>
      </c>
      <c r="E71" t="str">
        <f>_xlfn.XLOOKUP(B71,customer_clean!A:A,customer_clean!C:C)</f>
        <v>Pro</v>
      </c>
      <c r="F71">
        <f>_xlfn.XLOOKUP(B71,customer_clean!A:A,customer_clean!E:E)</f>
        <v>100</v>
      </c>
    </row>
    <row r="72" spans="1:6" x14ac:dyDescent="0.35">
      <c r="A72" t="s">
        <v>148</v>
      </c>
      <c r="B72">
        <v>1056</v>
      </c>
      <c r="C72" s="1">
        <v>45597</v>
      </c>
      <c r="D72">
        <v>200</v>
      </c>
      <c r="E72" t="str">
        <f>_xlfn.XLOOKUP(B72,customer_clean!A:A,customer_clean!C:C)</f>
        <v>Pro</v>
      </c>
      <c r="F72">
        <f>_xlfn.XLOOKUP(B72,customer_clean!A:A,customer_clean!E:E)</f>
        <v>100</v>
      </c>
    </row>
    <row r="73" spans="1:6" x14ac:dyDescent="0.35">
      <c r="A73" t="s">
        <v>149</v>
      </c>
      <c r="B73">
        <v>1056</v>
      </c>
      <c r="C73" s="1">
        <v>45627</v>
      </c>
      <c r="D73">
        <v>200</v>
      </c>
      <c r="E73" t="str">
        <f>_xlfn.XLOOKUP(B73,customer_clean!A:A,customer_clean!C:C)</f>
        <v>Pro</v>
      </c>
      <c r="F73">
        <f>_xlfn.XLOOKUP(B73,customer_clean!A:A,customer_clean!E:E)</f>
        <v>100</v>
      </c>
    </row>
    <row r="74" spans="1:6" x14ac:dyDescent="0.35">
      <c r="A74" t="s">
        <v>150</v>
      </c>
      <c r="B74">
        <v>1060</v>
      </c>
      <c r="C74" s="1">
        <v>45717</v>
      </c>
      <c r="D74">
        <v>50</v>
      </c>
      <c r="E74" t="str">
        <f>_xlfn.XLOOKUP(B74,customer_clean!A:A,customer_clean!C:C)</f>
        <v>Basic</v>
      </c>
      <c r="F74">
        <f>_xlfn.XLOOKUP(B74,customer_clean!A:A,customer_clean!E:E)</f>
        <v>30</v>
      </c>
    </row>
    <row r="75" spans="1:6" x14ac:dyDescent="0.35">
      <c r="A75" t="s">
        <v>151</v>
      </c>
      <c r="B75">
        <v>1060</v>
      </c>
      <c r="C75" s="1">
        <v>45748</v>
      </c>
      <c r="D75">
        <v>50</v>
      </c>
      <c r="E75" t="str">
        <f>_xlfn.XLOOKUP(B75,customer_clean!A:A,customer_clean!C:C)</f>
        <v>Basic</v>
      </c>
      <c r="F75">
        <f>_xlfn.XLOOKUP(B75,customer_clean!A:A,customer_clean!E:E)</f>
        <v>30</v>
      </c>
    </row>
    <row r="76" spans="1:6" x14ac:dyDescent="0.35">
      <c r="A76" t="s">
        <v>152</v>
      </c>
      <c r="B76">
        <v>1060</v>
      </c>
      <c r="C76" s="1">
        <v>45778</v>
      </c>
      <c r="D76">
        <v>50</v>
      </c>
      <c r="E76" t="str">
        <f>_xlfn.XLOOKUP(B76,customer_clean!A:A,customer_clean!C:C)</f>
        <v>Basic</v>
      </c>
      <c r="F76">
        <f>_xlfn.XLOOKUP(B76,customer_clean!A:A,customer_clean!E:E)</f>
        <v>30</v>
      </c>
    </row>
    <row r="77" spans="1:6" x14ac:dyDescent="0.35">
      <c r="A77" t="s">
        <v>153</v>
      </c>
      <c r="B77">
        <v>1062</v>
      </c>
      <c r="C77" s="1">
        <v>45778</v>
      </c>
      <c r="D77">
        <v>200</v>
      </c>
      <c r="E77" t="str">
        <f>_xlfn.XLOOKUP(B77,customer_clean!A:A,customer_clean!C:C)</f>
        <v>Pro</v>
      </c>
      <c r="F77">
        <f>_xlfn.XLOOKUP(B77,customer_clean!A:A,customer_clean!E:E)</f>
        <v>100</v>
      </c>
    </row>
    <row r="78" spans="1:6" x14ac:dyDescent="0.35">
      <c r="A78" t="s">
        <v>154</v>
      </c>
      <c r="B78">
        <v>1074</v>
      </c>
      <c r="C78" s="1">
        <v>45505</v>
      </c>
      <c r="D78">
        <v>500</v>
      </c>
      <c r="E78" t="str">
        <f>_xlfn.XLOOKUP(B78,customer_clean!A:A,customer_clean!C:C)</f>
        <v>Enterprise</v>
      </c>
      <c r="F78">
        <f>_xlfn.XLOOKUP(B78,customer_clean!A:A,customer_clean!E:E)</f>
        <v>200</v>
      </c>
    </row>
    <row r="79" spans="1:6" x14ac:dyDescent="0.35">
      <c r="A79" t="s">
        <v>155</v>
      </c>
      <c r="B79">
        <v>1074</v>
      </c>
      <c r="C79" s="1">
        <v>45536</v>
      </c>
      <c r="D79">
        <v>500</v>
      </c>
      <c r="E79" t="str">
        <f>_xlfn.XLOOKUP(B79,customer_clean!A:A,customer_clean!C:C)</f>
        <v>Enterprise</v>
      </c>
      <c r="F79">
        <f>_xlfn.XLOOKUP(B79,customer_clean!A:A,customer_clean!E:E)</f>
        <v>200</v>
      </c>
    </row>
    <row r="80" spans="1:6" x14ac:dyDescent="0.35">
      <c r="A80" t="s">
        <v>156</v>
      </c>
      <c r="B80">
        <v>1074</v>
      </c>
      <c r="C80" s="1">
        <v>45566</v>
      </c>
      <c r="D80">
        <v>500</v>
      </c>
      <c r="E80" t="str">
        <f>_xlfn.XLOOKUP(B80,customer_clean!A:A,customer_clean!C:C)</f>
        <v>Enterprise</v>
      </c>
      <c r="F80">
        <f>_xlfn.XLOOKUP(B80,customer_clean!A:A,customer_clean!E:E)</f>
        <v>200</v>
      </c>
    </row>
    <row r="81" spans="1:6" x14ac:dyDescent="0.35">
      <c r="A81" t="s">
        <v>157</v>
      </c>
      <c r="B81">
        <v>1074</v>
      </c>
      <c r="C81" s="1">
        <v>45597</v>
      </c>
      <c r="D81">
        <v>500</v>
      </c>
      <c r="E81" t="str">
        <f>_xlfn.XLOOKUP(B81,customer_clean!A:A,customer_clean!C:C)</f>
        <v>Enterprise</v>
      </c>
      <c r="F81">
        <f>_xlfn.XLOOKUP(B81,customer_clean!A:A,customer_clean!E:E)</f>
        <v>200</v>
      </c>
    </row>
    <row r="82" spans="1:6" x14ac:dyDescent="0.35">
      <c r="A82" t="s">
        <v>158</v>
      </c>
      <c r="B82">
        <v>1074</v>
      </c>
      <c r="C82" s="1">
        <v>45627</v>
      </c>
      <c r="D82">
        <v>500</v>
      </c>
      <c r="E82" t="str">
        <f>_xlfn.XLOOKUP(B82,customer_clean!A:A,customer_clean!C:C)</f>
        <v>Enterprise</v>
      </c>
      <c r="F82">
        <f>_xlfn.XLOOKUP(B82,customer_clean!A:A,customer_clean!E:E)</f>
        <v>200</v>
      </c>
    </row>
    <row r="83" spans="1:6" x14ac:dyDescent="0.35">
      <c r="A83" t="s">
        <v>159</v>
      </c>
      <c r="B83">
        <v>1074</v>
      </c>
      <c r="C83" s="1">
        <v>45658</v>
      </c>
      <c r="D83">
        <v>500</v>
      </c>
      <c r="E83" t="str">
        <f>_xlfn.XLOOKUP(B83,customer_clean!A:A,customer_clean!C:C)</f>
        <v>Enterprise</v>
      </c>
      <c r="F83">
        <f>_xlfn.XLOOKUP(B83,customer_clean!A:A,customer_clean!E:E)</f>
        <v>200</v>
      </c>
    </row>
    <row r="84" spans="1:6" x14ac:dyDescent="0.35">
      <c r="A84" t="s">
        <v>160</v>
      </c>
      <c r="B84">
        <v>1074</v>
      </c>
      <c r="C84" s="1">
        <v>45689</v>
      </c>
      <c r="D84">
        <v>500</v>
      </c>
      <c r="E84" t="str">
        <f>_xlfn.XLOOKUP(B84,customer_clean!A:A,customer_clean!C:C)</f>
        <v>Enterprise</v>
      </c>
      <c r="F84">
        <f>_xlfn.XLOOKUP(B84,customer_clean!A:A,customer_clean!E:E)</f>
        <v>200</v>
      </c>
    </row>
    <row r="85" spans="1:6" x14ac:dyDescent="0.35">
      <c r="A85" t="s">
        <v>161</v>
      </c>
      <c r="B85">
        <v>1074</v>
      </c>
      <c r="C85" s="1">
        <v>45717</v>
      </c>
      <c r="D85">
        <v>500</v>
      </c>
      <c r="E85" t="str">
        <f>_xlfn.XLOOKUP(B85,customer_clean!A:A,customer_clean!C:C)</f>
        <v>Enterprise</v>
      </c>
      <c r="F85">
        <f>_xlfn.XLOOKUP(B85,customer_clean!A:A,customer_clean!E:E)</f>
        <v>200</v>
      </c>
    </row>
    <row r="86" spans="1:6" x14ac:dyDescent="0.35">
      <c r="A86" t="s">
        <v>162</v>
      </c>
      <c r="B86">
        <v>1074</v>
      </c>
      <c r="C86" s="1">
        <v>45748</v>
      </c>
      <c r="D86">
        <v>500</v>
      </c>
      <c r="E86" t="str">
        <f>_xlfn.XLOOKUP(B86,customer_clean!A:A,customer_clean!C:C)</f>
        <v>Enterprise</v>
      </c>
      <c r="F86">
        <f>_xlfn.XLOOKUP(B86,customer_clean!A:A,customer_clean!E:E)</f>
        <v>200</v>
      </c>
    </row>
    <row r="87" spans="1:6" x14ac:dyDescent="0.35">
      <c r="A87" t="s">
        <v>163</v>
      </c>
      <c r="B87">
        <v>1074</v>
      </c>
      <c r="C87" s="1">
        <v>45778</v>
      </c>
      <c r="D87">
        <v>500</v>
      </c>
      <c r="E87" t="str">
        <f>_xlfn.XLOOKUP(B87,customer_clean!A:A,customer_clean!C:C)</f>
        <v>Enterprise</v>
      </c>
      <c r="F87">
        <f>_xlfn.XLOOKUP(B87,customer_clean!A:A,customer_clean!E:E)</f>
        <v>200</v>
      </c>
    </row>
    <row r="88" spans="1:6" x14ac:dyDescent="0.35">
      <c r="A88" t="s">
        <v>164</v>
      </c>
      <c r="B88">
        <v>1075</v>
      </c>
      <c r="C88" s="1">
        <v>45566</v>
      </c>
      <c r="D88">
        <v>500</v>
      </c>
      <c r="E88" t="str">
        <f>_xlfn.XLOOKUP(B88,customer_clean!A:A,customer_clean!C:C)</f>
        <v>Enterprise</v>
      </c>
      <c r="F88">
        <f>_xlfn.XLOOKUP(B88,customer_clean!A:A,customer_clean!E:E)</f>
        <v>200</v>
      </c>
    </row>
    <row r="89" spans="1:6" x14ac:dyDescent="0.35">
      <c r="A89" t="s">
        <v>165</v>
      </c>
      <c r="B89">
        <v>1075</v>
      </c>
      <c r="C89" s="1">
        <v>45597</v>
      </c>
      <c r="D89">
        <v>500</v>
      </c>
      <c r="E89" t="str">
        <f>_xlfn.XLOOKUP(B89,customer_clean!A:A,customer_clean!C:C)</f>
        <v>Enterprise</v>
      </c>
      <c r="F89">
        <f>_xlfn.XLOOKUP(B89,customer_clean!A:A,customer_clean!E:E)</f>
        <v>200</v>
      </c>
    </row>
    <row r="90" spans="1:6" x14ac:dyDescent="0.35">
      <c r="A90" t="s">
        <v>166</v>
      </c>
      <c r="B90">
        <v>1075</v>
      </c>
      <c r="C90" s="1">
        <v>45627</v>
      </c>
      <c r="D90">
        <v>500</v>
      </c>
      <c r="E90" t="str">
        <f>_xlfn.XLOOKUP(B90,customer_clean!A:A,customer_clean!C:C)</f>
        <v>Enterprise</v>
      </c>
      <c r="F90">
        <f>_xlfn.XLOOKUP(B90,customer_clean!A:A,customer_clean!E:E)</f>
        <v>200</v>
      </c>
    </row>
    <row r="91" spans="1:6" x14ac:dyDescent="0.35">
      <c r="A91" t="s">
        <v>167</v>
      </c>
      <c r="B91">
        <v>1075</v>
      </c>
      <c r="C91" s="1">
        <v>45658</v>
      </c>
      <c r="D91">
        <v>500</v>
      </c>
      <c r="E91" t="str">
        <f>_xlfn.XLOOKUP(B91,customer_clean!A:A,customer_clean!C:C)</f>
        <v>Enterprise</v>
      </c>
      <c r="F91">
        <f>_xlfn.XLOOKUP(B91,customer_clean!A:A,customer_clean!E:E)</f>
        <v>200</v>
      </c>
    </row>
    <row r="92" spans="1:6" x14ac:dyDescent="0.35">
      <c r="A92" t="s">
        <v>168</v>
      </c>
      <c r="B92">
        <v>1075</v>
      </c>
      <c r="C92" s="1">
        <v>45689</v>
      </c>
      <c r="D92">
        <v>500</v>
      </c>
      <c r="E92" t="str">
        <f>_xlfn.XLOOKUP(B92,customer_clean!A:A,customer_clean!C:C)</f>
        <v>Enterprise</v>
      </c>
      <c r="F92">
        <f>_xlfn.XLOOKUP(B92,customer_clean!A:A,customer_clean!E:E)</f>
        <v>200</v>
      </c>
    </row>
    <row r="93" spans="1:6" x14ac:dyDescent="0.35">
      <c r="A93" t="s">
        <v>169</v>
      </c>
      <c r="B93">
        <v>1075</v>
      </c>
      <c r="C93" s="1">
        <v>45717</v>
      </c>
      <c r="D93">
        <v>500</v>
      </c>
      <c r="E93" t="str">
        <f>_xlfn.XLOOKUP(B93,customer_clean!A:A,customer_clean!C:C)</f>
        <v>Enterprise</v>
      </c>
      <c r="F93">
        <f>_xlfn.XLOOKUP(B93,customer_clean!A:A,customer_clean!E:E)</f>
        <v>200</v>
      </c>
    </row>
    <row r="94" spans="1:6" x14ac:dyDescent="0.35">
      <c r="A94" t="s">
        <v>170</v>
      </c>
      <c r="B94">
        <v>1075</v>
      </c>
      <c r="C94" s="1">
        <v>45748</v>
      </c>
      <c r="D94">
        <v>500</v>
      </c>
      <c r="E94" t="str">
        <f>_xlfn.XLOOKUP(B94,customer_clean!A:A,customer_clean!C:C)</f>
        <v>Enterprise</v>
      </c>
      <c r="F94">
        <f>_xlfn.XLOOKUP(B94,customer_clean!A:A,customer_clean!E:E)</f>
        <v>200</v>
      </c>
    </row>
    <row r="95" spans="1:6" x14ac:dyDescent="0.35">
      <c r="A95" t="s">
        <v>171</v>
      </c>
      <c r="B95">
        <v>1075</v>
      </c>
      <c r="C95" s="1">
        <v>45778</v>
      </c>
      <c r="D95">
        <v>500</v>
      </c>
      <c r="E95" t="str">
        <f>_xlfn.XLOOKUP(B95,customer_clean!A:A,customer_clean!C:C)</f>
        <v>Enterprise</v>
      </c>
      <c r="F95">
        <f>_xlfn.XLOOKUP(B95,customer_clean!A:A,customer_clean!E:E)</f>
        <v>200</v>
      </c>
    </row>
    <row r="96" spans="1:6" x14ac:dyDescent="0.35">
      <c r="A96" t="s">
        <v>172</v>
      </c>
      <c r="B96">
        <v>1075</v>
      </c>
      <c r="C96" s="1">
        <v>45809</v>
      </c>
      <c r="D96">
        <v>500</v>
      </c>
      <c r="E96" t="str">
        <f>_xlfn.XLOOKUP(B96,customer_clean!A:A,customer_clean!C:C)</f>
        <v>Enterprise</v>
      </c>
      <c r="F96">
        <f>_xlfn.XLOOKUP(B96,customer_clean!A:A,customer_clean!E:E)</f>
        <v>200</v>
      </c>
    </row>
    <row r="97" spans="1:6" x14ac:dyDescent="0.35">
      <c r="A97" t="s">
        <v>173</v>
      </c>
      <c r="B97">
        <v>1085</v>
      </c>
      <c r="C97" s="1">
        <v>45566</v>
      </c>
      <c r="D97">
        <v>50</v>
      </c>
      <c r="E97" t="str">
        <f>_xlfn.XLOOKUP(B97,customer_clean!A:A,customer_clean!C:C)</f>
        <v>Basic</v>
      </c>
      <c r="F97">
        <f>_xlfn.XLOOKUP(B97,customer_clean!A:A,customer_clean!E:E)</f>
        <v>30</v>
      </c>
    </row>
    <row r="98" spans="1:6" x14ac:dyDescent="0.35">
      <c r="A98" t="s">
        <v>174</v>
      </c>
      <c r="B98">
        <v>1085</v>
      </c>
      <c r="C98" s="1">
        <v>45597</v>
      </c>
      <c r="D98">
        <v>50</v>
      </c>
      <c r="E98" t="str">
        <f>_xlfn.XLOOKUP(B98,customer_clean!A:A,customer_clean!C:C)</f>
        <v>Basic</v>
      </c>
      <c r="F98">
        <f>_xlfn.XLOOKUP(B98,customer_clean!A:A,customer_clean!E:E)</f>
        <v>30</v>
      </c>
    </row>
    <row r="99" spans="1:6" x14ac:dyDescent="0.35">
      <c r="A99" t="s">
        <v>175</v>
      </c>
      <c r="B99">
        <v>1085</v>
      </c>
      <c r="C99" s="1">
        <v>45627</v>
      </c>
      <c r="D99">
        <v>50</v>
      </c>
      <c r="E99" t="str">
        <f>_xlfn.XLOOKUP(B99,customer_clean!A:A,customer_clean!C:C)</f>
        <v>Basic</v>
      </c>
      <c r="F99">
        <f>_xlfn.XLOOKUP(B99,customer_clean!A:A,customer_clean!E:E)</f>
        <v>30</v>
      </c>
    </row>
    <row r="100" spans="1:6" x14ac:dyDescent="0.35">
      <c r="A100" t="s">
        <v>176</v>
      </c>
      <c r="B100">
        <v>1085</v>
      </c>
      <c r="C100" s="1">
        <v>45658</v>
      </c>
      <c r="D100">
        <v>50</v>
      </c>
      <c r="E100" t="str">
        <f>_xlfn.XLOOKUP(B100,customer_clean!A:A,customer_clean!C:C)</f>
        <v>Basic</v>
      </c>
      <c r="F100">
        <f>_xlfn.XLOOKUP(B100,customer_clean!A:A,customer_clean!E:E)</f>
        <v>30</v>
      </c>
    </row>
    <row r="101" spans="1:6" x14ac:dyDescent="0.35">
      <c r="A101" t="s">
        <v>177</v>
      </c>
      <c r="B101">
        <v>1085</v>
      </c>
      <c r="C101" s="1">
        <v>45689</v>
      </c>
      <c r="D101">
        <v>50</v>
      </c>
      <c r="E101" t="str">
        <f>_xlfn.XLOOKUP(B101,customer_clean!A:A,customer_clean!C:C)</f>
        <v>Basic</v>
      </c>
      <c r="F101">
        <f>_xlfn.XLOOKUP(B101,customer_clean!A:A,customer_clean!E:E)</f>
        <v>30</v>
      </c>
    </row>
    <row r="102" spans="1:6" x14ac:dyDescent="0.35">
      <c r="A102" t="s">
        <v>178</v>
      </c>
      <c r="B102">
        <v>1085</v>
      </c>
      <c r="C102" s="1">
        <v>45717</v>
      </c>
      <c r="D102">
        <v>50</v>
      </c>
      <c r="E102" t="str">
        <f>_xlfn.XLOOKUP(B102,customer_clean!A:A,customer_clean!C:C)</f>
        <v>Basic</v>
      </c>
      <c r="F102">
        <f>_xlfn.XLOOKUP(B102,customer_clean!A:A,customer_clean!E:E)</f>
        <v>30</v>
      </c>
    </row>
    <row r="103" spans="1:6" x14ac:dyDescent="0.35">
      <c r="A103" t="s">
        <v>179</v>
      </c>
      <c r="B103">
        <v>1085</v>
      </c>
      <c r="C103" s="1">
        <v>45748</v>
      </c>
      <c r="D103">
        <v>50</v>
      </c>
      <c r="E103" t="str">
        <f>_xlfn.XLOOKUP(B103,customer_clean!A:A,customer_clean!C:C)</f>
        <v>Basic</v>
      </c>
      <c r="F103">
        <f>_xlfn.XLOOKUP(B103,customer_clean!A:A,customer_clean!E:E)</f>
        <v>30</v>
      </c>
    </row>
    <row r="104" spans="1:6" x14ac:dyDescent="0.35">
      <c r="A104" t="s">
        <v>180</v>
      </c>
      <c r="B104">
        <v>1095</v>
      </c>
      <c r="C104" s="1">
        <v>45413</v>
      </c>
      <c r="D104">
        <v>500</v>
      </c>
      <c r="E104" t="str">
        <f>_xlfn.XLOOKUP(B104,customer_clean!A:A,customer_clean!C:C)</f>
        <v>Enterprise</v>
      </c>
      <c r="F104">
        <f>_xlfn.XLOOKUP(B104,customer_clean!A:A,customer_clean!E:E)</f>
        <v>200</v>
      </c>
    </row>
    <row r="105" spans="1:6" x14ac:dyDescent="0.35">
      <c r="A105" t="s">
        <v>181</v>
      </c>
      <c r="B105">
        <v>1095</v>
      </c>
      <c r="C105" s="1">
        <v>45444</v>
      </c>
      <c r="D105">
        <v>500</v>
      </c>
      <c r="E105" t="str">
        <f>_xlfn.XLOOKUP(B105,customer_clean!A:A,customer_clean!C:C)</f>
        <v>Enterprise</v>
      </c>
      <c r="F105">
        <f>_xlfn.XLOOKUP(B105,customer_clean!A:A,customer_clean!E:E)</f>
        <v>200</v>
      </c>
    </row>
    <row r="106" spans="1:6" x14ac:dyDescent="0.35">
      <c r="A106" t="s">
        <v>182</v>
      </c>
      <c r="B106">
        <v>1095</v>
      </c>
      <c r="C106" s="1">
        <v>45474</v>
      </c>
      <c r="D106">
        <v>500</v>
      </c>
      <c r="E106" t="str">
        <f>_xlfn.XLOOKUP(B106,customer_clean!A:A,customer_clean!C:C)</f>
        <v>Enterprise</v>
      </c>
      <c r="F106">
        <f>_xlfn.XLOOKUP(B106,customer_clean!A:A,customer_clean!E:E)</f>
        <v>200</v>
      </c>
    </row>
    <row r="107" spans="1:6" x14ac:dyDescent="0.35">
      <c r="A107" t="s">
        <v>183</v>
      </c>
      <c r="B107">
        <v>1095</v>
      </c>
      <c r="C107" s="1">
        <v>45505</v>
      </c>
      <c r="D107">
        <v>500</v>
      </c>
      <c r="E107" t="str">
        <f>_xlfn.XLOOKUP(B107,customer_clean!A:A,customer_clean!C:C)</f>
        <v>Enterprise</v>
      </c>
      <c r="F107">
        <f>_xlfn.XLOOKUP(B107,customer_clean!A:A,customer_clean!E:E)</f>
        <v>200</v>
      </c>
    </row>
    <row r="108" spans="1:6" x14ac:dyDescent="0.35">
      <c r="A108" t="s">
        <v>184</v>
      </c>
      <c r="B108">
        <v>1119</v>
      </c>
      <c r="C108" s="1">
        <v>45474</v>
      </c>
      <c r="D108">
        <v>500</v>
      </c>
      <c r="E108" t="str">
        <f>_xlfn.XLOOKUP(B108,customer_clean!A:A,customer_clean!C:C)</f>
        <v>Enterprise</v>
      </c>
      <c r="F108">
        <f>_xlfn.XLOOKUP(B108,customer_clean!A:A,customer_clean!E:E)</f>
        <v>200</v>
      </c>
    </row>
    <row r="109" spans="1:6" x14ac:dyDescent="0.35">
      <c r="A109" t="s">
        <v>185</v>
      </c>
      <c r="B109">
        <v>1119</v>
      </c>
      <c r="C109" s="1">
        <v>45505</v>
      </c>
      <c r="D109">
        <v>500</v>
      </c>
      <c r="E109" t="str">
        <f>_xlfn.XLOOKUP(B109,customer_clean!A:A,customer_clean!C:C)</f>
        <v>Enterprise</v>
      </c>
      <c r="F109">
        <f>_xlfn.XLOOKUP(B109,customer_clean!A:A,customer_clean!E:E)</f>
        <v>200</v>
      </c>
    </row>
    <row r="110" spans="1:6" x14ac:dyDescent="0.35">
      <c r="A110" t="s">
        <v>186</v>
      </c>
      <c r="B110">
        <v>1119</v>
      </c>
      <c r="C110" s="1">
        <v>45536</v>
      </c>
      <c r="D110">
        <v>500</v>
      </c>
      <c r="E110" t="str">
        <f>_xlfn.XLOOKUP(B110,customer_clean!A:A,customer_clean!C:C)</f>
        <v>Enterprise</v>
      </c>
      <c r="F110">
        <f>_xlfn.XLOOKUP(B110,customer_clean!A:A,customer_clean!E:E)</f>
        <v>200</v>
      </c>
    </row>
    <row r="111" spans="1:6" x14ac:dyDescent="0.35">
      <c r="A111" t="s">
        <v>187</v>
      </c>
      <c r="B111">
        <v>1119</v>
      </c>
      <c r="C111" s="1">
        <v>45566</v>
      </c>
      <c r="D111">
        <v>500</v>
      </c>
      <c r="E111" t="str">
        <f>_xlfn.XLOOKUP(B111,customer_clean!A:A,customer_clean!C:C)</f>
        <v>Enterprise</v>
      </c>
      <c r="F111">
        <f>_xlfn.XLOOKUP(B111,customer_clean!A:A,customer_clean!E:E)</f>
        <v>200</v>
      </c>
    </row>
    <row r="112" spans="1:6" x14ac:dyDescent="0.35">
      <c r="A112" t="s">
        <v>188</v>
      </c>
      <c r="B112">
        <v>1119</v>
      </c>
      <c r="C112" s="1">
        <v>45597</v>
      </c>
      <c r="D112">
        <v>500</v>
      </c>
      <c r="E112" t="str">
        <f>_xlfn.XLOOKUP(B112,customer_clean!A:A,customer_clean!C:C)</f>
        <v>Enterprise</v>
      </c>
      <c r="F112">
        <f>_xlfn.XLOOKUP(B112,customer_clean!A:A,customer_clean!E:E)</f>
        <v>200</v>
      </c>
    </row>
    <row r="113" spans="1:6" x14ac:dyDescent="0.35">
      <c r="A113" t="s">
        <v>189</v>
      </c>
      <c r="B113">
        <v>1119</v>
      </c>
      <c r="C113" s="1">
        <v>45627</v>
      </c>
      <c r="D113">
        <v>500</v>
      </c>
      <c r="E113" t="str">
        <f>_xlfn.XLOOKUP(B113,customer_clean!A:A,customer_clean!C:C)</f>
        <v>Enterprise</v>
      </c>
      <c r="F113">
        <f>_xlfn.XLOOKUP(B113,customer_clean!A:A,customer_clean!E:E)</f>
        <v>200</v>
      </c>
    </row>
    <row r="114" spans="1:6" x14ac:dyDescent="0.35">
      <c r="A114" t="s">
        <v>190</v>
      </c>
      <c r="B114">
        <v>1119</v>
      </c>
      <c r="C114" s="1">
        <v>45658</v>
      </c>
      <c r="D114">
        <v>500</v>
      </c>
      <c r="E114" t="str">
        <f>_xlfn.XLOOKUP(B114,customer_clean!A:A,customer_clean!C:C)</f>
        <v>Enterprise</v>
      </c>
      <c r="F114">
        <f>_xlfn.XLOOKUP(B114,customer_clean!A:A,customer_clean!E:E)</f>
        <v>200</v>
      </c>
    </row>
    <row r="115" spans="1:6" x14ac:dyDescent="0.35">
      <c r="A115" t="s">
        <v>191</v>
      </c>
      <c r="B115">
        <v>1119</v>
      </c>
      <c r="C115" s="1">
        <v>45689</v>
      </c>
      <c r="D115">
        <v>500</v>
      </c>
      <c r="E115" t="str">
        <f>_xlfn.XLOOKUP(B115,customer_clean!A:A,customer_clean!C:C)</f>
        <v>Enterprise</v>
      </c>
      <c r="F115">
        <f>_xlfn.XLOOKUP(B115,customer_clean!A:A,customer_clean!E:E)</f>
        <v>200</v>
      </c>
    </row>
    <row r="116" spans="1:6" x14ac:dyDescent="0.35">
      <c r="A116" t="s">
        <v>192</v>
      </c>
      <c r="B116">
        <v>1119</v>
      </c>
      <c r="C116" s="1">
        <v>45717</v>
      </c>
      <c r="D116">
        <v>500</v>
      </c>
      <c r="E116" t="str">
        <f>_xlfn.XLOOKUP(B116,customer_clean!A:A,customer_clean!C:C)</f>
        <v>Enterprise</v>
      </c>
      <c r="F116">
        <f>_xlfn.XLOOKUP(B116,customer_clean!A:A,customer_clean!E:E)</f>
        <v>200</v>
      </c>
    </row>
    <row r="117" spans="1:6" x14ac:dyDescent="0.35">
      <c r="A117" t="s">
        <v>193</v>
      </c>
      <c r="B117">
        <v>1120</v>
      </c>
      <c r="C117" s="1">
        <v>45505</v>
      </c>
      <c r="D117">
        <v>500</v>
      </c>
      <c r="E117" t="str">
        <f>_xlfn.XLOOKUP(B117,customer_clean!A:A,customer_clean!C:C)</f>
        <v>Enterprise</v>
      </c>
      <c r="F117">
        <f>_xlfn.XLOOKUP(B117,customer_clean!A:A,customer_clean!E:E)</f>
        <v>200</v>
      </c>
    </row>
    <row r="118" spans="1:6" x14ac:dyDescent="0.35">
      <c r="A118" t="s">
        <v>194</v>
      </c>
      <c r="B118">
        <v>1120</v>
      </c>
      <c r="C118" s="1">
        <v>45536</v>
      </c>
      <c r="D118">
        <v>500</v>
      </c>
      <c r="E118" t="str">
        <f>_xlfn.XLOOKUP(B118,customer_clean!A:A,customer_clean!C:C)</f>
        <v>Enterprise</v>
      </c>
      <c r="F118">
        <f>_xlfn.XLOOKUP(B118,customer_clean!A:A,customer_clean!E:E)</f>
        <v>200</v>
      </c>
    </row>
    <row r="119" spans="1:6" x14ac:dyDescent="0.35">
      <c r="A119" t="s">
        <v>195</v>
      </c>
      <c r="B119">
        <v>1120</v>
      </c>
      <c r="C119" s="1">
        <v>45566</v>
      </c>
      <c r="D119">
        <v>500</v>
      </c>
      <c r="E119" t="str">
        <f>_xlfn.XLOOKUP(B119,customer_clean!A:A,customer_clean!C:C)</f>
        <v>Enterprise</v>
      </c>
      <c r="F119">
        <f>_xlfn.XLOOKUP(B119,customer_clean!A:A,customer_clean!E:E)</f>
        <v>200</v>
      </c>
    </row>
    <row r="120" spans="1:6" x14ac:dyDescent="0.35">
      <c r="A120" t="s">
        <v>196</v>
      </c>
      <c r="B120">
        <v>1120</v>
      </c>
      <c r="C120" s="1">
        <v>45597</v>
      </c>
      <c r="D120">
        <v>500</v>
      </c>
      <c r="E120" t="str">
        <f>_xlfn.XLOOKUP(B120,customer_clean!A:A,customer_clean!C:C)</f>
        <v>Enterprise</v>
      </c>
      <c r="F120">
        <f>_xlfn.XLOOKUP(B120,customer_clean!A:A,customer_clean!E:E)</f>
        <v>200</v>
      </c>
    </row>
    <row r="121" spans="1:6" x14ac:dyDescent="0.35">
      <c r="A121" t="s">
        <v>197</v>
      </c>
      <c r="B121">
        <v>1120</v>
      </c>
      <c r="C121" s="1">
        <v>45627</v>
      </c>
      <c r="D121">
        <v>500</v>
      </c>
      <c r="E121" t="str">
        <f>_xlfn.XLOOKUP(B121,customer_clean!A:A,customer_clean!C:C)</f>
        <v>Enterprise</v>
      </c>
      <c r="F121">
        <f>_xlfn.XLOOKUP(B121,customer_clean!A:A,customer_clean!E:E)</f>
        <v>200</v>
      </c>
    </row>
    <row r="122" spans="1:6" x14ac:dyDescent="0.35">
      <c r="A122" t="s">
        <v>198</v>
      </c>
      <c r="B122">
        <v>1120</v>
      </c>
      <c r="C122" s="1">
        <v>45658</v>
      </c>
      <c r="D122">
        <v>500</v>
      </c>
      <c r="E122" t="str">
        <f>_xlfn.XLOOKUP(B122,customer_clean!A:A,customer_clean!C:C)</f>
        <v>Enterprise</v>
      </c>
      <c r="F122">
        <f>_xlfn.XLOOKUP(B122,customer_clean!A:A,customer_clean!E:E)</f>
        <v>200</v>
      </c>
    </row>
    <row r="123" spans="1:6" x14ac:dyDescent="0.35">
      <c r="A123" t="s">
        <v>199</v>
      </c>
      <c r="B123">
        <v>1120</v>
      </c>
      <c r="C123" s="1">
        <v>45689</v>
      </c>
      <c r="D123">
        <v>500</v>
      </c>
      <c r="E123" t="str">
        <f>_xlfn.XLOOKUP(B123,customer_clean!A:A,customer_clean!C:C)</f>
        <v>Enterprise</v>
      </c>
      <c r="F123">
        <f>_xlfn.XLOOKUP(B123,customer_clean!A:A,customer_clean!E:E)</f>
        <v>200</v>
      </c>
    </row>
    <row r="124" spans="1:6" x14ac:dyDescent="0.35">
      <c r="A124" t="s">
        <v>200</v>
      </c>
      <c r="B124">
        <v>1125</v>
      </c>
      <c r="C124" s="1">
        <v>45505</v>
      </c>
      <c r="D124">
        <v>500</v>
      </c>
      <c r="E124" t="str">
        <f>_xlfn.XLOOKUP(B124,customer_clean!A:A,customer_clean!C:C)</f>
        <v>Enterprise</v>
      </c>
      <c r="F124">
        <f>_xlfn.XLOOKUP(B124,customer_clean!A:A,customer_clean!E:E)</f>
        <v>200</v>
      </c>
    </row>
    <row r="125" spans="1:6" x14ac:dyDescent="0.35">
      <c r="A125" t="s">
        <v>201</v>
      </c>
      <c r="B125">
        <v>1125</v>
      </c>
      <c r="C125" s="1">
        <v>45536</v>
      </c>
      <c r="D125">
        <v>500</v>
      </c>
      <c r="E125" t="str">
        <f>_xlfn.XLOOKUP(B125,customer_clean!A:A,customer_clean!C:C)</f>
        <v>Enterprise</v>
      </c>
      <c r="F125">
        <f>_xlfn.XLOOKUP(B125,customer_clean!A:A,customer_clean!E:E)</f>
        <v>200</v>
      </c>
    </row>
    <row r="126" spans="1:6" x14ac:dyDescent="0.35">
      <c r="A126" t="s">
        <v>202</v>
      </c>
      <c r="B126">
        <v>1125</v>
      </c>
      <c r="C126" s="1">
        <v>45566</v>
      </c>
      <c r="D126">
        <v>500</v>
      </c>
      <c r="E126" t="str">
        <f>_xlfn.XLOOKUP(B126,customer_clean!A:A,customer_clean!C:C)</f>
        <v>Enterprise</v>
      </c>
      <c r="F126">
        <f>_xlfn.XLOOKUP(B126,customer_clean!A:A,customer_clean!E:E)</f>
        <v>200</v>
      </c>
    </row>
    <row r="127" spans="1:6" x14ac:dyDescent="0.35">
      <c r="A127" t="s">
        <v>203</v>
      </c>
      <c r="B127">
        <v>1125</v>
      </c>
      <c r="C127" s="1">
        <v>45597</v>
      </c>
      <c r="D127">
        <v>500</v>
      </c>
      <c r="E127" t="str">
        <f>_xlfn.XLOOKUP(B127,customer_clean!A:A,customer_clean!C:C)</f>
        <v>Enterprise</v>
      </c>
      <c r="F127">
        <f>_xlfn.XLOOKUP(B127,customer_clean!A:A,customer_clean!E:E)</f>
        <v>200</v>
      </c>
    </row>
    <row r="128" spans="1:6" x14ac:dyDescent="0.35">
      <c r="A128" t="s">
        <v>204</v>
      </c>
      <c r="B128">
        <v>1125</v>
      </c>
      <c r="C128" s="1">
        <v>45627</v>
      </c>
      <c r="D128">
        <v>500</v>
      </c>
      <c r="E128" t="str">
        <f>_xlfn.XLOOKUP(B128,customer_clean!A:A,customer_clean!C:C)</f>
        <v>Enterprise</v>
      </c>
      <c r="F128">
        <f>_xlfn.XLOOKUP(B128,customer_clean!A:A,customer_clean!E:E)</f>
        <v>200</v>
      </c>
    </row>
    <row r="129" spans="1:6" x14ac:dyDescent="0.35">
      <c r="A129" t="s">
        <v>205</v>
      </c>
      <c r="B129">
        <v>1132</v>
      </c>
      <c r="C129" s="1">
        <v>45597</v>
      </c>
      <c r="D129">
        <v>50</v>
      </c>
      <c r="E129" t="str">
        <f>_xlfn.XLOOKUP(B129,customer_clean!A:A,customer_clean!C:C)</f>
        <v>Basic</v>
      </c>
      <c r="F129">
        <f>_xlfn.XLOOKUP(B129,customer_clean!A:A,customer_clean!E:E)</f>
        <v>30</v>
      </c>
    </row>
    <row r="130" spans="1:6" x14ac:dyDescent="0.35">
      <c r="A130" t="s">
        <v>206</v>
      </c>
      <c r="B130">
        <v>1132</v>
      </c>
      <c r="C130" s="1">
        <v>45627</v>
      </c>
      <c r="D130">
        <v>50</v>
      </c>
      <c r="E130" t="str">
        <f>_xlfn.XLOOKUP(B130,customer_clean!A:A,customer_clean!C:C)</f>
        <v>Basic</v>
      </c>
      <c r="F130">
        <f>_xlfn.XLOOKUP(B130,customer_clean!A:A,customer_clean!E:E)</f>
        <v>30</v>
      </c>
    </row>
    <row r="131" spans="1:6" x14ac:dyDescent="0.35">
      <c r="A131" t="s">
        <v>207</v>
      </c>
      <c r="B131">
        <v>1132</v>
      </c>
      <c r="C131" s="1">
        <v>45658</v>
      </c>
      <c r="D131">
        <v>50</v>
      </c>
      <c r="E131" t="str">
        <f>_xlfn.XLOOKUP(B131,customer_clean!A:A,customer_clean!C:C)</f>
        <v>Basic</v>
      </c>
      <c r="F131">
        <f>_xlfn.XLOOKUP(B131,customer_clean!A:A,customer_clean!E:E)</f>
        <v>30</v>
      </c>
    </row>
    <row r="132" spans="1:6" x14ac:dyDescent="0.35">
      <c r="A132" t="s">
        <v>208</v>
      </c>
      <c r="B132">
        <v>1132</v>
      </c>
      <c r="C132" s="1">
        <v>45689</v>
      </c>
      <c r="D132">
        <v>50</v>
      </c>
      <c r="E132" t="str">
        <f>_xlfn.XLOOKUP(B132,customer_clean!A:A,customer_clean!C:C)</f>
        <v>Basic</v>
      </c>
      <c r="F132">
        <f>_xlfn.XLOOKUP(B132,customer_clean!A:A,customer_clean!E:E)</f>
        <v>30</v>
      </c>
    </row>
    <row r="133" spans="1:6" x14ac:dyDescent="0.35">
      <c r="A133" t="s">
        <v>209</v>
      </c>
      <c r="B133">
        <v>1132</v>
      </c>
      <c r="C133" s="1">
        <v>45717</v>
      </c>
      <c r="D133">
        <v>50</v>
      </c>
      <c r="E133" t="str">
        <f>_xlfn.XLOOKUP(B133,customer_clean!A:A,customer_clean!C:C)</f>
        <v>Basic</v>
      </c>
      <c r="F133">
        <f>_xlfn.XLOOKUP(B133,customer_clean!A:A,customer_clean!E:E)</f>
        <v>30</v>
      </c>
    </row>
    <row r="134" spans="1:6" x14ac:dyDescent="0.35">
      <c r="A134" t="s">
        <v>210</v>
      </c>
      <c r="B134">
        <v>1132</v>
      </c>
      <c r="C134" s="1">
        <v>45748</v>
      </c>
      <c r="D134">
        <v>50</v>
      </c>
      <c r="E134" t="str">
        <f>_xlfn.XLOOKUP(B134,customer_clean!A:A,customer_clean!C:C)</f>
        <v>Basic</v>
      </c>
      <c r="F134">
        <f>_xlfn.XLOOKUP(B134,customer_clean!A:A,customer_clean!E:E)</f>
        <v>30</v>
      </c>
    </row>
    <row r="135" spans="1:6" x14ac:dyDescent="0.35">
      <c r="A135" t="s">
        <v>211</v>
      </c>
      <c r="B135">
        <v>1137</v>
      </c>
      <c r="C135" s="1">
        <v>45292</v>
      </c>
      <c r="D135">
        <v>50</v>
      </c>
      <c r="E135" t="str">
        <f>_xlfn.XLOOKUP(B135,customer_clean!A:A,customer_clean!C:C)</f>
        <v>Basic</v>
      </c>
      <c r="F135">
        <f>_xlfn.XLOOKUP(B135,customer_clean!A:A,customer_clean!E:E)</f>
        <v>30</v>
      </c>
    </row>
    <row r="136" spans="1:6" x14ac:dyDescent="0.35">
      <c r="A136" t="s">
        <v>212</v>
      </c>
      <c r="B136">
        <v>1143</v>
      </c>
      <c r="C136" s="1">
        <v>45383</v>
      </c>
      <c r="D136">
        <v>200</v>
      </c>
      <c r="E136" t="str">
        <f>_xlfn.XLOOKUP(B136,customer_clean!A:A,customer_clean!C:C)</f>
        <v>Pro</v>
      </c>
      <c r="F136">
        <f>_xlfn.XLOOKUP(B136,customer_clean!A:A,customer_clean!E:E)</f>
        <v>100</v>
      </c>
    </row>
    <row r="137" spans="1:6" x14ac:dyDescent="0.35">
      <c r="A137" t="s">
        <v>213</v>
      </c>
      <c r="B137">
        <v>1143</v>
      </c>
      <c r="C137" s="1">
        <v>45413</v>
      </c>
      <c r="D137">
        <v>200</v>
      </c>
      <c r="E137" t="str">
        <f>_xlfn.XLOOKUP(B137,customer_clean!A:A,customer_clean!C:C)</f>
        <v>Pro</v>
      </c>
      <c r="F137">
        <f>_xlfn.XLOOKUP(B137,customer_clean!A:A,customer_clean!E:E)</f>
        <v>100</v>
      </c>
    </row>
    <row r="138" spans="1:6" x14ac:dyDescent="0.35">
      <c r="A138" t="s">
        <v>214</v>
      </c>
      <c r="B138">
        <v>1143</v>
      </c>
      <c r="C138" s="1">
        <v>45444</v>
      </c>
      <c r="D138">
        <v>200</v>
      </c>
      <c r="E138" t="str">
        <f>_xlfn.XLOOKUP(B138,customer_clean!A:A,customer_clean!C:C)</f>
        <v>Pro</v>
      </c>
      <c r="F138">
        <f>_xlfn.XLOOKUP(B138,customer_clean!A:A,customer_clean!E:E)</f>
        <v>100</v>
      </c>
    </row>
    <row r="139" spans="1:6" x14ac:dyDescent="0.35">
      <c r="A139" t="s">
        <v>215</v>
      </c>
      <c r="B139">
        <v>1143</v>
      </c>
      <c r="C139" s="1">
        <v>45474</v>
      </c>
      <c r="D139">
        <v>200</v>
      </c>
      <c r="E139" t="str">
        <f>_xlfn.XLOOKUP(B139,customer_clean!A:A,customer_clean!C:C)</f>
        <v>Pro</v>
      </c>
      <c r="F139">
        <f>_xlfn.XLOOKUP(B139,customer_clean!A:A,customer_clean!E:E)</f>
        <v>100</v>
      </c>
    </row>
    <row r="140" spans="1:6" x14ac:dyDescent="0.35">
      <c r="A140" t="s">
        <v>216</v>
      </c>
      <c r="B140">
        <v>1143</v>
      </c>
      <c r="C140" s="1">
        <v>45505</v>
      </c>
      <c r="D140">
        <v>200</v>
      </c>
      <c r="E140" t="str">
        <f>_xlfn.XLOOKUP(B140,customer_clean!A:A,customer_clean!C:C)</f>
        <v>Pro</v>
      </c>
      <c r="F140">
        <f>_xlfn.XLOOKUP(B140,customer_clean!A:A,customer_clean!E:E)</f>
        <v>100</v>
      </c>
    </row>
    <row r="141" spans="1:6" x14ac:dyDescent="0.35">
      <c r="A141" t="s">
        <v>217</v>
      </c>
      <c r="B141">
        <v>1143</v>
      </c>
      <c r="C141" s="1">
        <v>45536</v>
      </c>
      <c r="D141">
        <v>200</v>
      </c>
      <c r="E141" t="str">
        <f>_xlfn.XLOOKUP(B141,customer_clean!A:A,customer_clean!C:C)</f>
        <v>Pro</v>
      </c>
      <c r="F141">
        <f>_xlfn.XLOOKUP(B141,customer_clean!A:A,customer_clean!E:E)</f>
        <v>100</v>
      </c>
    </row>
    <row r="142" spans="1:6" x14ac:dyDescent="0.35">
      <c r="A142" t="s">
        <v>218</v>
      </c>
      <c r="B142">
        <v>1143</v>
      </c>
      <c r="C142" s="1">
        <v>45566</v>
      </c>
      <c r="D142">
        <v>200</v>
      </c>
      <c r="E142" t="str">
        <f>_xlfn.XLOOKUP(B142,customer_clean!A:A,customer_clean!C:C)</f>
        <v>Pro</v>
      </c>
      <c r="F142">
        <f>_xlfn.XLOOKUP(B142,customer_clean!A:A,customer_clean!E:E)</f>
        <v>100</v>
      </c>
    </row>
    <row r="143" spans="1:6" x14ac:dyDescent="0.35">
      <c r="A143" t="s">
        <v>219</v>
      </c>
      <c r="B143">
        <v>1143</v>
      </c>
      <c r="C143" s="1">
        <v>45597</v>
      </c>
      <c r="D143">
        <v>200</v>
      </c>
      <c r="E143" t="str">
        <f>_xlfn.XLOOKUP(B143,customer_clean!A:A,customer_clean!C:C)</f>
        <v>Pro</v>
      </c>
      <c r="F143">
        <f>_xlfn.XLOOKUP(B143,customer_clean!A:A,customer_clean!E:E)</f>
        <v>100</v>
      </c>
    </row>
    <row r="144" spans="1:6" x14ac:dyDescent="0.35">
      <c r="A144" t="s">
        <v>220</v>
      </c>
      <c r="B144">
        <v>1143</v>
      </c>
      <c r="C144" s="1">
        <v>45627</v>
      </c>
      <c r="D144">
        <v>200</v>
      </c>
      <c r="E144" t="str">
        <f>_xlfn.XLOOKUP(B144,customer_clean!A:A,customer_clean!C:C)</f>
        <v>Pro</v>
      </c>
      <c r="F144">
        <f>_xlfn.XLOOKUP(B144,customer_clean!A:A,customer_clean!E:E)</f>
        <v>100</v>
      </c>
    </row>
    <row r="145" spans="1:6" x14ac:dyDescent="0.35">
      <c r="A145" t="s">
        <v>221</v>
      </c>
      <c r="B145">
        <v>1143</v>
      </c>
      <c r="C145" s="1">
        <v>45658</v>
      </c>
      <c r="D145">
        <v>200</v>
      </c>
      <c r="E145" t="str">
        <f>_xlfn.XLOOKUP(B145,customer_clean!A:A,customer_clean!C:C)</f>
        <v>Pro</v>
      </c>
      <c r="F145">
        <f>_xlfn.XLOOKUP(B145,customer_clean!A:A,customer_clean!E:E)</f>
        <v>100</v>
      </c>
    </row>
    <row r="146" spans="1:6" x14ac:dyDescent="0.35">
      <c r="A146" t="s">
        <v>222</v>
      </c>
      <c r="B146">
        <v>1151</v>
      </c>
      <c r="C146" s="1">
        <v>45474</v>
      </c>
      <c r="D146">
        <v>500</v>
      </c>
      <c r="E146" t="str">
        <f>_xlfn.XLOOKUP(B146,customer_clean!A:A,customer_clean!C:C)</f>
        <v>Enterprise</v>
      </c>
      <c r="F146">
        <f>_xlfn.XLOOKUP(B146,customer_clean!A:A,customer_clean!E:E)</f>
        <v>200</v>
      </c>
    </row>
    <row r="147" spans="1:6" x14ac:dyDescent="0.35">
      <c r="A147" t="s">
        <v>223</v>
      </c>
      <c r="B147">
        <v>1151</v>
      </c>
      <c r="C147" s="1">
        <v>45505</v>
      </c>
      <c r="D147">
        <v>500</v>
      </c>
      <c r="E147" t="str">
        <f>_xlfn.XLOOKUP(B147,customer_clean!A:A,customer_clean!C:C)</f>
        <v>Enterprise</v>
      </c>
      <c r="F147">
        <f>_xlfn.XLOOKUP(B147,customer_clean!A:A,customer_clean!E:E)</f>
        <v>200</v>
      </c>
    </row>
    <row r="148" spans="1:6" x14ac:dyDescent="0.35">
      <c r="A148" t="s">
        <v>224</v>
      </c>
      <c r="B148">
        <v>1151</v>
      </c>
      <c r="C148" s="1">
        <v>45536</v>
      </c>
      <c r="D148">
        <v>500</v>
      </c>
      <c r="E148" t="str">
        <f>_xlfn.XLOOKUP(B148,customer_clean!A:A,customer_clean!C:C)</f>
        <v>Enterprise</v>
      </c>
      <c r="F148">
        <f>_xlfn.XLOOKUP(B148,customer_clean!A:A,customer_clean!E:E)</f>
        <v>200</v>
      </c>
    </row>
    <row r="149" spans="1:6" x14ac:dyDescent="0.35">
      <c r="A149" t="s">
        <v>225</v>
      </c>
      <c r="B149">
        <v>1151</v>
      </c>
      <c r="C149" s="1">
        <v>45566</v>
      </c>
      <c r="D149">
        <v>500</v>
      </c>
      <c r="E149" t="str">
        <f>_xlfn.XLOOKUP(B149,customer_clean!A:A,customer_clean!C:C)</f>
        <v>Enterprise</v>
      </c>
      <c r="F149">
        <f>_xlfn.XLOOKUP(B149,customer_clean!A:A,customer_clean!E:E)</f>
        <v>200</v>
      </c>
    </row>
    <row r="150" spans="1:6" x14ac:dyDescent="0.35">
      <c r="A150" t="s">
        <v>226</v>
      </c>
      <c r="B150">
        <v>1151</v>
      </c>
      <c r="C150" s="1">
        <v>45597</v>
      </c>
      <c r="D150">
        <v>500</v>
      </c>
      <c r="E150" t="str">
        <f>_xlfn.XLOOKUP(B150,customer_clean!A:A,customer_clean!C:C)</f>
        <v>Enterprise</v>
      </c>
      <c r="F150">
        <f>_xlfn.XLOOKUP(B150,customer_clean!A:A,customer_clean!E:E)</f>
        <v>200</v>
      </c>
    </row>
    <row r="151" spans="1:6" x14ac:dyDescent="0.35">
      <c r="A151" t="s">
        <v>227</v>
      </c>
      <c r="B151">
        <v>1151</v>
      </c>
      <c r="C151" s="1">
        <v>45627</v>
      </c>
      <c r="D151">
        <v>500</v>
      </c>
      <c r="E151" t="str">
        <f>_xlfn.XLOOKUP(B151,customer_clean!A:A,customer_clean!C:C)</f>
        <v>Enterprise</v>
      </c>
      <c r="F151">
        <f>_xlfn.XLOOKUP(B151,customer_clean!A:A,customer_clean!E:E)</f>
        <v>200</v>
      </c>
    </row>
    <row r="152" spans="1:6" x14ac:dyDescent="0.35">
      <c r="A152" t="s">
        <v>228</v>
      </c>
      <c r="B152">
        <v>1151</v>
      </c>
      <c r="C152" s="1">
        <v>45658</v>
      </c>
      <c r="D152">
        <v>500</v>
      </c>
      <c r="E152" t="str">
        <f>_xlfn.XLOOKUP(B152,customer_clean!A:A,customer_clean!C:C)</f>
        <v>Enterprise</v>
      </c>
      <c r="F152">
        <f>_xlfn.XLOOKUP(B152,customer_clean!A:A,customer_clean!E:E)</f>
        <v>200</v>
      </c>
    </row>
    <row r="153" spans="1:6" x14ac:dyDescent="0.35">
      <c r="A153" t="s">
        <v>229</v>
      </c>
      <c r="B153">
        <v>1151</v>
      </c>
      <c r="C153" s="1">
        <v>45689</v>
      </c>
      <c r="D153">
        <v>500</v>
      </c>
      <c r="E153" t="str">
        <f>_xlfn.XLOOKUP(B153,customer_clean!A:A,customer_clean!C:C)</f>
        <v>Enterprise</v>
      </c>
      <c r="F153">
        <f>_xlfn.XLOOKUP(B153,customer_clean!A:A,customer_clean!E:E)</f>
        <v>200</v>
      </c>
    </row>
    <row r="154" spans="1:6" x14ac:dyDescent="0.35">
      <c r="A154" t="s">
        <v>230</v>
      </c>
      <c r="B154">
        <v>1151</v>
      </c>
      <c r="C154" s="1">
        <v>45717</v>
      </c>
      <c r="D154">
        <v>500</v>
      </c>
      <c r="E154" t="str">
        <f>_xlfn.XLOOKUP(B154,customer_clean!A:A,customer_clean!C:C)</f>
        <v>Enterprise</v>
      </c>
      <c r="F154">
        <f>_xlfn.XLOOKUP(B154,customer_clean!A:A,customer_clean!E:E)</f>
        <v>200</v>
      </c>
    </row>
    <row r="155" spans="1:6" x14ac:dyDescent="0.35">
      <c r="A155" t="s">
        <v>231</v>
      </c>
      <c r="B155">
        <v>1151</v>
      </c>
      <c r="C155" s="1">
        <v>45748</v>
      </c>
      <c r="D155">
        <v>500</v>
      </c>
      <c r="E155" t="str">
        <f>_xlfn.XLOOKUP(B155,customer_clean!A:A,customer_clean!C:C)</f>
        <v>Enterprise</v>
      </c>
      <c r="F155">
        <f>_xlfn.XLOOKUP(B155,customer_clean!A:A,customer_clean!E:E)</f>
        <v>200</v>
      </c>
    </row>
    <row r="156" spans="1:6" x14ac:dyDescent="0.35">
      <c r="A156" t="s">
        <v>232</v>
      </c>
      <c r="B156">
        <v>1154</v>
      </c>
      <c r="C156" s="1">
        <v>45809</v>
      </c>
      <c r="D156">
        <v>50</v>
      </c>
      <c r="E156" t="str">
        <f>_xlfn.XLOOKUP(B156,customer_clean!A:A,customer_clean!C:C)</f>
        <v>Basic</v>
      </c>
      <c r="F156">
        <f>_xlfn.XLOOKUP(B156,customer_clean!A:A,customer_clean!E:E)</f>
        <v>30</v>
      </c>
    </row>
    <row r="157" spans="1:6" x14ac:dyDescent="0.35">
      <c r="A157" t="s">
        <v>233</v>
      </c>
      <c r="B157">
        <v>1167</v>
      </c>
      <c r="C157" s="1">
        <v>45292</v>
      </c>
      <c r="D157">
        <v>500</v>
      </c>
      <c r="E157" t="str">
        <f>_xlfn.XLOOKUP(B157,customer_clean!A:A,customer_clean!C:C)</f>
        <v>Enterprise</v>
      </c>
      <c r="F157">
        <f>_xlfn.XLOOKUP(B157,customer_clean!A:A,customer_clean!E:E)</f>
        <v>200</v>
      </c>
    </row>
    <row r="158" spans="1:6" x14ac:dyDescent="0.35">
      <c r="A158" t="s">
        <v>234</v>
      </c>
      <c r="B158">
        <v>1167</v>
      </c>
      <c r="C158" s="1">
        <v>45323</v>
      </c>
      <c r="D158">
        <v>500</v>
      </c>
      <c r="E158" t="str">
        <f>_xlfn.XLOOKUP(B158,customer_clean!A:A,customer_clean!C:C)</f>
        <v>Enterprise</v>
      </c>
      <c r="F158">
        <f>_xlfn.XLOOKUP(B158,customer_clean!A:A,customer_clean!E:E)</f>
        <v>200</v>
      </c>
    </row>
    <row r="159" spans="1:6" x14ac:dyDescent="0.35">
      <c r="A159" t="s">
        <v>235</v>
      </c>
      <c r="B159">
        <v>1167</v>
      </c>
      <c r="C159" s="1">
        <v>45352</v>
      </c>
      <c r="D159">
        <v>500</v>
      </c>
      <c r="E159" t="str">
        <f>_xlfn.XLOOKUP(B159,customer_clean!A:A,customer_clean!C:C)</f>
        <v>Enterprise</v>
      </c>
      <c r="F159">
        <f>_xlfn.XLOOKUP(B159,customer_clean!A:A,customer_clean!E:E)</f>
        <v>200</v>
      </c>
    </row>
    <row r="160" spans="1:6" x14ac:dyDescent="0.35">
      <c r="A160" t="s">
        <v>236</v>
      </c>
      <c r="B160">
        <v>1167</v>
      </c>
      <c r="C160" s="1">
        <v>45383</v>
      </c>
      <c r="D160">
        <v>500</v>
      </c>
      <c r="E160" t="str">
        <f>_xlfn.XLOOKUP(B160,customer_clean!A:A,customer_clean!C:C)</f>
        <v>Enterprise</v>
      </c>
      <c r="F160">
        <f>_xlfn.XLOOKUP(B160,customer_clean!A:A,customer_clean!E:E)</f>
        <v>200</v>
      </c>
    </row>
    <row r="161" spans="1:6" x14ac:dyDescent="0.35">
      <c r="A161" t="s">
        <v>237</v>
      </c>
      <c r="B161">
        <v>1167</v>
      </c>
      <c r="C161" s="1">
        <v>45413</v>
      </c>
      <c r="D161">
        <v>500</v>
      </c>
      <c r="E161" t="str">
        <f>_xlfn.XLOOKUP(B161,customer_clean!A:A,customer_clean!C:C)</f>
        <v>Enterprise</v>
      </c>
      <c r="F161">
        <f>_xlfn.XLOOKUP(B161,customer_clean!A:A,customer_clean!E:E)</f>
        <v>200</v>
      </c>
    </row>
    <row r="162" spans="1:6" x14ac:dyDescent="0.35">
      <c r="A162" t="s">
        <v>238</v>
      </c>
      <c r="B162">
        <v>1167</v>
      </c>
      <c r="C162" s="1">
        <v>45444</v>
      </c>
      <c r="D162">
        <v>500</v>
      </c>
      <c r="E162" t="str">
        <f>_xlfn.XLOOKUP(B162,customer_clean!A:A,customer_clean!C:C)</f>
        <v>Enterprise</v>
      </c>
      <c r="F162">
        <f>_xlfn.XLOOKUP(B162,customer_clean!A:A,customer_clean!E:E)</f>
        <v>200</v>
      </c>
    </row>
    <row r="163" spans="1:6" x14ac:dyDescent="0.35">
      <c r="A163" t="s">
        <v>239</v>
      </c>
      <c r="B163">
        <v>1167</v>
      </c>
      <c r="C163" s="1">
        <v>45474</v>
      </c>
      <c r="D163">
        <v>500</v>
      </c>
      <c r="E163" t="str">
        <f>_xlfn.XLOOKUP(B163,customer_clean!A:A,customer_clean!C:C)</f>
        <v>Enterprise</v>
      </c>
      <c r="F163">
        <f>_xlfn.XLOOKUP(B163,customer_clean!A:A,customer_clean!E:E)</f>
        <v>200</v>
      </c>
    </row>
    <row r="164" spans="1:6" x14ac:dyDescent="0.35">
      <c r="A164" t="s">
        <v>240</v>
      </c>
      <c r="B164">
        <v>1167</v>
      </c>
      <c r="C164" s="1">
        <v>45505</v>
      </c>
      <c r="D164">
        <v>500</v>
      </c>
      <c r="E164" t="str">
        <f>_xlfn.XLOOKUP(B164,customer_clean!A:A,customer_clean!C:C)</f>
        <v>Enterprise</v>
      </c>
      <c r="F164">
        <f>_xlfn.XLOOKUP(B164,customer_clean!A:A,customer_clean!E:E)</f>
        <v>200</v>
      </c>
    </row>
    <row r="165" spans="1:6" x14ac:dyDescent="0.35">
      <c r="A165" t="s">
        <v>241</v>
      </c>
      <c r="B165">
        <v>1167</v>
      </c>
      <c r="C165" s="1">
        <v>45536</v>
      </c>
      <c r="D165">
        <v>500</v>
      </c>
      <c r="E165" t="str">
        <f>_xlfn.XLOOKUP(B165,customer_clean!A:A,customer_clean!C:C)</f>
        <v>Enterprise</v>
      </c>
      <c r="F165">
        <f>_xlfn.XLOOKUP(B165,customer_clean!A:A,customer_clean!E:E)</f>
        <v>200</v>
      </c>
    </row>
    <row r="166" spans="1:6" x14ac:dyDescent="0.35">
      <c r="A166" t="s">
        <v>242</v>
      </c>
      <c r="B166">
        <v>1167</v>
      </c>
      <c r="C166" s="1">
        <v>45566</v>
      </c>
      <c r="D166">
        <v>500</v>
      </c>
      <c r="E166" t="str">
        <f>_xlfn.XLOOKUP(B166,customer_clean!A:A,customer_clean!C:C)</f>
        <v>Enterprise</v>
      </c>
      <c r="F166">
        <f>_xlfn.XLOOKUP(B166,customer_clean!A:A,customer_clean!E:E)</f>
        <v>200</v>
      </c>
    </row>
    <row r="167" spans="1:6" x14ac:dyDescent="0.35">
      <c r="A167" t="s">
        <v>243</v>
      </c>
      <c r="B167">
        <v>1167</v>
      </c>
      <c r="C167" s="1">
        <v>45597</v>
      </c>
      <c r="D167">
        <v>500</v>
      </c>
      <c r="E167" t="str">
        <f>_xlfn.XLOOKUP(B167,customer_clean!A:A,customer_clean!C:C)</f>
        <v>Enterprise</v>
      </c>
      <c r="F167">
        <f>_xlfn.XLOOKUP(B167,customer_clean!A:A,customer_clean!E:E)</f>
        <v>200</v>
      </c>
    </row>
    <row r="168" spans="1:6" x14ac:dyDescent="0.35">
      <c r="A168" t="s">
        <v>244</v>
      </c>
      <c r="B168">
        <v>1167</v>
      </c>
      <c r="C168" s="1">
        <v>45627</v>
      </c>
      <c r="D168">
        <v>500</v>
      </c>
      <c r="E168" t="str">
        <f>_xlfn.XLOOKUP(B168,customer_clean!A:A,customer_clean!C:C)</f>
        <v>Enterprise</v>
      </c>
      <c r="F168">
        <f>_xlfn.XLOOKUP(B168,customer_clean!A:A,customer_clean!E:E)</f>
        <v>200</v>
      </c>
    </row>
    <row r="169" spans="1:6" x14ac:dyDescent="0.35">
      <c r="A169" t="s">
        <v>245</v>
      </c>
      <c r="B169">
        <v>1167</v>
      </c>
      <c r="C169" s="1">
        <v>45658</v>
      </c>
      <c r="D169">
        <v>500</v>
      </c>
      <c r="E169" t="str">
        <f>_xlfn.XLOOKUP(B169,customer_clean!A:A,customer_clean!C:C)</f>
        <v>Enterprise</v>
      </c>
      <c r="F169">
        <f>_xlfn.XLOOKUP(B169,customer_clean!A:A,customer_clean!E:E)</f>
        <v>200</v>
      </c>
    </row>
    <row r="170" spans="1:6" x14ac:dyDescent="0.35">
      <c r="A170" t="s">
        <v>246</v>
      </c>
      <c r="B170">
        <v>1175</v>
      </c>
      <c r="C170" s="1">
        <v>45474</v>
      </c>
      <c r="D170">
        <v>500</v>
      </c>
      <c r="E170" t="str">
        <f>_xlfn.XLOOKUP(B170,customer_clean!A:A,customer_clean!C:C)</f>
        <v>Enterprise</v>
      </c>
      <c r="F170">
        <f>_xlfn.XLOOKUP(B170,customer_clean!A:A,customer_clean!E:E)</f>
        <v>200</v>
      </c>
    </row>
    <row r="171" spans="1:6" x14ac:dyDescent="0.35">
      <c r="A171" t="s">
        <v>247</v>
      </c>
      <c r="B171">
        <v>1175</v>
      </c>
      <c r="C171" s="1">
        <v>45505</v>
      </c>
      <c r="D171">
        <v>500</v>
      </c>
      <c r="E171" t="str">
        <f>_xlfn.XLOOKUP(B171,customer_clean!A:A,customer_clean!C:C)</f>
        <v>Enterprise</v>
      </c>
      <c r="F171">
        <f>_xlfn.XLOOKUP(B171,customer_clean!A:A,customer_clean!E:E)</f>
        <v>200</v>
      </c>
    </row>
    <row r="172" spans="1:6" x14ac:dyDescent="0.35">
      <c r="A172" t="s">
        <v>248</v>
      </c>
      <c r="B172">
        <v>1178</v>
      </c>
      <c r="C172" s="1">
        <v>45658</v>
      </c>
      <c r="D172">
        <v>50</v>
      </c>
      <c r="E172" t="str">
        <f>_xlfn.XLOOKUP(B172,customer_clean!A:A,customer_clean!C:C)</f>
        <v>Basic</v>
      </c>
      <c r="F172">
        <f>_xlfn.XLOOKUP(B172,customer_clean!A:A,customer_clean!E:E)</f>
        <v>30</v>
      </c>
    </row>
    <row r="173" spans="1:6" x14ac:dyDescent="0.35">
      <c r="A173" t="s">
        <v>249</v>
      </c>
      <c r="B173">
        <v>1178</v>
      </c>
      <c r="C173" s="1">
        <v>45689</v>
      </c>
      <c r="D173">
        <v>50</v>
      </c>
      <c r="E173" t="str">
        <f>_xlfn.XLOOKUP(B173,customer_clean!A:A,customer_clean!C:C)</f>
        <v>Basic</v>
      </c>
      <c r="F173">
        <f>_xlfn.XLOOKUP(B173,customer_clean!A:A,customer_clean!E:E)</f>
        <v>30</v>
      </c>
    </row>
    <row r="174" spans="1:6" x14ac:dyDescent="0.35">
      <c r="A174" t="s">
        <v>250</v>
      </c>
      <c r="B174">
        <v>1181</v>
      </c>
      <c r="C174" s="1">
        <v>45292</v>
      </c>
      <c r="D174">
        <v>50</v>
      </c>
      <c r="E174" t="str">
        <f>_xlfn.XLOOKUP(B174,customer_clean!A:A,customer_clean!C:C)</f>
        <v>Basic</v>
      </c>
      <c r="F174">
        <f>_xlfn.XLOOKUP(B174,customer_clean!A:A,customer_clean!E:E)</f>
        <v>30</v>
      </c>
    </row>
    <row r="175" spans="1:6" x14ac:dyDescent="0.35">
      <c r="A175" t="s">
        <v>251</v>
      </c>
      <c r="B175">
        <v>1181</v>
      </c>
      <c r="C175" s="1">
        <v>45323</v>
      </c>
      <c r="D175">
        <v>50</v>
      </c>
      <c r="E175" t="str">
        <f>_xlfn.XLOOKUP(B175,customer_clean!A:A,customer_clean!C:C)</f>
        <v>Basic</v>
      </c>
      <c r="F175">
        <f>_xlfn.XLOOKUP(B175,customer_clean!A:A,customer_clean!E:E)</f>
        <v>30</v>
      </c>
    </row>
    <row r="176" spans="1:6" x14ac:dyDescent="0.35">
      <c r="A176" t="s">
        <v>252</v>
      </c>
      <c r="B176">
        <v>1181</v>
      </c>
      <c r="C176" s="1">
        <v>45352</v>
      </c>
      <c r="D176">
        <v>50</v>
      </c>
      <c r="E176" t="str">
        <f>_xlfn.XLOOKUP(B176,customer_clean!A:A,customer_clean!C:C)</f>
        <v>Basic</v>
      </c>
      <c r="F176">
        <f>_xlfn.XLOOKUP(B176,customer_clean!A:A,customer_clean!E:E)</f>
        <v>30</v>
      </c>
    </row>
    <row r="177" spans="1:6" x14ac:dyDescent="0.35">
      <c r="A177" t="s">
        <v>253</v>
      </c>
      <c r="B177">
        <v>1181</v>
      </c>
      <c r="C177" s="1">
        <v>45383</v>
      </c>
      <c r="D177">
        <v>50</v>
      </c>
      <c r="E177" t="str">
        <f>_xlfn.XLOOKUP(B177,customer_clean!A:A,customer_clean!C:C)</f>
        <v>Basic</v>
      </c>
      <c r="F177">
        <f>_xlfn.XLOOKUP(B177,customer_clean!A:A,customer_clean!E:E)</f>
        <v>30</v>
      </c>
    </row>
    <row r="178" spans="1:6" x14ac:dyDescent="0.35">
      <c r="A178" t="s">
        <v>254</v>
      </c>
      <c r="B178">
        <v>1181</v>
      </c>
      <c r="C178" s="1">
        <v>45413</v>
      </c>
      <c r="D178">
        <v>50</v>
      </c>
      <c r="E178" t="str">
        <f>_xlfn.XLOOKUP(B178,customer_clean!A:A,customer_clean!C:C)</f>
        <v>Basic</v>
      </c>
      <c r="F178">
        <f>_xlfn.XLOOKUP(B178,customer_clean!A:A,customer_clean!E:E)</f>
        <v>30</v>
      </c>
    </row>
    <row r="179" spans="1:6" x14ac:dyDescent="0.35">
      <c r="A179" t="s">
        <v>255</v>
      </c>
      <c r="B179">
        <v>1185</v>
      </c>
      <c r="C179" s="1">
        <v>45627</v>
      </c>
      <c r="D179">
        <v>200</v>
      </c>
      <c r="E179" t="str">
        <f>_xlfn.XLOOKUP(B179,customer_clean!A:A,customer_clean!C:C)</f>
        <v>Pro</v>
      </c>
      <c r="F179">
        <f>_xlfn.XLOOKUP(B179,customer_clean!A:A,customer_clean!E:E)</f>
        <v>100</v>
      </c>
    </row>
    <row r="180" spans="1:6" x14ac:dyDescent="0.35">
      <c r="A180" t="s">
        <v>256</v>
      </c>
      <c r="B180">
        <v>1185</v>
      </c>
      <c r="C180" s="1">
        <v>45658</v>
      </c>
      <c r="D180">
        <v>200</v>
      </c>
      <c r="E180" t="str">
        <f>_xlfn.XLOOKUP(B180,customer_clean!A:A,customer_clean!C:C)</f>
        <v>Pro</v>
      </c>
      <c r="F180">
        <f>_xlfn.XLOOKUP(B180,customer_clean!A:A,customer_clean!E:E)</f>
        <v>100</v>
      </c>
    </row>
    <row r="181" spans="1:6" x14ac:dyDescent="0.35">
      <c r="A181" t="s">
        <v>257</v>
      </c>
      <c r="B181">
        <v>1185</v>
      </c>
      <c r="C181" s="1">
        <v>45689</v>
      </c>
      <c r="D181">
        <v>200</v>
      </c>
      <c r="E181" t="str">
        <f>_xlfn.XLOOKUP(B181,customer_clean!A:A,customer_clean!C:C)</f>
        <v>Pro</v>
      </c>
      <c r="F181">
        <f>_xlfn.XLOOKUP(B181,customer_clean!A:A,customer_clean!E:E)</f>
        <v>100</v>
      </c>
    </row>
    <row r="182" spans="1:6" x14ac:dyDescent="0.35">
      <c r="A182" t="s">
        <v>258</v>
      </c>
      <c r="B182">
        <v>1185</v>
      </c>
      <c r="C182" s="1">
        <v>45717</v>
      </c>
      <c r="D182">
        <v>200</v>
      </c>
      <c r="E182" t="str">
        <f>_xlfn.XLOOKUP(B182,customer_clean!A:A,customer_clean!C:C)</f>
        <v>Pro</v>
      </c>
      <c r="F182">
        <f>_xlfn.XLOOKUP(B182,customer_clean!A:A,customer_clean!E:E)</f>
        <v>100</v>
      </c>
    </row>
    <row r="183" spans="1:6" x14ac:dyDescent="0.35">
      <c r="A183" t="s">
        <v>259</v>
      </c>
      <c r="B183">
        <v>1185</v>
      </c>
      <c r="C183" s="1">
        <v>45748</v>
      </c>
      <c r="D183">
        <v>200</v>
      </c>
      <c r="E183" t="str">
        <f>_xlfn.XLOOKUP(B183,customer_clean!A:A,customer_clean!C:C)</f>
        <v>Pro</v>
      </c>
      <c r="F183">
        <f>_xlfn.XLOOKUP(B183,customer_clean!A:A,customer_clean!E:E)</f>
        <v>100</v>
      </c>
    </row>
    <row r="184" spans="1:6" x14ac:dyDescent="0.35">
      <c r="A184" t="s">
        <v>260</v>
      </c>
      <c r="B184">
        <v>1185</v>
      </c>
      <c r="C184" s="1">
        <v>45778</v>
      </c>
      <c r="D184">
        <v>200</v>
      </c>
      <c r="E184" t="str">
        <f>_xlfn.XLOOKUP(B184,customer_clean!A:A,customer_clean!C:C)</f>
        <v>Pro</v>
      </c>
      <c r="F184">
        <f>_xlfn.XLOOKUP(B184,customer_clean!A:A,customer_clean!E:E)</f>
        <v>100</v>
      </c>
    </row>
    <row r="185" spans="1:6" x14ac:dyDescent="0.35">
      <c r="A185" t="s">
        <v>261</v>
      </c>
      <c r="B185">
        <v>1185</v>
      </c>
      <c r="C185" s="1">
        <v>45809</v>
      </c>
      <c r="D185">
        <v>200</v>
      </c>
      <c r="E185" t="str">
        <f>_xlfn.XLOOKUP(B185,customer_clean!A:A,customer_clean!C:C)</f>
        <v>Pro</v>
      </c>
      <c r="F185">
        <f>_xlfn.XLOOKUP(B185,customer_clean!A:A,customer_clean!E:E)</f>
        <v>100</v>
      </c>
    </row>
    <row r="186" spans="1:6" x14ac:dyDescent="0.35">
      <c r="A186" t="s">
        <v>262</v>
      </c>
      <c r="B186">
        <v>1188</v>
      </c>
      <c r="C186" s="1">
        <v>45474</v>
      </c>
      <c r="D186">
        <v>200</v>
      </c>
      <c r="E186" t="str">
        <f>_xlfn.XLOOKUP(B186,customer_clean!A:A,customer_clean!C:C)</f>
        <v>Pro</v>
      </c>
      <c r="F186">
        <f>_xlfn.XLOOKUP(B186,customer_clean!A:A,customer_clean!E:E)</f>
        <v>100</v>
      </c>
    </row>
    <row r="187" spans="1:6" x14ac:dyDescent="0.35">
      <c r="A187" t="s">
        <v>263</v>
      </c>
      <c r="B187">
        <v>1188</v>
      </c>
      <c r="C187" s="1">
        <v>45505</v>
      </c>
      <c r="D187">
        <v>200</v>
      </c>
      <c r="E187" t="str">
        <f>_xlfn.XLOOKUP(B187,customer_clean!A:A,customer_clean!C:C)</f>
        <v>Pro</v>
      </c>
      <c r="F187">
        <f>_xlfn.XLOOKUP(B187,customer_clean!A:A,customer_clean!E:E)</f>
        <v>100</v>
      </c>
    </row>
    <row r="188" spans="1:6" x14ac:dyDescent="0.35">
      <c r="A188" t="s">
        <v>264</v>
      </c>
      <c r="B188">
        <v>1188</v>
      </c>
      <c r="C188" s="1">
        <v>45536</v>
      </c>
      <c r="D188">
        <v>200</v>
      </c>
      <c r="E188" t="str">
        <f>_xlfn.XLOOKUP(B188,customer_clean!A:A,customer_clean!C:C)</f>
        <v>Pro</v>
      </c>
      <c r="F188">
        <f>_xlfn.XLOOKUP(B188,customer_clean!A:A,customer_clean!E:E)</f>
        <v>100</v>
      </c>
    </row>
    <row r="189" spans="1:6" x14ac:dyDescent="0.35">
      <c r="A189" t="s">
        <v>265</v>
      </c>
      <c r="B189">
        <v>1193</v>
      </c>
      <c r="C189" s="1">
        <v>45292</v>
      </c>
      <c r="D189">
        <v>200</v>
      </c>
      <c r="E189" t="str">
        <f>_xlfn.XLOOKUP(B189,customer_clean!A:A,customer_clean!C:C)</f>
        <v>Pro</v>
      </c>
      <c r="F189">
        <f>_xlfn.XLOOKUP(B189,customer_clean!A:A,customer_clean!E:E)</f>
        <v>100</v>
      </c>
    </row>
    <row r="190" spans="1:6" x14ac:dyDescent="0.35">
      <c r="A190" t="s">
        <v>266</v>
      </c>
      <c r="B190">
        <v>1193</v>
      </c>
      <c r="C190" s="1">
        <v>45323</v>
      </c>
      <c r="D190">
        <v>200</v>
      </c>
      <c r="E190" t="str">
        <f>_xlfn.XLOOKUP(B190,customer_clean!A:A,customer_clean!C:C)</f>
        <v>Pro</v>
      </c>
      <c r="F190">
        <f>_xlfn.XLOOKUP(B190,customer_clean!A:A,customer_clean!E:E)</f>
        <v>100</v>
      </c>
    </row>
    <row r="191" spans="1:6" x14ac:dyDescent="0.35">
      <c r="A191" t="s">
        <v>267</v>
      </c>
      <c r="B191">
        <v>1193</v>
      </c>
      <c r="C191" s="1">
        <v>45352</v>
      </c>
      <c r="D191">
        <v>200</v>
      </c>
      <c r="E191" t="str">
        <f>_xlfn.XLOOKUP(B191,customer_clean!A:A,customer_clean!C:C)</f>
        <v>Pro</v>
      </c>
      <c r="F191">
        <f>_xlfn.XLOOKUP(B191,customer_clean!A:A,customer_clean!E:E)</f>
        <v>100</v>
      </c>
    </row>
    <row r="192" spans="1:6" x14ac:dyDescent="0.35">
      <c r="A192" t="s">
        <v>268</v>
      </c>
      <c r="B192">
        <v>1193</v>
      </c>
      <c r="C192" s="1">
        <v>45383</v>
      </c>
      <c r="D192">
        <v>200</v>
      </c>
      <c r="E192" t="str">
        <f>_xlfn.XLOOKUP(B192,customer_clean!A:A,customer_clean!C:C)</f>
        <v>Pro</v>
      </c>
      <c r="F192">
        <f>_xlfn.XLOOKUP(B192,customer_clean!A:A,customer_clean!E:E)</f>
        <v>100</v>
      </c>
    </row>
    <row r="193" spans="1:6" x14ac:dyDescent="0.35">
      <c r="A193" t="s">
        <v>269</v>
      </c>
      <c r="B193">
        <v>1193</v>
      </c>
      <c r="C193" s="1">
        <v>45413</v>
      </c>
      <c r="D193">
        <v>200</v>
      </c>
      <c r="E193" t="str">
        <f>_xlfn.XLOOKUP(B193,customer_clean!A:A,customer_clean!C:C)</f>
        <v>Pro</v>
      </c>
      <c r="F193">
        <f>_xlfn.XLOOKUP(B193,customer_clean!A:A,customer_clean!E:E)</f>
        <v>100</v>
      </c>
    </row>
    <row r="194" spans="1:6" x14ac:dyDescent="0.35">
      <c r="A194" t="s">
        <v>270</v>
      </c>
      <c r="B194">
        <v>1193</v>
      </c>
      <c r="C194" s="1">
        <v>45444</v>
      </c>
      <c r="D194">
        <v>200</v>
      </c>
      <c r="E194" t="str">
        <f>_xlfn.XLOOKUP(B194,customer_clean!A:A,customer_clean!C:C)</f>
        <v>Pro</v>
      </c>
      <c r="F194">
        <f>_xlfn.XLOOKUP(B194,customer_clean!A:A,customer_clean!E:E)</f>
        <v>100</v>
      </c>
    </row>
    <row r="195" spans="1:6" x14ac:dyDescent="0.35">
      <c r="A195" t="s">
        <v>271</v>
      </c>
      <c r="B195">
        <v>1193</v>
      </c>
      <c r="C195" s="1">
        <v>45474</v>
      </c>
      <c r="D195">
        <v>200</v>
      </c>
      <c r="E195" t="str">
        <f>_xlfn.XLOOKUP(B195,customer_clean!A:A,customer_clean!C:C)</f>
        <v>Pro</v>
      </c>
      <c r="F195">
        <f>_xlfn.XLOOKUP(B195,customer_clean!A:A,customer_clean!E:E)</f>
        <v>100</v>
      </c>
    </row>
    <row r="196" spans="1:6" x14ac:dyDescent="0.35">
      <c r="A196" t="s">
        <v>272</v>
      </c>
      <c r="B196">
        <v>1193</v>
      </c>
      <c r="C196" s="1">
        <v>45505</v>
      </c>
      <c r="D196">
        <v>200</v>
      </c>
      <c r="E196" t="str">
        <f>_xlfn.XLOOKUP(B196,customer_clean!A:A,customer_clean!C:C)</f>
        <v>Pro</v>
      </c>
      <c r="F196">
        <f>_xlfn.XLOOKUP(B196,customer_clean!A:A,customer_clean!E:E)</f>
        <v>100</v>
      </c>
    </row>
    <row r="197" spans="1:6" x14ac:dyDescent="0.35">
      <c r="A197" t="s">
        <v>273</v>
      </c>
      <c r="B197">
        <v>1193</v>
      </c>
      <c r="C197" s="1">
        <v>45536</v>
      </c>
      <c r="D197">
        <v>200</v>
      </c>
      <c r="E197" t="str">
        <f>_xlfn.XLOOKUP(B197,customer_clean!A:A,customer_clean!C:C)</f>
        <v>Pro</v>
      </c>
      <c r="F197">
        <f>_xlfn.XLOOKUP(B197,customer_clean!A:A,customer_clean!E:E)</f>
        <v>100</v>
      </c>
    </row>
    <row r="198" spans="1:6" x14ac:dyDescent="0.35">
      <c r="A198" t="s">
        <v>274</v>
      </c>
      <c r="B198">
        <v>1193</v>
      </c>
      <c r="C198" s="1">
        <v>45566</v>
      </c>
      <c r="D198">
        <v>200</v>
      </c>
      <c r="E198" t="str">
        <f>_xlfn.XLOOKUP(B198,customer_clean!A:A,customer_clean!C:C)</f>
        <v>Pro</v>
      </c>
      <c r="F198">
        <f>_xlfn.XLOOKUP(B198,customer_clean!A:A,customer_clean!E:E)</f>
        <v>100</v>
      </c>
    </row>
    <row r="199" spans="1:6" x14ac:dyDescent="0.35">
      <c r="A199" t="s">
        <v>275</v>
      </c>
      <c r="B199">
        <v>1193</v>
      </c>
      <c r="C199" s="1">
        <v>45597</v>
      </c>
      <c r="D199">
        <v>200</v>
      </c>
      <c r="E199" t="str">
        <f>_xlfn.XLOOKUP(B199,customer_clean!A:A,customer_clean!C:C)</f>
        <v>Pro</v>
      </c>
      <c r="F199">
        <f>_xlfn.XLOOKUP(B199,customer_clean!A:A,customer_clean!E:E)</f>
        <v>100</v>
      </c>
    </row>
    <row r="200" spans="1:6" x14ac:dyDescent="0.35">
      <c r="A200" t="s">
        <v>276</v>
      </c>
      <c r="B200">
        <v>1193</v>
      </c>
      <c r="C200" s="1">
        <v>45627</v>
      </c>
      <c r="D200">
        <v>200</v>
      </c>
      <c r="E200" t="str">
        <f>_xlfn.XLOOKUP(B200,customer_clean!A:A,customer_clean!C:C)</f>
        <v>Pro</v>
      </c>
      <c r="F200">
        <f>_xlfn.XLOOKUP(B200,customer_clean!A:A,customer_clean!E:E)</f>
        <v>100</v>
      </c>
    </row>
    <row r="201" spans="1:6" x14ac:dyDescent="0.35">
      <c r="A201" t="s">
        <v>277</v>
      </c>
      <c r="B201">
        <v>1193</v>
      </c>
      <c r="C201" s="1">
        <v>45658</v>
      </c>
      <c r="D201">
        <v>200</v>
      </c>
      <c r="E201" t="str">
        <f>_xlfn.XLOOKUP(B201,customer_clean!A:A,customer_clean!C:C)</f>
        <v>Pro</v>
      </c>
      <c r="F201">
        <f>_xlfn.XLOOKUP(B201,customer_clean!A:A,customer_clean!E:E)</f>
        <v>100</v>
      </c>
    </row>
    <row r="202" spans="1:6" x14ac:dyDescent="0.35">
      <c r="A202" t="s">
        <v>278</v>
      </c>
      <c r="B202">
        <v>1193</v>
      </c>
      <c r="C202" s="1">
        <v>45689</v>
      </c>
      <c r="D202">
        <v>200</v>
      </c>
      <c r="E202" t="str">
        <f>_xlfn.XLOOKUP(B202,customer_clean!A:A,customer_clean!C:C)</f>
        <v>Pro</v>
      </c>
      <c r="F202">
        <f>_xlfn.XLOOKUP(B202,customer_clean!A:A,customer_clean!E:E)</f>
        <v>100</v>
      </c>
    </row>
    <row r="203" spans="1:6" x14ac:dyDescent="0.35">
      <c r="A203" t="s">
        <v>279</v>
      </c>
      <c r="B203">
        <v>1193</v>
      </c>
      <c r="C203" s="1">
        <v>45717</v>
      </c>
      <c r="D203">
        <v>200</v>
      </c>
      <c r="E203" t="str">
        <f>_xlfn.XLOOKUP(B203,customer_clean!A:A,customer_clean!C:C)</f>
        <v>Pro</v>
      </c>
      <c r="F203">
        <f>_xlfn.XLOOKUP(B203,customer_clean!A:A,customer_clean!E:E)</f>
        <v>100</v>
      </c>
    </row>
    <row r="204" spans="1:6" x14ac:dyDescent="0.35">
      <c r="A204" t="s">
        <v>280</v>
      </c>
      <c r="B204">
        <v>1197</v>
      </c>
      <c r="C204" s="1">
        <v>45717</v>
      </c>
      <c r="D204">
        <v>50</v>
      </c>
      <c r="E204" t="str">
        <f>_xlfn.XLOOKUP(B204,customer_clean!A:A,customer_clean!C:C)</f>
        <v>Basic</v>
      </c>
      <c r="F204">
        <f>_xlfn.XLOOKUP(B204,customer_clean!A:A,customer_clean!E:E)</f>
        <v>30</v>
      </c>
    </row>
    <row r="205" spans="1:6" x14ac:dyDescent="0.35">
      <c r="A205" t="s">
        <v>281</v>
      </c>
      <c r="B205">
        <v>1197</v>
      </c>
      <c r="C205" s="1">
        <v>45748</v>
      </c>
      <c r="D205">
        <v>50</v>
      </c>
      <c r="E205" t="str">
        <f>_xlfn.XLOOKUP(B205,customer_clean!A:A,customer_clean!C:C)</f>
        <v>Basic</v>
      </c>
      <c r="F205">
        <f>_xlfn.XLOOKUP(B205,customer_clean!A:A,customer_clean!E:E)</f>
        <v>30</v>
      </c>
    </row>
    <row r="206" spans="1:6" x14ac:dyDescent="0.35">
      <c r="A206" t="s">
        <v>282</v>
      </c>
      <c r="B206">
        <v>1197</v>
      </c>
      <c r="C206" s="1">
        <v>45778</v>
      </c>
      <c r="D206">
        <v>50</v>
      </c>
      <c r="E206" t="str">
        <f>_xlfn.XLOOKUP(B206,customer_clean!A:A,customer_clean!C:C)</f>
        <v>Basic</v>
      </c>
      <c r="F206">
        <f>_xlfn.XLOOKUP(B206,customer_clean!A:A,customer_clean!E:E)</f>
        <v>30</v>
      </c>
    </row>
    <row r="207" spans="1:6" x14ac:dyDescent="0.35">
      <c r="A207" t="s">
        <v>283</v>
      </c>
      <c r="B207">
        <v>1197</v>
      </c>
      <c r="C207" s="1">
        <v>45809</v>
      </c>
      <c r="D207">
        <v>50</v>
      </c>
      <c r="E207" t="str">
        <f>_xlfn.XLOOKUP(B207,customer_clean!A:A,customer_clean!C:C)</f>
        <v>Basic</v>
      </c>
      <c r="F207">
        <f>_xlfn.XLOOKUP(B207,customer_clean!A:A,customer_clean!E:E)</f>
        <v>30</v>
      </c>
    </row>
    <row r="208" spans="1:6" x14ac:dyDescent="0.35">
      <c r="A208" t="s">
        <v>284</v>
      </c>
      <c r="B208">
        <v>1200</v>
      </c>
      <c r="C208" s="1">
        <v>45352</v>
      </c>
      <c r="D208">
        <v>200</v>
      </c>
      <c r="E208" t="str">
        <f>_xlfn.XLOOKUP(B208,customer_clean!A:A,customer_clean!C:C)</f>
        <v>Pro</v>
      </c>
      <c r="F208">
        <f>_xlfn.XLOOKUP(B208,customer_clean!A:A,customer_clean!E:E)</f>
        <v>100</v>
      </c>
    </row>
    <row r="209" spans="1:6" x14ac:dyDescent="0.35">
      <c r="A209" t="s">
        <v>285</v>
      </c>
      <c r="B209">
        <v>1200</v>
      </c>
      <c r="C209" s="1">
        <v>45383</v>
      </c>
      <c r="D209">
        <v>200</v>
      </c>
      <c r="E209" t="str">
        <f>_xlfn.XLOOKUP(B209,customer_clean!A:A,customer_clean!C:C)</f>
        <v>Pro</v>
      </c>
      <c r="F209">
        <f>_xlfn.XLOOKUP(B209,customer_clean!A:A,customer_clean!E:E)</f>
        <v>100</v>
      </c>
    </row>
    <row r="210" spans="1:6" x14ac:dyDescent="0.35">
      <c r="A210" t="s">
        <v>286</v>
      </c>
      <c r="B210">
        <v>1200</v>
      </c>
      <c r="C210" s="1">
        <v>45413</v>
      </c>
      <c r="D210">
        <v>200</v>
      </c>
      <c r="E210" t="str">
        <f>_xlfn.XLOOKUP(B210,customer_clean!A:A,customer_clean!C:C)</f>
        <v>Pro</v>
      </c>
      <c r="F210">
        <f>_xlfn.XLOOKUP(B210,customer_clean!A:A,customer_clean!E:E)</f>
        <v>100</v>
      </c>
    </row>
    <row r="211" spans="1:6" x14ac:dyDescent="0.35">
      <c r="A211" t="s">
        <v>287</v>
      </c>
      <c r="B211">
        <v>1200</v>
      </c>
      <c r="C211" s="1">
        <v>45444</v>
      </c>
      <c r="D211">
        <v>200</v>
      </c>
      <c r="E211" t="str">
        <f>_xlfn.XLOOKUP(B211,customer_clean!A:A,customer_clean!C:C)</f>
        <v>Pro</v>
      </c>
      <c r="F211">
        <f>_xlfn.XLOOKUP(B211,customer_clean!A:A,customer_clean!E:E)</f>
        <v>100</v>
      </c>
    </row>
    <row r="212" spans="1:6" x14ac:dyDescent="0.35">
      <c r="A212" t="s">
        <v>288</v>
      </c>
      <c r="B212">
        <v>1200</v>
      </c>
      <c r="C212" s="1">
        <v>45474</v>
      </c>
      <c r="D212">
        <v>200</v>
      </c>
      <c r="E212" t="str">
        <f>_xlfn.XLOOKUP(B212,customer_clean!A:A,customer_clean!C:C)</f>
        <v>Pro</v>
      </c>
      <c r="F212">
        <f>_xlfn.XLOOKUP(B212,customer_clean!A:A,customer_clean!E:E)</f>
        <v>100</v>
      </c>
    </row>
    <row r="213" spans="1:6" x14ac:dyDescent="0.35">
      <c r="A213" t="s">
        <v>289</v>
      </c>
      <c r="B213">
        <v>1200</v>
      </c>
      <c r="C213" s="1">
        <v>45505</v>
      </c>
      <c r="D213">
        <v>200</v>
      </c>
      <c r="E213" t="str">
        <f>_xlfn.XLOOKUP(B213,customer_clean!A:A,customer_clean!C:C)</f>
        <v>Pro</v>
      </c>
      <c r="F213">
        <f>_xlfn.XLOOKUP(B213,customer_clean!A:A,customer_clean!E:E)</f>
        <v>100</v>
      </c>
    </row>
    <row r="214" spans="1:6" x14ac:dyDescent="0.35">
      <c r="A214" t="s">
        <v>290</v>
      </c>
      <c r="B214">
        <v>1200</v>
      </c>
      <c r="C214" s="1">
        <v>45536</v>
      </c>
      <c r="D214">
        <v>200</v>
      </c>
      <c r="E214" t="str">
        <f>_xlfn.XLOOKUP(B214,customer_clean!A:A,customer_clean!C:C)</f>
        <v>Pro</v>
      </c>
      <c r="F214">
        <f>_xlfn.XLOOKUP(B214,customer_clean!A:A,customer_clean!E:E)</f>
        <v>100</v>
      </c>
    </row>
    <row r="215" spans="1:6" x14ac:dyDescent="0.35">
      <c r="A215" t="s">
        <v>291</v>
      </c>
      <c r="B215">
        <v>1200</v>
      </c>
      <c r="C215" s="1">
        <v>45566</v>
      </c>
      <c r="D215">
        <v>200</v>
      </c>
      <c r="E215" t="str">
        <f>_xlfn.XLOOKUP(B215,customer_clean!A:A,customer_clean!C:C)</f>
        <v>Pro</v>
      </c>
      <c r="F215">
        <f>_xlfn.XLOOKUP(B215,customer_clean!A:A,customer_clean!E:E)</f>
        <v>100</v>
      </c>
    </row>
    <row r="216" spans="1:6" x14ac:dyDescent="0.35">
      <c r="A216" t="s">
        <v>292</v>
      </c>
      <c r="B216">
        <v>1200</v>
      </c>
      <c r="C216" s="1">
        <v>45597</v>
      </c>
      <c r="D216">
        <v>200</v>
      </c>
      <c r="E216" t="str">
        <f>_xlfn.XLOOKUP(B216,customer_clean!A:A,customer_clean!C:C)</f>
        <v>Pro</v>
      </c>
      <c r="F216">
        <f>_xlfn.XLOOKUP(B216,customer_clean!A:A,customer_clean!E:E)</f>
        <v>100</v>
      </c>
    </row>
    <row r="217" spans="1:6" x14ac:dyDescent="0.35">
      <c r="A217" t="s">
        <v>293</v>
      </c>
      <c r="B217">
        <v>1200</v>
      </c>
      <c r="C217" s="1">
        <v>45627</v>
      </c>
      <c r="D217">
        <v>200</v>
      </c>
      <c r="E217" t="str">
        <f>_xlfn.XLOOKUP(B217,customer_clean!A:A,customer_clean!C:C)</f>
        <v>Pro</v>
      </c>
      <c r="F217">
        <f>_xlfn.XLOOKUP(B217,customer_clean!A:A,customer_clean!E:E)</f>
        <v>100</v>
      </c>
    </row>
    <row r="218" spans="1:6" x14ac:dyDescent="0.35">
      <c r="A218" t="s">
        <v>294</v>
      </c>
      <c r="B218">
        <v>1200</v>
      </c>
      <c r="C218" s="1">
        <v>45658</v>
      </c>
      <c r="D218">
        <v>200</v>
      </c>
      <c r="E218" t="str">
        <f>_xlfn.XLOOKUP(B218,customer_clean!A:A,customer_clean!C:C)</f>
        <v>Pro</v>
      </c>
      <c r="F218">
        <f>_xlfn.XLOOKUP(B218,customer_clean!A:A,customer_clean!E:E)</f>
        <v>100</v>
      </c>
    </row>
    <row r="219" spans="1:6" x14ac:dyDescent="0.35">
      <c r="A219" t="s">
        <v>295</v>
      </c>
      <c r="B219">
        <v>1200</v>
      </c>
      <c r="C219" s="1">
        <v>45689</v>
      </c>
      <c r="D219">
        <v>200</v>
      </c>
      <c r="E219" t="str">
        <f>_xlfn.XLOOKUP(B219,customer_clean!A:A,customer_clean!C:C)</f>
        <v>Pro</v>
      </c>
      <c r="F219">
        <f>_xlfn.XLOOKUP(B219,customer_clean!A:A,customer_clean!E:E)</f>
        <v>100</v>
      </c>
    </row>
    <row r="220" spans="1:6" x14ac:dyDescent="0.35">
      <c r="A220" t="s">
        <v>296</v>
      </c>
      <c r="B220">
        <v>1200</v>
      </c>
      <c r="C220" s="1">
        <v>45717</v>
      </c>
      <c r="D220">
        <v>200</v>
      </c>
      <c r="E220" t="str">
        <f>_xlfn.XLOOKUP(B220,customer_clean!A:A,customer_clean!C:C)</f>
        <v>Pro</v>
      </c>
      <c r="F220">
        <f>_xlfn.XLOOKUP(B220,customer_clean!A:A,customer_clean!E:E)</f>
        <v>100</v>
      </c>
    </row>
    <row r="221" spans="1:6" x14ac:dyDescent="0.35">
      <c r="A221" t="s">
        <v>297</v>
      </c>
      <c r="B221">
        <v>1200</v>
      </c>
      <c r="C221" s="1">
        <v>45748</v>
      </c>
      <c r="D221">
        <v>200</v>
      </c>
      <c r="E221" t="str">
        <f>_xlfn.XLOOKUP(B221,customer_clean!A:A,customer_clean!C:C)</f>
        <v>Pro</v>
      </c>
      <c r="F221">
        <f>_xlfn.XLOOKUP(B221,customer_clean!A:A,customer_clean!E:E)</f>
        <v>100</v>
      </c>
    </row>
    <row r="222" spans="1:6" x14ac:dyDescent="0.35">
      <c r="A222" t="s">
        <v>298</v>
      </c>
      <c r="B222">
        <v>1200</v>
      </c>
      <c r="C222" s="1">
        <v>45778</v>
      </c>
      <c r="D222">
        <v>200</v>
      </c>
      <c r="E222" t="str">
        <f>_xlfn.XLOOKUP(B222,customer_clean!A:A,customer_clean!C:C)</f>
        <v>Pro</v>
      </c>
      <c r="F222">
        <f>_xlfn.XLOOKUP(B222,customer_clean!A:A,customer_clean!E:E)</f>
        <v>100</v>
      </c>
    </row>
    <row r="223" spans="1:6" x14ac:dyDescent="0.35">
      <c r="A223" t="s">
        <v>299</v>
      </c>
      <c r="B223">
        <v>1210</v>
      </c>
      <c r="C223" s="1">
        <v>45505</v>
      </c>
      <c r="D223">
        <v>500</v>
      </c>
      <c r="E223" t="str">
        <f>_xlfn.XLOOKUP(B223,customer_clean!A:A,customer_clean!C:C)</f>
        <v>Enterprise</v>
      </c>
      <c r="F223">
        <f>_xlfn.XLOOKUP(B223,customer_clean!A:A,customer_clean!E:E)</f>
        <v>200</v>
      </c>
    </row>
    <row r="224" spans="1:6" x14ac:dyDescent="0.35">
      <c r="A224" t="s">
        <v>300</v>
      </c>
      <c r="B224">
        <v>1210</v>
      </c>
      <c r="C224" s="1">
        <v>45536</v>
      </c>
      <c r="D224">
        <v>500</v>
      </c>
      <c r="E224" t="str">
        <f>_xlfn.XLOOKUP(B224,customer_clean!A:A,customer_clean!C:C)</f>
        <v>Enterprise</v>
      </c>
      <c r="F224">
        <f>_xlfn.XLOOKUP(B224,customer_clean!A:A,customer_clean!E:E)</f>
        <v>200</v>
      </c>
    </row>
    <row r="225" spans="1:6" x14ac:dyDescent="0.35">
      <c r="A225" t="s">
        <v>301</v>
      </c>
      <c r="B225">
        <v>1210</v>
      </c>
      <c r="C225" s="1">
        <v>45566</v>
      </c>
      <c r="D225">
        <v>500</v>
      </c>
      <c r="E225" t="str">
        <f>_xlfn.XLOOKUP(B225,customer_clean!A:A,customer_clean!C:C)</f>
        <v>Enterprise</v>
      </c>
      <c r="F225">
        <f>_xlfn.XLOOKUP(B225,customer_clean!A:A,customer_clean!E:E)</f>
        <v>200</v>
      </c>
    </row>
    <row r="226" spans="1:6" x14ac:dyDescent="0.35">
      <c r="A226" t="s">
        <v>302</v>
      </c>
      <c r="B226">
        <v>1210</v>
      </c>
      <c r="C226" s="1">
        <v>45597</v>
      </c>
      <c r="D226">
        <v>500</v>
      </c>
      <c r="E226" t="str">
        <f>_xlfn.XLOOKUP(B226,customer_clean!A:A,customer_clean!C:C)</f>
        <v>Enterprise</v>
      </c>
      <c r="F226">
        <f>_xlfn.XLOOKUP(B226,customer_clean!A:A,customer_clean!E:E)</f>
        <v>200</v>
      </c>
    </row>
    <row r="227" spans="1:6" x14ac:dyDescent="0.35">
      <c r="A227" t="s">
        <v>303</v>
      </c>
      <c r="B227">
        <v>1210</v>
      </c>
      <c r="C227" s="1">
        <v>45627</v>
      </c>
      <c r="D227">
        <v>500</v>
      </c>
      <c r="E227" t="str">
        <f>_xlfn.XLOOKUP(B227,customer_clean!A:A,customer_clean!C:C)</f>
        <v>Enterprise</v>
      </c>
      <c r="F227">
        <f>_xlfn.XLOOKUP(B227,customer_clean!A:A,customer_clean!E:E)</f>
        <v>200</v>
      </c>
    </row>
    <row r="228" spans="1:6" x14ac:dyDescent="0.35">
      <c r="A228" t="s">
        <v>304</v>
      </c>
      <c r="B228">
        <v>1210</v>
      </c>
      <c r="C228" s="1">
        <v>45658</v>
      </c>
      <c r="D228">
        <v>500</v>
      </c>
      <c r="E228" t="str">
        <f>_xlfn.XLOOKUP(B228,customer_clean!A:A,customer_clean!C:C)</f>
        <v>Enterprise</v>
      </c>
      <c r="F228">
        <f>_xlfn.XLOOKUP(B228,customer_clean!A:A,customer_clean!E:E)</f>
        <v>200</v>
      </c>
    </row>
    <row r="229" spans="1:6" x14ac:dyDescent="0.35">
      <c r="A229" t="s">
        <v>305</v>
      </c>
      <c r="B229">
        <v>1210</v>
      </c>
      <c r="C229" s="1">
        <v>45689</v>
      </c>
      <c r="D229">
        <v>500</v>
      </c>
      <c r="E229" t="str">
        <f>_xlfn.XLOOKUP(B229,customer_clean!A:A,customer_clean!C:C)</f>
        <v>Enterprise</v>
      </c>
      <c r="F229">
        <f>_xlfn.XLOOKUP(B229,customer_clean!A:A,customer_clean!E:E)</f>
        <v>200</v>
      </c>
    </row>
    <row r="230" spans="1:6" x14ac:dyDescent="0.35">
      <c r="A230" t="s">
        <v>306</v>
      </c>
      <c r="B230">
        <v>1214</v>
      </c>
      <c r="C230" s="1">
        <v>45352</v>
      </c>
      <c r="D230">
        <v>500</v>
      </c>
      <c r="E230" t="str">
        <f>_xlfn.XLOOKUP(B230,customer_clean!A:A,customer_clean!C:C)</f>
        <v>Enterprise</v>
      </c>
      <c r="F230">
        <f>_xlfn.XLOOKUP(B230,customer_clean!A:A,customer_clean!E:E)</f>
        <v>200</v>
      </c>
    </row>
    <row r="231" spans="1:6" x14ac:dyDescent="0.35">
      <c r="A231" t="s">
        <v>307</v>
      </c>
      <c r="B231">
        <v>1214</v>
      </c>
      <c r="C231" s="1">
        <v>45383</v>
      </c>
      <c r="D231">
        <v>500</v>
      </c>
      <c r="E231" t="str">
        <f>_xlfn.XLOOKUP(B231,customer_clean!A:A,customer_clean!C:C)</f>
        <v>Enterprise</v>
      </c>
      <c r="F231">
        <f>_xlfn.XLOOKUP(B231,customer_clean!A:A,customer_clean!E:E)</f>
        <v>200</v>
      </c>
    </row>
    <row r="232" spans="1:6" x14ac:dyDescent="0.35">
      <c r="A232" t="s">
        <v>308</v>
      </c>
      <c r="B232">
        <v>1214</v>
      </c>
      <c r="C232" s="1">
        <v>45413</v>
      </c>
      <c r="D232">
        <v>500</v>
      </c>
      <c r="E232" t="str">
        <f>_xlfn.XLOOKUP(B232,customer_clean!A:A,customer_clean!C:C)</f>
        <v>Enterprise</v>
      </c>
      <c r="F232">
        <f>_xlfn.XLOOKUP(B232,customer_clean!A:A,customer_clean!E:E)</f>
        <v>200</v>
      </c>
    </row>
    <row r="233" spans="1:6" x14ac:dyDescent="0.35">
      <c r="A233" t="s">
        <v>309</v>
      </c>
      <c r="B233">
        <v>1214</v>
      </c>
      <c r="C233" s="1">
        <v>45444</v>
      </c>
      <c r="D233">
        <v>500</v>
      </c>
      <c r="E233" t="str">
        <f>_xlfn.XLOOKUP(B233,customer_clean!A:A,customer_clean!C:C)</f>
        <v>Enterprise</v>
      </c>
      <c r="F233">
        <f>_xlfn.XLOOKUP(B233,customer_clean!A:A,customer_clean!E:E)</f>
        <v>200</v>
      </c>
    </row>
    <row r="234" spans="1:6" x14ac:dyDescent="0.35">
      <c r="A234" t="s">
        <v>310</v>
      </c>
      <c r="B234">
        <v>1214</v>
      </c>
      <c r="C234" s="1">
        <v>45474</v>
      </c>
      <c r="D234">
        <v>500</v>
      </c>
      <c r="E234" t="str">
        <f>_xlfn.XLOOKUP(B234,customer_clean!A:A,customer_clean!C:C)</f>
        <v>Enterprise</v>
      </c>
      <c r="F234">
        <f>_xlfn.XLOOKUP(B234,customer_clean!A:A,customer_clean!E:E)</f>
        <v>200</v>
      </c>
    </row>
    <row r="235" spans="1:6" x14ac:dyDescent="0.35">
      <c r="A235" t="s">
        <v>311</v>
      </c>
      <c r="B235">
        <v>1214</v>
      </c>
      <c r="C235" s="1">
        <v>45505</v>
      </c>
      <c r="D235">
        <v>500</v>
      </c>
      <c r="E235" t="str">
        <f>_xlfn.XLOOKUP(B235,customer_clean!A:A,customer_clean!C:C)</f>
        <v>Enterprise</v>
      </c>
      <c r="F235">
        <f>_xlfn.XLOOKUP(B235,customer_clean!A:A,customer_clean!E:E)</f>
        <v>200</v>
      </c>
    </row>
    <row r="236" spans="1:6" x14ac:dyDescent="0.35">
      <c r="A236" t="s">
        <v>312</v>
      </c>
      <c r="B236">
        <v>1214</v>
      </c>
      <c r="C236" s="1">
        <v>45536</v>
      </c>
      <c r="D236">
        <v>500</v>
      </c>
      <c r="E236" t="str">
        <f>_xlfn.XLOOKUP(B236,customer_clean!A:A,customer_clean!C:C)</f>
        <v>Enterprise</v>
      </c>
      <c r="F236">
        <f>_xlfn.XLOOKUP(B236,customer_clean!A:A,customer_clean!E:E)</f>
        <v>200</v>
      </c>
    </row>
    <row r="237" spans="1:6" x14ac:dyDescent="0.35">
      <c r="A237" t="s">
        <v>313</v>
      </c>
      <c r="B237">
        <v>1214</v>
      </c>
      <c r="C237" s="1">
        <v>45566</v>
      </c>
      <c r="D237">
        <v>500</v>
      </c>
      <c r="E237" t="str">
        <f>_xlfn.XLOOKUP(B237,customer_clean!A:A,customer_clean!C:C)</f>
        <v>Enterprise</v>
      </c>
      <c r="F237">
        <f>_xlfn.XLOOKUP(B237,customer_clean!A:A,customer_clean!E:E)</f>
        <v>200</v>
      </c>
    </row>
    <row r="238" spans="1:6" x14ac:dyDescent="0.35">
      <c r="A238" t="s">
        <v>314</v>
      </c>
      <c r="B238">
        <v>1214</v>
      </c>
      <c r="C238" s="1">
        <v>45597</v>
      </c>
      <c r="D238">
        <v>500</v>
      </c>
      <c r="E238" t="str">
        <f>_xlfn.XLOOKUP(B238,customer_clean!A:A,customer_clean!C:C)</f>
        <v>Enterprise</v>
      </c>
      <c r="F238">
        <f>_xlfn.XLOOKUP(B238,customer_clean!A:A,customer_clean!E:E)</f>
        <v>200</v>
      </c>
    </row>
    <row r="239" spans="1:6" x14ac:dyDescent="0.35">
      <c r="A239" t="s">
        <v>315</v>
      </c>
      <c r="B239">
        <v>1220</v>
      </c>
      <c r="C239" s="1">
        <v>45352</v>
      </c>
      <c r="D239">
        <v>50</v>
      </c>
      <c r="E239" t="str">
        <f>_xlfn.XLOOKUP(B239,customer_clean!A:A,customer_clean!C:C)</f>
        <v>Basic</v>
      </c>
      <c r="F239">
        <f>_xlfn.XLOOKUP(B239,customer_clean!A:A,customer_clean!E:E)</f>
        <v>30</v>
      </c>
    </row>
    <row r="240" spans="1:6" x14ac:dyDescent="0.35">
      <c r="A240" t="s">
        <v>316</v>
      </c>
      <c r="B240">
        <v>1220</v>
      </c>
      <c r="C240" s="1">
        <v>45383</v>
      </c>
      <c r="D240">
        <v>50</v>
      </c>
      <c r="E240" t="str">
        <f>_xlfn.XLOOKUP(B240,customer_clean!A:A,customer_clean!C:C)</f>
        <v>Basic</v>
      </c>
      <c r="F240">
        <f>_xlfn.XLOOKUP(B240,customer_clean!A:A,customer_clean!E:E)</f>
        <v>30</v>
      </c>
    </row>
    <row r="241" spans="1:6" x14ac:dyDescent="0.35">
      <c r="A241" t="s">
        <v>317</v>
      </c>
      <c r="B241">
        <v>1220</v>
      </c>
      <c r="C241" s="1">
        <v>45413</v>
      </c>
      <c r="D241">
        <v>50</v>
      </c>
      <c r="E241" t="str">
        <f>_xlfn.XLOOKUP(B241,customer_clean!A:A,customer_clean!C:C)</f>
        <v>Basic</v>
      </c>
      <c r="F241">
        <f>_xlfn.XLOOKUP(B241,customer_clean!A:A,customer_clean!E:E)</f>
        <v>30</v>
      </c>
    </row>
    <row r="242" spans="1:6" x14ac:dyDescent="0.35">
      <c r="A242" t="s">
        <v>318</v>
      </c>
      <c r="B242">
        <v>1220</v>
      </c>
      <c r="C242" s="1">
        <v>45444</v>
      </c>
      <c r="D242">
        <v>50</v>
      </c>
      <c r="E242" t="str">
        <f>_xlfn.XLOOKUP(B242,customer_clean!A:A,customer_clean!C:C)</f>
        <v>Basic</v>
      </c>
      <c r="F242">
        <f>_xlfn.XLOOKUP(B242,customer_clean!A:A,customer_clean!E:E)</f>
        <v>30</v>
      </c>
    </row>
    <row r="243" spans="1:6" x14ac:dyDescent="0.35">
      <c r="A243" t="s">
        <v>319</v>
      </c>
      <c r="B243">
        <v>1220</v>
      </c>
      <c r="C243" s="1">
        <v>45474</v>
      </c>
      <c r="D243">
        <v>50</v>
      </c>
      <c r="E243" t="str">
        <f>_xlfn.XLOOKUP(B243,customer_clean!A:A,customer_clean!C:C)</f>
        <v>Basic</v>
      </c>
      <c r="F243">
        <f>_xlfn.XLOOKUP(B243,customer_clean!A:A,customer_clean!E:E)</f>
        <v>30</v>
      </c>
    </row>
    <row r="244" spans="1:6" x14ac:dyDescent="0.35">
      <c r="A244" t="s">
        <v>320</v>
      </c>
      <c r="B244">
        <v>1220</v>
      </c>
      <c r="C244" s="1">
        <v>45505</v>
      </c>
      <c r="D244">
        <v>50</v>
      </c>
      <c r="E244" t="str">
        <f>_xlfn.XLOOKUP(B244,customer_clean!A:A,customer_clean!C:C)</f>
        <v>Basic</v>
      </c>
      <c r="F244">
        <f>_xlfn.XLOOKUP(B244,customer_clean!A:A,customer_clean!E:E)</f>
        <v>30</v>
      </c>
    </row>
    <row r="245" spans="1:6" x14ac:dyDescent="0.35">
      <c r="A245" t="s">
        <v>321</v>
      </c>
      <c r="B245">
        <v>1220</v>
      </c>
      <c r="C245" s="1">
        <v>45536</v>
      </c>
      <c r="D245">
        <v>50</v>
      </c>
      <c r="E245" t="str">
        <f>_xlfn.XLOOKUP(B245,customer_clean!A:A,customer_clean!C:C)</f>
        <v>Basic</v>
      </c>
      <c r="F245">
        <f>_xlfn.XLOOKUP(B245,customer_clean!A:A,customer_clean!E:E)</f>
        <v>30</v>
      </c>
    </row>
    <row r="246" spans="1:6" x14ac:dyDescent="0.35">
      <c r="A246" t="s">
        <v>322</v>
      </c>
      <c r="B246">
        <v>1220</v>
      </c>
      <c r="C246" s="1">
        <v>45566</v>
      </c>
      <c r="D246">
        <v>50</v>
      </c>
      <c r="E246" t="str">
        <f>_xlfn.XLOOKUP(B246,customer_clean!A:A,customer_clean!C:C)</f>
        <v>Basic</v>
      </c>
      <c r="F246">
        <f>_xlfn.XLOOKUP(B246,customer_clean!A:A,customer_clean!E:E)</f>
        <v>30</v>
      </c>
    </row>
    <row r="247" spans="1:6" x14ac:dyDescent="0.35">
      <c r="A247" t="s">
        <v>323</v>
      </c>
      <c r="B247">
        <v>1222</v>
      </c>
      <c r="C247" s="1">
        <v>45323</v>
      </c>
      <c r="D247">
        <v>200</v>
      </c>
      <c r="E247" t="str">
        <f>_xlfn.XLOOKUP(B247,customer_clean!A:A,customer_clean!C:C)</f>
        <v>Pro</v>
      </c>
      <c r="F247">
        <f>_xlfn.XLOOKUP(B247,customer_clean!A:A,customer_clean!E:E)</f>
        <v>100</v>
      </c>
    </row>
    <row r="248" spans="1:6" x14ac:dyDescent="0.35">
      <c r="A248" t="s">
        <v>324</v>
      </c>
      <c r="B248">
        <v>1222</v>
      </c>
      <c r="C248" s="1">
        <v>45352</v>
      </c>
      <c r="D248">
        <v>200</v>
      </c>
      <c r="E248" t="str">
        <f>_xlfn.XLOOKUP(B248,customer_clean!A:A,customer_clean!C:C)</f>
        <v>Pro</v>
      </c>
      <c r="F248">
        <f>_xlfn.XLOOKUP(B248,customer_clean!A:A,customer_clean!E:E)</f>
        <v>100</v>
      </c>
    </row>
    <row r="249" spans="1:6" x14ac:dyDescent="0.35">
      <c r="A249" t="s">
        <v>325</v>
      </c>
      <c r="B249">
        <v>1222</v>
      </c>
      <c r="C249" s="1">
        <v>45383</v>
      </c>
      <c r="D249">
        <v>200</v>
      </c>
      <c r="E249" t="str">
        <f>_xlfn.XLOOKUP(B249,customer_clean!A:A,customer_clean!C:C)</f>
        <v>Pro</v>
      </c>
      <c r="F249">
        <f>_xlfn.XLOOKUP(B249,customer_clean!A:A,customer_clean!E:E)</f>
        <v>100</v>
      </c>
    </row>
    <row r="250" spans="1:6" x14ac:dyDescent="0.35">
      <c r="A250" t="s">
        <v>326</v>
      </c>
      <c r="B250">
        <v>1222</v>
      </c>
      <c r="C250" s="1">
        <v>45413</v>
      </c>
      <c r="D250">
        <v>200</v>
      </c>
      <c r="E250" t="str">
        <f>_xlfn.XLOOKUP(B250,customer_clean!A:A,customer_clean!C:C)</f>
        <v>Pro</v>
      </c>
      <c r="F250">
        <f>_xlfn.XLOOKUP(B250,customer_clean!A:A,customer_clean!E:E)</f>
        <v>100</v>
      </c>
    </row>
    <row r="251" spans="1:6" x14ac:dyDescent="0.35">
      <c r="A251" t="s">
        <v>327</v>
      </c>
      <c r="B251">
        <v>1222</v>
      </c>
      <c r="C251" s="1">
        <v>45444</v>
      </c>
      <c r="D251">
        <v>200</v>
      </c>
      <c r="E251" t="str">
        <f>_xlfn.XLOOKUP(B251,customer_clean!A:A,customer_clean!C:C)</f>
        <v>Pro</v>
      </c>
      <c r="F251">
        <f>_xlfn.XLOOKUP(B251,customer_clean!A:A,customer_clean!E:E)</f>
        <v>100</v>
      </c>
    </row>
    <row r="252" spans="1:6" x14ac:dyDescent="0.35">
      <c r="A252" t="s">
        <v>328</v>
      </c>
      <c r="B252">
        <v>1222</v>
      </c>
      <c r="C252" s="1">
        <v>45474</v>
      </c>
      <c r="D252">
        <v>200</v>
      </c>
      <c r="E252" t="str">
        <f>_xlfn.XLOOKUP(B252,customer_clean!A:A,customer_clean!C:C)</f>
        <v>Pro</v>
      </c>
      <c r="F252">
        <f>_xlfn.XLOOKUP(B252,customer_clean!A:A,customer_clean!E:E)</f>
        <v>100</v>
      </c>
    </row>
    <row r="253" spans="1:6" x14ac:dyDescent="0.35">
      <c r="A253" t="s">
        <v>329</v>
      </c>
      <c r="B253">
        <v>1222</v>
      </c>
      <c r="C253" s="1">
        <v>45505</v>
      </c>
      <c r="D253">
        <v>200</v>
      </c>
      <c r="E253" t="str">
        <f>_xlfn.XLOOKUP(B253,customer_clean!A:A,customer_clean!C:C)</f>
        <v>Pro</v>
      </c>
      <c r="F253">
        <f>_xlfn.XLOOKUP(B253,customer_clean!A:A,customer_clean!E:E)</f>
        <v>100</v>
      </c>
    </row>
    <row r="254" spans="1:6" x14ac:dyDescent="0.35">
      <c r="A254" t="s">
        <v>330</v>
      </c>
      <c r="B254">
        <v>1222</v>
      </c>
      <c r="C254" s="1">
        <v>45536</v>
      </c>
      <c r="D254">
        <v>200</v>
      </c>
      <c r="E254" t="str">
        <f>_xlfn.XLOOKUP(B254,customer_clean!A:A,customer_clean!C:C)</f>
        <v>Pro</v>
      </c>
      <c r="F254">
        <f>_xlfn.XLOOKUP(B254,customer_clean!A:A,customer_clean!E:E)</f>
        <v>100</v>
      </c>
    </row>
    <row r="255" spans="1:6" x14ac:dyDescent="0.35">
      <c r="A255" t="s">
        <v>331</v>
      </c>
      <c r="B255">
        <v>1222</v>
      </c>
      <c r="C255" s="1">
        <v>45566</v>
      </c>
      <c r="D255">
        <v>200</v>
      </c>
      <c r="E255" t="str">
        <f>_xlfn.XLOOKUP(B255,customer_clean!A:A,customer_clean!C:C)</f>
        <v>Pro</v>
      </c>
      <c r="F255">
        <f>_xlfn.XLOOKUP(B255,customer_clean!A:A,customer_clean!E:E)</f>
        <v>100</v>
      </c>
    </row>
    <row r="256" spans="1:6" x14ac:dyDescent="0.35">
      <c r="A256" t="s">
        <v>332</v>
      </c>
      <c r="B256">
        <v>1222</v>
      </c>
      <c r="C256" s="1">
        <v>45597</v>
      </c>
      <c r="D256">
        <v>200</v>
      </c>
      <c r="E256" t="str">
        <f>_xlfn.XLOOKUP(B256,customer_clean!A:A,customer_clean!C:C)</f>
        <v>Pro</v>
      </c>
      <c r="F256">
        <f>_xlfn.XLOOKUP(B256,customer_clean!A:A,customer_clean!E:E)</f>
        <v>100</v>
      </c>
    </row>
    <row r="257" spans="1:6" x14ac:dyDescent="0.35">
      <c r="A257" t="s">
        <v>333</v>
      </c>
      <c r="B257">
        <v>1222</v>
      </c>
      <c r="C257" s="1">
        <v>45627</v>
      </c>
      <c r="D257">
        <v>200</v>
      </c>
      <c r="E257" t="str">
        <f>_xlfn.XLOOKUP(B257,customer_clean!A:A,customer_clean!C:C)</f>
        <v>Pro</v>
      </c>
      <c r="F257">
        <f>_xlfn.XLOOKUP(B257,customer_clean!A:A,customer_clean!E:E)</f>
        <v>100</v>
      </c>
    </row>
    <row r="258" spans="1:6" x14ac:dyDescent="0.35">
      <c r="A258" t="s">
        <v>334</v>
      </c>
      <c r="B258">
        <v>1222</v>
      </c>
      <c r="C258" s="1">
        <v>45658</v>
      </c>
      <c r="D258">
        <v>200</v>
      </c>
      <c r="E258" t="str">
        <f>_xlfn.XLOOKUP(B258,customer_clean!A:A,customer_clean!C:C)</f>
        <v>Pro</v>
      </c>
      <c r="F258">
        <f>_xlfn.XLOOKUP(B258,customer_clean!A:A,customer_clean!E:E)</f>
        <v>100</v>
      </c>
    </row>
    <row r="259" spans="1:6" x14ac:dyDescent="0.35">
      <c r="A259" t="s">
        <v>335</v>
      </c>
      <c r="B259">
        <v>1222</v>
      </c>
      <c r="C259" s="1">
        <v>45689</v>
      </c>
      <c r="D259">
        <v>200</v>
      </c>
      <c r="E259" t="str">
        <f>_xlfn.XLOOKUP(B259,customer_clean!A:A,customer_clean!C:C)</f>
        <v>Pro</v>
      </c>
      <c r="F259">
        <f>_xlfn.XLOOKUP(B259,customer_clean!A:A,customer_clean!E:E)</f>
        <v>100</v>
      </c>
    </row>
    <row r="260" spans="1:6" x14ac:dyDescent="0.35">
      <c r="A260" t="s">
        <v>336</v>
      </c>
      <c r="B260">
        <v>1222</v>
      </c>
      <c r="C260" s="1">
        <v>45717</v>
      </c>
      <c r="D260">
        <v>200</v>
      </c>
      <c r="E260" t="str">
        <f>_xlfn.XLOOKUP(B260,customer_clean!A:A,customer_clean!C:C)</f>
        <v>Pro</v>
      </c>
      <c r="F260">
        <f>_xlfn.XLOOKUP(B260,customer_clean!A:A,customer_clean!E:E)</f>
        <v>100</v>
      </c>
    </row>
    <row r="261" spans="1:6" x14ac:dyDescent="0.35">
      <c r="A261" t="s">
        <v>337</v>
      </c>
      <c r="B261">
        <v>1223</v>
      </c>
      <c r="C261" s="1">
        <v>45689</v>
      </c>
      <c r="D261">
        <v>500</v>
      </c>
      <c r="E261" t="str">
        <f>_xlfn.XLOOKUP(B261,customer_clean!A:A,customer_clean!C:C)</f>
        <v>Enterprise</v>
      </c>
      <c r="F261">
        <f>_xlfn.XLOOKUP(B261,customer_clean!A:A,customer_clean!E:E)</f>
        <v>200</v>
      </c>
    </row>
    <row r="262" spans="1:6" x14ac:dyDescent="0.35">
      <c r="A262" t="s">
        <v>338</v>
      </c>
      <c r="B262">
        <v>1223</v>
      </c>
      <c r="C262" s="1">
        <v>45717</v>
      </c>
      <c r="D262">
        <v>500</v>
      </c>
      <c r="E262" t="str">
        <f>_xlfn.XLOOKUP(B262,customer_clean!A:A,customer_clean!C:C)</f>
        <v>Enterprise</v>
      </c>
      <c r="F262">
        <f>_xlfn.XLOOKUP(B262,customer_clean!A:A,customer_clean!E:E)</f>
        <v>200</v>
      </c>
    </row>
    <row r="263" spans="1:6" x14ac:dyDescent="0.35">
      <c r="A263" t="s">
        <v>339</v>
      </c>
      <c r="B263">
        <v>1223</v>
      </c>
      <c r="C263" s="1">
        <v>45748</v>
      </c>
      <c r="D263">
        <v>500</v>
      </c>
      <c r="E263" t="str">
        <f>_xlfn.XLOOKUP(B263,customer_clean!A:A,customer_clean!C:C)</f>
        <v>Enterprise</v>
      </c>
      <c r="F263">
        <f>_xlfn.XLOOKUP(B263,customer_clean!A:A,customer_clean!E:E)</f>
        <v>200</v>
      </c>
    </row>
    <row r="264" spans="1:6" x14ac:dyDescent="0.35">
      <c r="A264" t="s">
        <v>340</v>
      </c>
      <c r="B264">
        <v>1225</v>
      </c>
      <c r="C264" s="1">
        <v>45809</v>
      </c>
      <c r="D264">
        <v>500</v>
      </c>
      <c r="E264" t="str">
        <f>_xlfn.XLOOKUP(B264,customer_clean!A:A,customer_clean!C:C)</f>
        <v>Enterprise</v>
      </c>
      <c r="F264">
        <f>_xlfn.XLOOKUP(B264,customer_clean!A:A,customer_clean!E:E)</f>
        <v>200</v>
      </c>
    </row>
    <row r="265" spans="1:6" x14ac:dyDescent="0.35">
      <c r="A265" t="s">
        <v>341</v>
      </c>
      <c r="B265">
        <v>1226</v>
      </c>
      <c r="C265" s="1">
        <v>45566</v>
      </c>
      <c r="D265">
        <v>50</v>
      </c>
      <c r="E265" t="str">
        <f>_xlfn.XLOOKUP(B265,customer_clean!A:A,customer_clean!C:C)</f>
        <v>Basic</v>
      </c>
      <c r="F265">
        <f>_xlfn.XLOOKUP(B265,customer_clean!A:A,customer_clean!E:E)</f>
        <v>30</v>
      </c>
    </row>
    <row r="266" spans="1:6" x14ac:dyDescent="0.35">
      <c r="A266" t="s">
        <v>342</v>
      </c>
      <c r="B266">
        <v>1226</v>
      </c>
      <c r="C266" s="1">
        <v>45597</v>
      </c>
      <c r="D266">
        <v>50</v>
      </c>
      <c r="E266" t="str">
        <f>_xlfn.XLOOKUP(B266,customer_clean!A:A,customer_clean!C:C)</f>
        <v>Basic</v>
      </c>
      <c r="F266">
        <f>_xlfn.XLOOKUP(B266,customer_clean!A:A,customer_clean!E:E)</f>
        <v>30</v>
      </c>
    </row>
    <row r="267" spans="1:6" x14ac:dyDescent="0.35">
      <c r="A267" t="s">
        <v>343</v>
      </c>
      <c r="B267">
        <v>1226</v>
      </c>
      <c r="C267" s="1">
        <v>45627</v>
      </c>
      <c r="D267">
        <v>50</v>
      </c>
      <c r="E267" t="str">
        <f>_xlfn.XLOOKUP(B267,customer_clean!A:A,customer_clean!C:C)</f>
        <v>Basic</v>
      </c>
      <c r="F267">
        <f>_xlfn.XLOOKUP(B267,customer_clean!A:A,customer_clean!E:E)</f>
        <v>30</v>
      </c>
    </row>
    <row r="268" spans="1:6" x14ac:dyDescent="0.35">
      <c r="A268" t="s">
        <v>344</v>
      </c>
      <c r="B268">
        <v>1226</v>
      </c>
      <c r="C268" s="1">
        <v>45658</v>
      </c>
      <c r="D268">
        <v>50</v>
      </c>
      <c r="E268" t="str">
        <f>_xlfn.XLOOKUP(B268,customer_clean!A:A,customer_clean!C:C)</f>
        <v>Basic</v>
      </c>
      <c r="F268">
        <f>_xlfn.XLOOKUP(B268,customer_clean!A:A,customer_clean!E:E)</f>
        <v>30</v>
      </c>
    </row>
    <row r="269" spans="1:6" x14ac:dyDescent="0.35">
      <c r="A269" t="s">
        <v>345</v>
      </c>
      <c r="B269">
        <v>1226</v>
      </c>
      <c r="C269" s="1">
        <v>45689</v>
      </c>
      <c r="D269">
        <v>50</v>
      </c>
      <c r="E269" t="str">
        <f>_xlfn.XLOOKUP(B269,customer_clean!A:A,customer_clean!C:C)</f>
        <v>Basic</v>
      </c>
      <c r="F269">
        <f>_xlfn.XLOOKUP(B269,customer_clean!A:A,customer_clean!E:E)</f>
        <v>30</v>
      </c>
    </row>
    <row r="270" spans="1:6" x14ac:dyDescent="0.35">
      <c r="A270" t="s">
        <v>346</v>
      </c>
      <c r="B270">
        <v>1226</v>
      </c>
      <c r="C270" s="1">
        <v>45717</v>
      </c>
      <c r="D270">
        <v>50</v>
      </c>
      <c r="E270" t="str">
        <f>_xlfn.XLOOKUP(B270,customer_clean!A:A,customer_clean!C:C)</f>
        <v>Basic</v>
      </c>
      <c r="F270">
        <f>_xlfn.XLOOKUP(B270,customer_clean!A:A,customer_clean!E:E)</f>
        <v>30</v>
      </c>
    </row>
    <row r="271" spans="1:6" x14ac:dyDescent="0.35">
      <c r="A271" t="s">
        <v>347</v>
      </c>
      <c r="B271">
        <v>1229</v>
      </c>
      <c r="C271" s="1">
        <v>45658</v>
      </c>
      <c r="D271">
        <v>500</v>
      </c>
      <c r="E271" t="str">
        <f>_xlfn.XLOOKUP(B271,customer_clean!A:A,customer_clean!C:C)</f>
        <v>Enterprise</v>
      </c>
      <c r="F271">
        <f>_xlfn.XLOOKUP(B271,customer_clean!A:A,customer_clean!E:E)</f>
        <v>200</v>
      </c>
    </row>
    <row r="272" spans="1:6" x14ac:dyDescent="0.35">
      <c r="A272" t="s">
        <v>348</v>
      </c>
      <c r="B272">
        <v>1229</v>
      </c>
      <c r="C272" s="1">
        <v>45689</v>
      </c>
      <c r="D272">
        <v>500</v>
      </c>
      <c r="E272" t="str">
        <f>_xlfn.XLOOKUP(B272,customer_clean!A:A,customer_clean!C:C)</f>
        <v>Enterprise</v>
      </c>
      <c r="F272">
        <f>_xlfn.XLOOKUP(B272,customer_clean!A:A,customer_clean!E:E)</f>
        <v>200</v>
      </c>
    </row>
    <row r="273" spans="1:6" x14ac:dyDescent="0.35">
      <c r="A273" t="s">
        <v>349</v>
      </c>
      <c r="B273">
        <v>1229</v>
      </c>
      <c r="C273" s="1">
        <v>45717</v>
      </c>
      <c r="D273">
        <v>500</v>
      </c>
      <c r="E273" t="str">
        <f>_xlfn.XLOOKUP(B273,customer_clean!A:A,customer_clean!C:C)</f>
        <v>Enterprise</v>
      </c>
      <c r="F273">
        <f>_xlfn.XLOOKUP(B273,customer_clean!A:A,customer_clean!E:E)</f>
        <v>200</v>
      </c>
    </row>
    <row r="274" spans="1:6" x14ac:dyDescent="0.35">
      <c r="A274" t="s">
        <v>350</v>
      </c>
      <c r="B274">
        <v>1229</v>
      </c>
      <c r="C274" s="1">
        <v>45748</v>
      </c>
      <c r="D274">
        <v>500</v>
      </c>
      <c r="E274" t="str">
        <f>_xlfn.XLOOKUP(B274,customer_clean!A:A,customer_clean!C:C)</f>
        <v>Enterprise</v>
      </c>
      <c r="F274">
        <f>_xlfn.XLOOKUP(B274,customer_clean!A:A,customer_clean!E:E)</f>
        <v>200</v>
      </c>
    </row>
    <row r="275" spans="1:6" x14ac:dyDescent="0.35">
      <c r="A275" t="s">
        <v>351</v>
      </c>
      <c r="B275">
        <v>1234</v>
      </c>
      <c r="C275" s="1">
        <v>45566</v>
      </c>
      <c r="D275">
        <v>50</v>
      </c>
      <c r="E275" t="str">
        <f>_xlfn.XLOOKUP(B275,customer_clean!A:A,customer_clean!C:C)</f>
        <v>Basic</v>
      </c>
      <c r="F275">
        <f>_xlfn.XLOOKUP(B275,customer_clean!A:A,customer_clean!E:E)</f>
        <v>30</v>
      </c>
    </row>
    <row r="276" spans="1:6" x14ac:dyDescent="0.35">
      <c r="A276" t="s">
        <v>352</v>
      </c>
      <c r="B276">
        <v>1234</v>
      </c>
      <c r="C276" s="1">
        <v>45597</v>
      </c>
      <c r="D276">
        <v>50</v>
      </c>
      <c r="E276" t="str">
        <f>_xlfn.XLOOKUP(B276,customer_clean!A:A,customer_clean!C:C)</f>
        <v>Basic</v>
      </c>
      <c r="F276">
        <f>_xlfn.XLOOKUP(B276,customer_clean!A:A,customer_clean!E:E)</f>
        <v>30</v>
      </c>
    </row>
    <row r="277" spans="1:6" x14ac:dyDescent="0.35">
      <c r="A277" t="s">
        <v>353</v>
      </c>
      <c r="B277">
        <v>1234</v>
      </c>
      <c r="C277" s="1">
        <v>45627</v>
      </c>
      <c r="D277">
        <v>50</v>
      </c>
      <c r="E277" t="str">
        <f>_xlfn.XLOOKUP(B277,customer_clean!A:A,customer_clean!C:C)</f>
        <v>Basic</v>
      </c>
      <c r="F277">
        <f>_xlfn.XLOOKUP(B277,customer_clean!A:A,customer_clean!E:E)</f>
        <v>30</v>
      </c>
    </row>
    <row r="278" spans="1:6" x14ac:dyDescent="0.35">
      <c r="A278" t="s">
        <v>354</v>
      </c>
      <c r="B278">
        <v>1234</v>
      </c>
      <c r="C278" s="1">
        <v>45658</v>
      </c>
      <c r="D278">
        <v>50</v>
      </c>
      <c r="E278" t="str">
        <f>_xlfn.XLOOKUP(B278,customer_clean!A:A,customer_clean!C:C)</f>
        <v>Basic</v>
      </c>
      <c r="F278">
        <f>_xlfn.XLOOKUP(B278,customer_clean!A:A,customer_clean!E:E)</f>
        <v>30</v>
      </c>
    </row>
    <row r="279" spans="1:6" x14ac:dyDescent="0.35">
      <c r="A279" t="s">
        <v>355</v>
      </c>
      <c r="B279">
        <v>1234</v>
      </c>
      <c r="C279" s="1">
        <v>45689</v>
      </c>
      <c r="D279">
        <v>50</v>
      </c>
      <c r="E279" t="str">
        <f>_xlfn.XLOOKUP(B279,customer_clean!A:A,customer_clean!C:C)</f>
        <v>Basic</v>
      </c>
      <c r="F279">
        <f>_xlfn.XLOOKUP(B279,customer_clean!A:A,customer_clean!E:E)</f>
        <v>30</v>
      </c>
    </row>
    <row r="280" spans="1:6" x14ac:dyDescent="0.35">
      <c r="A280" t="s">
        <v>356</v>
      </c>
      <c r="B280">
        <v>1235</v>
      </c>
      <c r="C280" s="1">
        <v>45689</v>
      </c>
      <c r="D280">
        <v>500</v>
      </c>
      <c r="E280" t="str">
        <f>_xlfn.XLOOKUP(B280,customer_clean!A:A,customer_clean!C:C)</f>
        <v>Enterprise</v>
      </c>
      <c r="F280">
        <f>_xlfn.XLOOKUP(B280,customer_clean!A:A,customer_clean!E:E)</f>
        <v>200</v>
      </c>
    </row>
    <row r="281" spans="1:6" x14ac:dyDescent="0.35">
      <c r="A281" t="s">
        <v>357</v>
      </c>
      <c r="B281">
        <v>1235</v>
      </c>
      <c r="C281" s="1">
        <v>45717</v>
      </c>
      <c r="D281">
        <v>500</v>
      </c>
      <c r="E281" t="str">
        <f>_xlfn.XLOOKUP(B281,customer_clean!A:A,customer_clean!C:C)</f>
        <v>Enterprise</v>
      </c>
      <c r="F281">
        <f>_xlfn.XLOOKUP(B281,customer_clean!A:A,customer_clean!E:E)</f>
        <v>200</v>
      </c>
    </row>
    <row r="282" spans="1:6" x14ac:dyDescent="0.35">
      <c r="A282" t="s">
        <v>358</v>
      </c>
      <c r="B282">
        <v>1239</v>
      </c>
      <c r="C282" s="1">
        <v>45413</v>
      </c>
      <c r="D282">
        <v>200</v>
      </c>
      <c r="E282" t="str">
        <f>_xlfn.XLOOKUP(B282,customer_clean!A:A,customer_clean!C:C)</f>
        <v>Pro</v>
      </c>
      <c r="F282">
        <f>_xlfn.XLOOKUP(B282,customer_clean!A:A,customer_clean!E:E)</f>
        <v>100</v>
      </c>
    </row>
    <row r="283" spans="1:6" x14ac:dyDescent="0.35">
      <c r="A283" t="s">
        <v>359</v>
      </c>
      <c r="B283">
        <v>1239</v>
      </c>
      <c r="C283" s="1">
        <v>45444</v>
      </c>
      <c r="D283">
        <v>200</v>
      </c>
      <c r="E283" t="str">
        <f>_xlfn.XLOOKUP(B283,customer_clean!A:A,customer_clean!C:C)</f>
        <v>Pro</v>
      </c>
      <c r="F283">
        <f>_xlfn.XLOOKUP(B283,customer_clean!A:A,customer_clean!E:E)</f>
        <v>100</v>
      </c>
    </row>
    <row r="284" spans="1:6" x14ac:dyDescent="0.35">
      <c r="A284" t="s">
        <v>360</v>
      </c>
      <c r="B284">
        <v>1239</v>
      </c>
      <c r="C284" s="1">
        <v>45474</v>
      </c>
      <c r="D284">
        <v>200</v>
      </c>
      <c r="E284" t="str">
        <f>_xlfn.XLOOKUP(B284,customer_clean!A:A,customer_clean!C:C)</f>
        <v>Pro</v>
      </c>
      <c r="F284">
        <f>_xlfn.XLOOKUP(B284,customer_clean!A:A,customer_clean!E:E)</f>
        <v>100</v>
      </c>
    </row>
    <row r="285" spans="1:6" x14ac:dyDescent="0.35">
      <c r="A285" t="s">
        <v>361</v>
      </c>
      <c r="B285">
        <v>1239</v>
      </c>
      <c r="C285" s="1">
        <v>45505</v>
      </c>
      <c r="D285">
        <v>200</v>
      </c>
      <c r="E285" t="str">
        <f>_xlfn.XLOOKUP(B285,customer_clean!A:A,customer_clean!C:C)</f>
        <v>Pro</v>
      </c>
      <c r="F285">
        <f>_xlfn.XLOOKUP(B285,customer_clean!A:A,customer_clean!E:E)</f>
        <v>100</v>
      </c>
    </row>
    <row r="286" spans="1:6" x14ac:dyDescent="0.35">
      <c r="A286" t="s">
        <v>362</v>
      </c>
      <c r="B286">
        <v>1239</v>
      </c>
      <c r="C286" s="1">
        <v>45536</v>
      </c>
      <c r="D286">
        <v>200</v>
      </c>
      <c r="E286" t="str">
        <f>_xlfn.XLOOKUP(B286,customer_clean!A:A,customer_clean!C:C)</f>
        <v>Pro</v>
      </c>
      <c r="F286">
        <f>_xlfn.XLOOKUP(B286,customer_clean!A:A,customer_clean!E:E)</f>
        <v>100</v>
      </c>
    </row>
    <row r="287" spans="1:6" x14ac:dyDescent="0.35">
      <c r="A287" t="s">
        <v>363</v>
      </c>
      <c r="B287">
        <v>1239</v>
      </c>
      <c r="C287" s="1">
        <v>45566</v>
      </c>
      <c r="D287">
        <v>200</v>
      </c>
      <c r="E287" t="str">
        <f>_xlfn.XLOOKUP(B287,customer_clean!A:A,customer_clean!C:C)</f>
        <v>Pro</v>
      </c>
      <c r="F287">
        <f>_xlfn.XLOOKUP(B287,customer_clean!A:A,customer_clean!E:E)</f>
        <v>100</v>
      </c>
    </row>
    <row r="288" spans="1:6" x14ac:dyDescent="0.35">
      <c r="A288" t="s">
        <v>364</v>
      </c>
      <c r="B288">
        <v>1239</v>
      </c>
      <c r="C288" s="1">
        <v>45597</v>
      </c>
      <c r="D288">
        <v>200</v>
      </c>
      <c r="E288" t="str">
        <f>_xlfn.XLOOKUP(B288,customer_clean!A:A,customer_clean!C:C)</f>
        <v>Pro</v>
      </c>
      <c r="F288">
        <f>_xlfn.XLOOKUP(B288,customer_clean!A:A,customer_clean!E:E)</f>
        <v>100</v>
      </c>
    </row>
    <row r="289" spans="1:6" x14ac:dyDescent="0.35">
      <c r="A289" t="s">
        <v>365</v>
      </c>
      <c r="B289">
        <v>1239</v>
      </c>
      <c r="C289" s="1">
        <v>45627</v>
      </c>
      <c r="D289">
        <v>200</v>
      </c>
      <c r="E289" t="str">
        <f>_xlfn.XLOOKUP(B289,customer_clean!A:A,customer_clean!C:C)</f>
        <v>Pro</v>
      </c>
      <c r="F289">
        <f>_xlfn.XLOOKUP(B289,customer_clean!A:A,customer_clean!E:E)</f>
        <v>100</v>
      </c>
    </row>
    <row r="290" spans="1:6" x14ac:dyDescent="0.35">
      <c r="A290" t="s">
        <v>366</v>
      </c>
      <c r="B290">
        <v>1239</v>
      </c>
      <c r="C290" s="1">
        <v>45658</v>
      </c>
      <c r="D290">
        <v>200</v>
      </c>
      <c r="E290" t="str">
        <f>_xlfn.XLOOKUP(B290,customer_clean!A:A,customer_clean!C:C)</f>
        <v>Pro</v>
      </c>
      <c r="F290">
        <f>_xlfn.XLOOKUP(B290,customer_clean!A:A,customer_clean!E:E)</f>
        <v>100</v>
      </c>
    </row>
    <row r="291" spans="1:6" x14ac:dyDescent="0.35">
      <c r="A291" t="s">
        <v>367</v>
      </c>
      <c r="B291">
        <v>1239</v>
      </c>
      <c r="C291" s="1">
        <v>45689</v>
      </c>
      <c r="D291">
        <v>200</v>
      </c>
      <c r="E291" t="str">
        <f>_xlfn.XLOOKUP(B291,customer_clean!A:A,customer_clean!C:C)</f>
        <v>Pro</v>
      </c>
      <c r="F291">
        <f>_xlfn.XLOOKUP(B291,customer_clean!A:A,customer_clean!E:E)</f>
        <v>100</v>
      </c>
    </row>
    <row r="292" spans="1:6" x14ac:dyDescent="0.35">
      <c r="A292" t="s">
        <v>368</v>
      </c>
      <c r="B292">
        <v>1239</v>
      </c>
      <c r="C292" s="1">
        <v>45717</v>
      </c>
      <c r="D292">
        <v>200</v>
      </c>
      <c r="E292" t="str">
        <f>_xlfn.XLOOKUP(B292,customer_clean!A:A,customer_clean!C:C)</f>
        <v>Pro</v>
      </c>
      <c r="F292">
        <f>_xlfn.XLOOKUP(B292,customer_clean!A:A,customer_clean!E:E)</f>
        <v>100</v>
      </c>
    </row>
    <row r="293" spans="1:6" x14ac:dyDescent="0.35">
      <c r="A293" t="s">
        <v>369</v>
      </c>
      <c r="B293">
        <v>1239</v>
      </c>
      <c r="C293" s="1">
        <v>45748</v>
      </c>
      <c r="D293">
        <v>200</v>
      </c>
      <c r="E293" t="str">
        <f>_xlfn.XLOOKUP(B293,customer_clean!A:A,customer_clean!C:C)</f>
        <v>Pro</v>
      </c>
      <c r="F293">
        <f>_xlfn.XLOOKUP(B293,customer_clean!A:A,customer_clean!E:E)</f>
        <v>100</v>
      </c>
    </row>
    <row r="294" spans="1:6" x14ac:dyDescent="0.35">
      <c r="A294" t="s">
        <v>370</v>
      </c>
      <c r="B294">
        <v>1239</v>
      </c>
      <c r="C294" s="1">
        <v>45778</v>
      </c>
      <c r="D294">
        <v>200</v>
      </c>
      <c r="E294" t="str">
        <f>_xlfn.XLOOKUP(B294,customer_clean!A:A,customer_clean!C:C)</f>
        <v>Pro</v>
      </c>
      <c r="F294">
        <f>_xlfn.XLOOKUP(B294,customer_clean!A:A,customer_clean!E:E)</f>
        <v>100</v>
      </c>
    </row>
    <row r="295" spans="1:6" x14ac:dyDescent="0.35">
      <c r="A295" t="s">
        <v>371</v>
      </c>
      <c r="B295">
        <v>1241</v>
      </c>
      <c r="C295" s="1">
        <v>45536</v>
      </c>
      <c r="D295">
        <v>200</v>
      </c>
      <c r="E295" t="str">
        <f>_xlfn.XLOOKUP(B295,customer_clean!A:A,customer_clean!C:C)</f>
        <v>Pro</v>
      </c>
      <c r="F295">
        <f>_xlfn.XLOOKUP(B295,customer_clean!A:A,customer_clean!E:E)</f>
        <v>100</v>
      </c>
    </row>
    <row r="296" spans="1:6" x14ac:dyDescent="0.35">
      <c r="A296" t="s">
        <v>372</v>
      </c>
      <c r="B296">
        <v>1241</v>
      </c>
      <c r="C296" s="1">
        <v>45566</v>
      </c>
      <c r="D296">
        <v>200</v>
      </c>
      <c r="E296" t="str">
        <f>_xlfn.XLOOKUP(B296,customer_clean!A:A,customer_clean!C:C)</f>
        <v>Pro</v>
      </c>
      <c r="F296">
        <f>_xlfn.XLOOKUP(B296,customer_clean!A:A,customer_clean!E:E)</f>
        <v>100</v>
      </c>
    </row>
    <row r="297" spans="1:6" x14ac:dyDescent="0.35">
      <c r="A297" t="s">
        <v>373</v>
      </c>
      <c r="B297">
        <v>1241</v>
      </c>
      <c r="C297" s="1">
        <v>45597</v>
      </c>
      <c r="D297">
        <v>200</v>
      </c>
      <c r="E297" t="str">
        <f>_xlfn.XLOOKUP(B297,customer_clean!A:A,customer_clean!C:C)</f>
        <v>Pro</v>
      </c>
      <c r="F297">
        <f>_xlfn.XLOOKUP(B297,customer_clean!A:A,customer_clean!E:E)</f>
        <v>100</v>
      </c>
    </row>
    <row r="298" spans="1:6" x14ac:dyDescent="0.35">
      <c r="A298" t="s">
        <v>374</v>
      </c>
      <c r="B298">
        <v>1241</v>
      </c>
      <c r="C298" s="1">
        <v>45627</v>
      </c>
      <c r="D298">
        <v>200</v>
      </c>
      <c r="E298" t="str">
        <f>_xlfn.XLOOKUP(B298,customer_clean!A:A,customer_clean!C:C)</f>
        <v>Pro</v>
      </c>
      <c r="F298">
        <f>_xlfn.XLOOKUP(B298,customer_clean!A:A,customer_clean!E:E)</f>
        <v>100</v>
      </c>
    </row>
    <row r="299" spans="1:6" x14ac:dyDescent="0.35">
      <c r="A299" t="s">
        <v>375</v>
      </c>
      <c r="B299">
        <v>1241</v>
      </c>
      <c r="C299" s="1">
        <v>45658</v>
      </c>
      <c r="D299">
        <v>200</v>
      </c>
      <c r="E299" t="str">
        <f>_xlfn.XLOOKUP(B299,customer_clean!A:A,customer_clean!C:C)</f>
        <v>Pro</v>
      </c>
      <c r="F299">
        <f>_xlfn.XLOOKUP(B299,customer_clean!A:A,customer_clean!E:E)</f>
        <v>100</v>
      </c>
    </row>
    <row r="300" spans="1:6" x14ac:dyDescent="0.35">
      <c r="A300" t="s">
        <v>376</v>
      </c>
      <c r="B300">
        <v>1241</v>
      </c>
      <c r="C300" s="1">
        <v>45689</v>
      </c>
      <c r="D300">
        <v>200</v>
      </c>
      <c r="E300" t="str">
        <f>_xlfn.XLOOKUP(B300,customer_clean!A:A,customer_clean!C:C)</f>
        <v>Pro</v>
      </c>
      <c r="F300">
        <f>_xlfn.XLOOKUP(B300,customer_clean!A:A,customer_clean!E:E)</f>
        <v>100</v>
      </c>
    </row>
    <row r="301" spans="1:6" x14ac:dyDescent="0.35">
      <c r="A301" t="s">
        <v>377</v>
      </c>
      <c r="B301">
        <v>1241</v>
      </c>
      <c r="C301" s="1">
        <v>45717</v>
      </c>
      <c r="D301">
        <v>200</v>
      </c>
      <c r="E301" t="str">
        <f>_xlfn.XLOOKUP(B301,customer_clean!A:A,customer_clean!C:C)</f>
        <v>Pro</v>
      </c>
      <c r="F301">
        <f>_xlfn.XLOOKUP(B301,customer_clean!A:A,customer_clean!E:E)</f>
        <v>100</v>
      </c>
    </row>
    <row r="302" spans="1:6" x14ac:dyDescent="0.35">
      <c r="A302" t="s">
        <v>378</v>
      </c>
      <c r="B302">
        <v>1242</v>
      </c>
      <c r="C302" s="1">
        <v>45717</v>
      </c>
      <c r="D302">
        <v>50</v>
      </c>
      <c r="E302" t="str">
        <f>_xlfn.XLOOKUP(B302,customer_clean!A:A,customer_clean!C:C)</f>
        <v>Basic</v>
      </c>
      <c r="F302">
        <f>_xlfn.XLOOKUP(B302,customer_clean!A:A,customer_clean!E:E)</f>
        <v>30</v>
      </c>
    </row>
    <row r="303" spans="1:6" x14ac:dyDescent="0.35">
      <c r="A303" t="s">
        <v>379</v>
      </c>
      <c r="B303">
        <v>1242</v>
      </c>
      <c r="C303" s="1">
        <v>45748</v>
      </c>
      <c r="D303">
        <v>50</v>
      </c>
      <c r="E303" t="str">
        <f>_xlfn.XLOOKUP(B303,customer_clean!A:A,customer_clean!C:C)</f>
        <v>Basic</v>
      </c>
      <c r="F303">
        <f>_xlfn.XLOOKUP(B303,customer_clean!A:A,customer_clean!E:E)</f>
        <v>30</v>
      </c>
    </row>
    <row r="304" spans="1:6" x14ac:dyDescent="0.35">
      <c r="A304" t="s">
        <v>380</v>
      </c>
      <c r="B304">
        <v>1242</v>
      </c>
      <c r="C304" s="1">
        <v>45778</v>
      </c>
      <c r="D304">
        <v>50</v>
      </c>
      <c r="E304" t="str">
        <f>_xlfn.XLOOKUP(B304,customer_clean!A:A,customer_clean!C:C)</f>
        <v>Basic</v>
      </c>
      <c r="F304">
        <f>_xlfn.XLOOKUP(B304,customer_clean!A:A,customer_clean!E:E)</f>
        <v>30</v>
      </c>
    </row>
    <row r="305" spans="1:6" x14ac:dyDescent="0.35">
      <c r="A305" t="s">
        <v>381</v>
      </c>
      <c r="B305">
        <v>1242</v>
      </c>
      <c r="C305" s="1">
        <v>45809</v>
      </c>
      <c r="D305">
        <v>50</v>
      </c>
      <c r="E305" t="str">
        <f>_xlfn.XLOOKUP(B305,customer_clean!A:A,customer_clean!C:C)</f>
        <v>Basic</v>
      </c>
      <c r="F305">
        <f>_xlfn.XLOOKUP(B305,customer_clean!A:A,customer_clean!E:E)</f>
        <v>30</v>
      </c>
    </row>
    <row r="306" spans="1:6" x14ac:dyDescent="0.35">
      <c r="A306" t="s">
        <v>382</v>
      </c>
      <c r="B306">
        <v>1247</v>
      </c>
      <c r="C306" s="1">
        <v>45413</v>
      </c>
      <c r="D306">
        <v>200</v>
      </c>
      <c r="E306" t="str">
        <f>_xlfn.XLOOKUP(B306,customer_clean!A:A,customer_clean!C:C)</f>
        <v>Pro</v>
      </c>
      <c r="F306">
        <f>_xlfn.XLOOKUP(B306,customer_clean!A:A,customer_clean!E:E)</f>
        <v>100</v>
      </c>
    </row>
    <row r="307" spans="1:6" x14ac:dyDescent="0.35">
      <c r="A307" t="s">
        <v>383</v>
      </c>
      <c r="B307">
        <v>1247</v>
      </c>
      <c r="C307" s="1">
        <v>45444</v>
      </c>
      <c r="D307">
        <v>200</v>
      </c>
      <c r="E307" t="str">
        <f>_xlfn.XLOOKUP(B307,customer_clean!A:A,customer_clean!C:C)</f>
        <v>Pro</v>
      </c>
      <c r="F307">
        <f>_xlfn.XLOOKUP(B307,customer_clean!A:A,customer_clean!E:E)</f>
        <v>100</v>
      </c>
    </row>
    <row r="308" spans="1:6" x14ac:dyDescent="0.35">
      <c r="A308" t="s">
        <v>384</v>
      </c>
      <c r="B308">
        <v>1247</v>
      </c>
      <c r="C308" s="1">
        <v>45474</v>
      </c>
      <c r="D308">
        <v>200</v>
      </c>
      <c r="E308" t="str">
        <f>_xlfn.XLOOKUP(B308,customer_clean!A:A,customer_clean!C:C)</f>
        <v>Pro</v>
      </c>
      <c r="F308">
        <f>_xlfn.XLOOKUP(B308,customer_clean!A:A,customer_clean!E:E)</f>
        <v>100</v>
      </c>
    </row>
    <row r="309" spans="1:6" x14ac:dyDescent="0.35">
      <c r="A309" t="s">
        <v>385</v>
      </c>
      <c r="B309">
        <v>1257</v>
      </c>
      <c r="C309" s="1">
        <v>45352</v>
      </c>
      <c r="D309">
        <v>500</v>
      </c>
      <c r="E309" t="str">
        <f>_xlfn.XLOOKUP(B309,customer_clean!A:A,customer_clean!C:C)</f>
        <v>Enterprise</v>
      </c>
      <c r="F309">
        <f>_xlfn.XLOOKUP(B309,customer_clean!A:A,customer_clean!E:E)</f>
        <v>200</v>
      </c>
    </row>
    <row r="310" spans="1:6" x14ac:dyDescent="0.35">
      <c r="A310" t="s">
        <v>386</v>
      </c>
      <c r="B310">
        <v>1257</v>
      </c>
      <c r="C310" s="1">
        <v>45383</v>
      </c>
      <c r="D310">
        <v>500</v>
      </c>
      <c r="E310" t="str">
        <f>_xlfn.XLOOKUP(B310,customer_clean!A:A,customer_clean!C:C)</f>
        <v>Enterprise</v>
      </c>
      <c r="F310">
        <f>_xlfn.XLOOKUP(B310,customer_clean!A:A,customer_clean!E:E)</f>
        <v>200</v>
      </c>
    </row>
    <row r="311" spans="1:6" x14ac:dyDescent="0.35">
      <c r="A311" t="s">
        <v>387</v>
      </c>
      <c r="B311">
        <v>1257</v>
      </c>
      <c r="C311" s="1">
        <v>45413</v>
      </c>
      <c r="D311">
        <v>500</v>
      </c>
      <c r="E311" t="str">
        <f>_xlfn.XLOOKUP(B311,customer_clean!A:A,customer_clean!C:C)</f>
        <v>Enterprise</v>
      </c>
      <c r="F311">
        <f>_xlfn.XLOOKUP(B311,customer_clean!A:A,customer_clean!E:E)</f>
        <v>200</v>
      </c>
    </row>
    <row r="312" spans="1:6" x14ac:dyDescent="0.35">
      <c r="A312" t="s">
        <v>388</v>
      </c>
      <c r="B312">
        <v>1263</v>
      </c>
      <c r="C312" s="1">
        <v>45658</v>
      </c>
      <c r="D312">
        <v>50</v>
      </c>
      <c r="E312" t="str">
        <f>_xlfn.XLOOKUP(B312,customer_clean!A:A,customer_clean!C:C)</f>
        <v>Basic</v>
      </c>
      <c r="F312">
        <f>_xlfn.XLOOKUP(B312,customer_clean!A:A,customer_clean!E:E)</f>
        <v>30</v>
      </c>
    </row>
    <row r="313" spans="1:6" x14ac:dyDescent="0.35">
      <c r="A313" t="s">
        <v>389</v>
      </c>
      <c r="B313">
        <v>1263</v>
      </c>
      <c r="C313" s="1">
        <v>45689</v>
      </c>
      <c r="D313">
        <v>50</v>
      </c>
      <c r="E313" t="str">
        <f>_xlfn.XLOOKUP(B313,customer_clean!A:A,customer_clean!C:C)</f>
        <v>Basic</v>
      </c>
      <c r="F313">
        <f>_xlfn.XLOOKUP(B313,customer_clean!A:A,customer_clean!E:E)</f>
        <v>30</v>
      </c>
    </row>
    <row r="314" spans="1:6" x14ac:dyDescent="0.35">
      <c r="A314" t="s">
        <v>390</v>
      </c>
      <c r="B314">
        <v>1263</v>
      </c>
      <c r="C314" s="1">
        <v>45717</v>
      </c>
      <c r="D314">
        <v>50</v>
      </c>
      <c r="E314" t="str">
        <f>_xlfn.XLOOKUP(B314,customer_clean!A:A,customer_clean!C:C)</f>
        <v>Basic</v>
      </c>
      <c r="F314">
        <f>_xlfn.XLOOKUP(B314,customer_clean!A:A,customer_clean!E:E)</f>
        <v>30</v>
      </c>
    </row>
    <row r="315" spans="1:6" x14ac:dyDescent="0.35">
      <c r="A315" t="s">
        <v>391</v>
      </c>
      <c r="B315">
        <v>1263</v>
      </c>
      <c r="C315" s="1">
        <v>45748</v>
      </c>
      <c r="D315">
        <v>50</v>
      </c>
      <c r="E315" t="str">
        <f>_xlfn.XLOOKUP(B315,customer_clean!A:A,customer_clean!C:C)</f>
        <v>Basic</v>
      </c>
      <c r="F315">
        <f>_xlfn.XLOOKUP(B315,customer_clean!A:A,customer_clean!E:E)</f>
        <v>30</v>
      </c>
    </row>
    <row r="316" spans="1:6" x14ac:dyDescent="0.35">
      <c r="A316" t="s">
        <v>392</v>
      </c>
      <c r="B316">
        <v>1263</v>
      </c>
      <c r="C316" s="1">
        <v>45778</v>
      </c>
      <c r="D316">
        <v>50</v>
      </c>
      <c r="E316" t="str">
        <f>_xlfn.XLOOKUP(B316,customer_clean!A:A,customer_clean!C:C)</f>
        <v>Basic</v>
      </c>
      <c r="F316">
        <f>_xlfn.XLOOKUP(B316,customer_clean!A:A,customer_clean!E:E)</f>
        <v>30</v>
      </c>
    </row>
    <row r="317" spans="1:6" x14ac:dyDescent="0.35">
      <c r="A317" t="s">
        <v>393</v>
      </c>
      <c r="B317">
        <v>1263</v>
      </c>
      <c r="C317" s="1">
        <v>45809</v>
      </c>
      <c r="D317">
        <v>50</v>
      </c>
      <c r="E317" t="str">
        <f>_xlfn.XLOOKUP(B317,customer_clean!A:A,customer_clean!C:C)</f>
        <v>Basic</v>
      </c>
      <c r="F317">
        <f>_xlfn.XLOOKUP(B317,customer_clean!A:A,customer_clean!E:E)</f>
        <v>30</v>
      </c>
    </row>
    <row r="318" spans="1:6" x14ac:dyDescent="0.35">
      <c r="A318" t="s">
        <v>394</v>
      </c>
      <c r="B318">
        <v>1265</v>
      </c>
      <c r="C318" s="1">
        <v>45352</v>
      </c>
      <c r="D318">
        <v>50</v>
      </c>
      <c r="E318" t="str">
        <f>_xlfn.XLOOKUP(B318,customer_clean!A:A,customer_clean!C:C)</f>
        <v>Basic</v>
      </c>
      <c r="F318">
        <f>_xlfn.XLOOKUP(B318,customer_clean!A:A,customer_clean!E:E)</f>
        <v>30</v>
      </c>
    </row>
    <row r="319" spans="1:6" x14ac:dyDescent="0.35">
      <c r="A319" t="s">
        <v>395</v>
      </c>
      <c r="B319">
        <v>1265</v>
      </c>
      <c r="C319" s="1">
        <v>45383</v>
      </c>
      <c r="D319">
        <v>50</v>
      </c>
      <c r="E319" t="str">
        <f>_xlfn.XLOOKUP(B319,customer_clean!A:A,customer_clean!C:C)</f>
        <v>Basic</v>
      </c>
      <c r="F319">
        <f>_xlfn.XLOOKUP(B319,customer_clean!A:A,customer_clean!E:E)</f>
        <v>30</v>
      </c>
    </row>
    <row r="320" spans="1:6" x14ac:dyDescent="0.35">
      <c r="A320" t="s">
        <v>396</v>
      </c>
      <c r="B320">
        <v>1265</v>
      </c>
      <c r="C320" s="1">
        <v>45413</v>
      </c>
      <c r="D320">
        <v>50</v>
      </c>
      <c r="E320" t="str">
        <f>_xlfn.XLOOKUP(B320,customer_clean!A:A,customer_clean!C:C)</f>
        <v>Basic</v>
      </c>
      <c r="F320">
        <f>_xlfn.XLOOKUP(B320,customer_clean!A:A,customer_clean!E:E)</f>
        <v>30</v>
      </c>
    </row>
    <row r="321" spans="1:6" x14ac:dyDescent="0.35">
      <c r="A321" t="s">
        <v>397</v>
      </c>
      <c r="B321">
        <v>1265</v>
      </c>
      <c r="C321" s="1">
        <v>45444</v>
      </c>
      <c r="D321">
        <v>50</v>
      </c>
      <c r="E321" t="str">
        <f>_xlfn.XLOOKUP(B321,customer_clean!A:A,customer_clean!C:C)</f>
        <v>Basic</v>
      </c>
      <c r="F321">
        <f>_xlfn.XLOOKUP(B321,customer_clean!A:A,customer_clean!E:E)</f>
        <v>30</v>
      </c>
    </row>
    <row r="322" spans="1:6" x14ac:dyDescent="0.35">
      <c r="A322" t="s">
        <v>398</v>
      </c>
      <c r="B322">
        <v>1268</v>
      </c>
      <c r="C322" s="1">
        <v>45413</v>
      </c>
      <c r="D322">
        <v>500</v>
      </c>
      <c r="E322" t="str">
        <f>_xlfn.XLOOKUP(B322,customer_clean!A:A,customer_clean!C:C)</f>
        <v>Enterprise</v>
      </c>
      <c r="F322">
        <f>_xlfn.XLOOKUP(B322,customer_clean!A:A,customer_clean!E:E)</f>
        <v>200</v>
      </c>
    </row>
    <row r="323" spans="1:6" x14ac:dyDescent="0.35">
      <c r="A323" t="s">
        <v>399</v>
      </c>
      <c r="B323">
        <v>1268</v>
      </c>
      <c r="C323" s="1">
        <v>45444</v>
      </c>
      <c r="D323">
        <v>500</v>
      </c>
      <c r="E323" t="str">
        <f>_xlfn.XLOOKUP(B323,customer_clean!A:A,customer_clean!C:C)</f>
        <v>Enterprise</v>
      </c>
      <c r="F323">
        <f>_xlfn.XLOOKUP(B323,customer_clean!A:A,customer_clean!E:E)</f>
        <v>200</v>
      </c>
    </row>
    <row r="324" spans="1:6" x14ac:dyDescent="0.35">
      <c r="A324" t="s">
        <v>400</v>
      </c>
      <c r="B324">
        <v>1268</v>
      </c>
      <c r="C324" s="1">
        <v>45474</v>
      </c>
      <c r="D324">
        <v>500</v>
      </c>
      <c r="E324" t="str">
        <f>_xlfn.XLOOKUP(B324,customer_clean!A:A,customer_clean!C:C)</f>
        <v>Enterprise</v>
      </c>
      <c r="F324">
        <f>_xlfn.XLOOKUP(B324,customer_clean!A:A,customer_clean!E:E)</f>
        <v>200</v>
      </c>
    </row>
    <row r="325" spans="1:6" x14ac:dyDescent="0.35">
      <c r="A325" t="s">
        <v>401</v>
      </c>
      <c r="B325">
        <v>1268</v>
      </c>
      <c r="C325" s="1">
        <v>45505</v>
      </c>
      <c r="D325">
        <v>500</v>
      </c>
      <c r="E325" t="str">
        <f>_xlfn.XLOOKUP(B325,customer_clean!A:A,customer_clean!C:C)</f>
        <v>Enterprise</v>
      </c>
      <c r="F325">
        <f>_xlfn.XLOOKUP(B325,customer_clean!A:A,customer_clean!E:E)</f>
        <v>200</v>
      </c>
    </row>
    <row r="326" spans="1:6" x14ac:dyDescent="0.35">
      <c r="A326" t="s">
        <v>402</v>
      </c>
      <c r="B326">
        <v>1268</v>
      </c>
      <c r="C326" s="1">
        <v>45536</v>
      </c>
      <c r="D326">
        <v>500</v>
      </c>
      <c r="E326" t="str">
        <f>_xlfn.XLOOKUP(B326,customer_clean!A:A,customer_clean!C:C)</f>
        <v>Enterprise</v>
      </c>
      <c r="F326">
        <f>_xlfn.XLOOKUP(B326,customer_clean!A:A,customer_clean!E:E)</f>
        <v>200</v>
      </c>
    </row>
    <row r="327" spans="1:6" x14ac:dyDescent="0.35">
      <c r="A327" t="s">
        <v>403</v>
      </c>
      <c r="B327">
        <v>1268</v>
      </c>
      <c r="C327" s="1">
        <v>45566</v>
      </c>
      <c r="D327">
        <v>500</v>
      </c>
      <c r="E327" t="str">
        <f>_xlfn.XLOOKUP(B327,customer_clean!A:A,customer_clean!C:C)</f>
        <v>Enterprise</v>
      </c>
      <c r="F327">
        <f>_xlfn.XLOOKUP(B327,customer_clean!A:A,customer_clean!E:E)</f>
        <v>200</v>
      </c>
    </row>
    <row r="328" spans="1:6" x14ac:dyDescent="0.35">
      <c r="A328" t="s">
        <v>404</v>
      </c>
      <c r="B328">
        <v>1268</v>
      </c>
      <c r="C328" s="1">
        <v>45597</v>
      </c>
      <c r="D328">
        <v>500</v>
      </c>
      <c r="E328" t="str">
        <f>_xlfn.XLOOKUP(B328,customer_clean!A:A,customer_clean!C:C)</f>
        <v>Enterprise</v>
      </c>
      <c r="F328">
        <f>_xlfn.XLOOKUP(B328,customer_clean!A:A,customer_clean!E:E)</f>
        <v>200</v>
      </c>
    </row>
    <row r="329" spans="1:6" x14ac:dyDescent="0.35">
      <c r="A329" t="s">
        <v>405</v>
      </c>
      <c r="B329">
        <v>1268</v>
      </c>
      <c r="C329" s="1">
        <v>45627</v>
      </c>
      <c r="D329">
        <v>500</v>
      </c>
      <c r="E329" t="str">
        <f>_xlfn.XLOOKUP(B329,customer_clean!A:A,customer_clean!C:C)</f>
        <v>Enterprise</v>
      </c>
      <c r="F329">
        <f>_xlfn.XLOOKUP(B329,customer_clean!A:A,customer_clean!E:E)</f>
        <v>200</v>
      </c>
    </row>
    <row r="330" spans="1:6" x14ac:dyDescent="0.35">
      <c r="A330" t="s">
        <v>406</v>
      </c>
      <c r="B330">
        <v>1268</v>
      </c>
      <c r="C330" s="1">
        <v>45658</v>
      </c>
      <c r="D330">
        <v>500</v>
      </c>
      <c r="E330" t="str">
        <f>_xlfn.XLOOKUP(B330,customer_clean!A:A,customer_clean!C:C)</f>
        <v>Enterprise</v>
      </c>
      <c r="F330">
        <f>_xlfn.XLOOKUP(B330,customer_clean!A:A,customer_clean!E:E)</f>
        <v>200</v>
      </c>
    </row>
    <row r="331" spans="1:6" x14ac:dyDescent="0.35">
      <c r="A331" t="s">
        <v>407</v>
      </c>
      <c r="B331">
        <v>1268</v>
      </c>
      <c r="C331" s="1">
        <v>45689</v>
      </c>
      <c r="D331">
        <v>500</v>
      </c>
      <c r="E331" t="str">
        <f>_xlfn.XLOOKUP(B331,customer_clean!A:A,customer_clean!C:C)</f>
        <v>Enterprise</v>
      </c>
      <c r="F331">
        <f>_xlfn.XLOOKUP(B331,customer_clean!A:A,customer_clean!E:E)</f>
        <v>200</v>
      </c>
    </row>
    <row r="332" spans="1:6" x14ac:dyDescent="0.35">
      <c r="A332" t="s">
        <v>408</v>
      </c>
      <c r="B332">
        <v>1268</v>
      </c>
      <c r="C332" s="1">
        <v>45717</v>
      </c>
      <c r="D332">
        <v>500</v>
      </c>
      <c r="E332" t="str">
        <f>_xlfn.XLOOKUP(B332,customer_clean!A:A,customer_clean!C:C)</f>
        <v>Enterprise</v>
      </c>
      <c r="F332">
        <f>_xlfn.XLOOKUP(B332,customer_clean!A:A,customer_clean!E:E)</f>
        <v>200</v>
      </c>
    </row>
    <row r="333" spans="1:6" x14ac:dyDescent="0.35">
      <c r="A333" t="s">
        <v>409</v>
      </c>
      <c r="B333">
        <v>1268</v>
      </c>
      <c r="C333" s="1">
        <v>45748</v>
      </c>
      <c r="D333">
        <v>500</v>
      </c>
      <c r="E333" t="str">
        <f>_xlfn.XLOOKUP(B333,customer_clean!A:A,customer_clean!C:C)</f>
        <v>Enterprise</v>
      </c>
      <c r="F333">
        <f>_xlfn.XLOOKUP(B333,customer_clean!A:A,customer_clean!E:E)</f>
        <v>200</v>
      </c>
    </row>
    <row r="334" spans="1:6" x14ac:dyDescent="0.35">
      <c r="A334" t="s">
        <v>410</v>
      </c>
      <c r="B334">
        <v>1268</v>
      </c>
      <c r="C334" s="1">
        <v>45778</v>
      </c>
      <c r="D334">
        <v>500</v>
      </c>
      <c r="E334" t="str">
        <f>_xlfn.XLOOKUP(B334,customer_clean!A:A,customer_clean!C:C)</f>
        <v>Enterprise</v>
      </c>
      <c r="F334">
        <f>_xlfn.XLOOKUP(B334,customer_clean!A:A,customer_clean!E:E)</f>
        <v>200</v>
      </c>
    </row>
    <row r="335" spans="1:6" x14ac:dyDescent="0.35">
      <c r="A335" t="s">
        <v>411</v>
      </c>
      <c r="B335">
        <v>1273</v>
      </c>
      <c r="C335" s="1">
        <v>45566</v>
      </c>
      <c r="D335">
        <v>200</v>
      </c>
      <c r="E335" t="str">
        <f>_xlfn.XLOOKUP(B335,customer_clean!A:A,customer_clean!C:C)</f>
        <v>Pro</v>
      </c>
      <c r="F335">
        <f>_xlfn.XLOOKUP(B335,customer_clean!A:A,customer_clean!E:E)</f>
        <v>100</v>
      </c>
    </row>
    <row r="336" spans="1:6" x14ac:dyDescent="0.35">
      <c r="A336" t="s">
        <v>412</v>
      </c>
      <c r="B336">
        <v>1273</v>
      </c>
      <c r="C336" s="1">
        <v>45597</v>
      </c>
      <c r="D336">
        <v>200</v>
      </c>
      <c r="E336" t="str">
        <f>_xlfn.XLOOKUP(B336,customer_clean!A:A,customer_clean!C:C)</f>
        <v>Pro</v>
      </c>
      <c r="F336">
        <f>_xlfn.XLOOKUP(B336,customer_clean!A:A,customer_clean!E:E)</f>
        <v>100</v>
      </c>
    </row>
    <row r="337" spans="1:6" x14ac:dyDescent="0.35">
      <c r="A337" t="s">
        <v>413</v>
      </c>
      <c r="B337">
        <v>1273</v>
      </c>
      <c r="C337" s="1">
        <v>45627</v>
      </c>
      <c r="D337">
        <v>200</v>
      </c>
      <c r="E337" t="str">
        <f>_xlfn.XLOOKUP(B337,customer_clean!A:A,customer_clean!C:C)</f>
        <v>Pro</v>
      </c>
      <c r="F337">
        <f>_xlfn.XLOOKUP(B337,customer_clean!A:A,customer_clean!E:E)</f>
        <v>100</v>
      </c>
    </row>
    <row r="338" spans="1:6" x14ac:dyDescent="0.35">
      <c r="A338" t="s">
        <v>414</v>
      </c>
      <c r="B338">
        <v>1273</v>
      </c>
      <c r="C338" s="1">
        <v>45658</v>
      </c>
      <c r="D338">
        <v>200</v>
      </c>
      <c r="E338" t="str">
        <f>_xlfn.XLOOKUP(B338,customer_clean!A:A,customer_clean!C:C)</f>
        <v>Pro</v>
      </c>
      <c r="F338">
        <f>_xlfn.XLOOKUP(B338,customer_clean!A:A,customer_clean!E:E)</f>
        <v>100</v>
      </c>
    </row>
    <row r="339" spans="1:6" x14ac:dyDescent="0.35">
      <c r="A339" t="s">
        <v>415</v>
      </c>
      <c r="B339">
        <v>1273</v>
      </c>
      <c r="C339" s="1">
        <v>45689</v>
      </c>
      <c r="D339">
        <v>200</v>
      </c>
      <c r="E339" t="str">
        <f>_xlfn.XLOOKUP(B339,customer_clean!A:A,customer_clean!C:C)</f>
        <v>Pro</v>
      </c>
      <c r="F339">
        <f>_xlfn.XLOOKUP(B339,customer_clean!A:A,customer_clean!E:E)</f>
        <v>100</v>
      </c>
    </row>
    <row r="340" spans="1:6" x14ac:dyDescent="0.35">
      <c r="A340" t="s">
        <v>416</v>
      </c>
      <c r="B340">
        <v>1273</v>
      </c>
      <c r="C340" s="1">
        <v>45717</v>
      </c>
      <c r="D340">
        <v>200</v>
      </c>
      <c r="E340" t="str">
        <f>_xlfn.XLOOKUP(B340,customer_clean!A:A,customer_clean!C:C)</f>
        <v>Pro</v>
      </c>
      <c r="F340">
        <f>_xlfn.XLOOKUP(B340,customer_clean!A:A,customer_clean!E:E)</f>
        <v>100</v>
      </c>
    </row>
    <row r="341" spans="1:6" x14ac:dyDescent="0.35">
      <c r="A341" t="s">
        <v>417</v>
      </c>
      <c r="B341">
        <v>1273</v>
      </c>
      <c r="C341" s="1">
        <v>45748</v>
      </c>
      <c r="D341">
        <v>200</v>
      </c>
      <c r="E341" t="str">
        <f>_xlfn.XLOOKUP(B341,customer_clean!A:A,customer_clean!C:C)</f>
        <v>Pro</v>
      </c>
      <c r="F341">
        <f>_xlfn.XLOOKUP(B341,customer_clean!A:A,customer_clean!E:E)</f>
        <v>100</v>
      </c>
    </row>
    <row r="342" spans="1:6" x14ac:dyDescent="0.35">
      <c r="A342" t="s">
        <v>418</v>
      </c>
      <c r="B342">
        <v>1276</v>
      </c>
      <c r="C342" s="1">
        <v>45689</v>
      </c>
      <c r="D342">
        <v>200</v>
      </c>
      <c r="E342" t="str">
        <f>_xlfn.XLOOKUP(B342,customer_clean!A:A,customer_clean!C:C)</f>
        <v>Pro</v>
      </c>
      <c r="F342">
        <f>_xlfn.XLOOKUP(B342,customer_clean!A:A,customer_clean!E:E)</f>
        <v>100</v>
      </c>
    </row>
    <row r="343" spans="1:6" x14ac:dyDescent="0.35">
      <c r="A343" t="s">
        <v>419</v>
      </c>
      <c r="B343">
        <v>1276</v>
      </c>
      <c r="C343" s="1">
        <v>45717</v>
      </c>
      <c r="D343">
        <v>200</v>
      </c>
      <c r="E343" t="str">
        <f>_xlfn.XLOOKUP(B343,customer_clean!A:A,customer_clean!C:C)</f>
        <v>Pro</v>
      </c>
      <c r="F343">
        <f>_xlfn.XLOOKUP(B343,customer_clean!A:A,customer_clean!E:E)</f>
        <v>100</v>
      </c>
    </row>
    <row r="344" spans="1:6" x14ac:dyDescent="0.35">
      <c r="A344" t="s">
        <v>420</v>
      </c>
      <c r="B344">
        <v>1277</v>
      </c>
      <c r="C344" s="1">
        <v>45809</v>
      </c>
      <c r="D344">
        <v>500</v>
      </c>
      <c r="E344" t="str">
        <f>_xlfn.XLOOKUP(B344,customer_clean!A:A,customer_clean!C:C)</f>
        <v>Enterprise</v>
      </c>
      <c r="F344">
        <f>_xlfn.XLOOKUP(B344,customer_clean!A:A,customer_clean!E:E)</f>
        <v>200</v>
      </c>
    </row>
    <row r="345" spans="1:6" x14ac:dyDescent="0.35">
      <c r="A345" t="s">
        <v>421</v>
      </c>
      <c r="B345">
        <v>1278</v>
      </c>
      <c r="C345" s="1">
        <v>45748</v>
      </c>
      <c r="D345">
        <v>500</v>
      </c>
      <c r="E345" t="str">
        <f>_xlfn.XLOOKUP(B345,customer_clean!A:A,customer_clean!C:C)</f>
        <v>Enterprise</v>
      </c>
      <c r="F345">
        <f>_xlfn.XLOOKUP(B345,customer_clean!A:A,customer_clean!E:E)</f>
        <v>200</v>
      </c>
    </row>
    <row r="346" spans="1:6" x14ac:dyDescent="0.35">
      <c r="A346" t="s">
        <v>422</v>
      </c>
      <c r="B346">
        <v>1278</v>
      </c>
      <c r="C346" s="1">
        <v>45778</v>
      </c>
      <c r="D346">
        <v>500</v>
      </c>
      <c r="E346" t="str">
        <f>_xlfn.XLOOKUP(B346,customer_clean!A:A,customer_clean!C:C)</f>
        <v>Enterprise</v>
      </c>
      <c r="F346">
        <f>_xlfn.XLOOKUP(B346,customer_clean!A:A,customer_clean!E:E)</f>
        <v>200</v>
      </c>
    </row>
    <row r="347" spans="1:6" x14ac:dyDescent="0.35">
      <c r="A347" t="s">
        <v>423</v>
      </c>
      <c r="B347">
        <v>1282</v>
      </c>
      <c r="C347" s="1">
        <v>45352</v>
      </c>
      <c r="D347">
        <v>200</v>
      </c>
      <c r="E347" t="str">
        <f>_xlfn.XLOOKUP(B347,customer_clean!A:A,customer_clean!C:C)</f>
        <v>Pro</v>
      </c>
      <c r="F347">
        <f>_xlfn.XLOOKUP(B347,customer_clean!A:A,customer_clean!E:E)</f>
        <v>100</v>
      </c>
    </row>
    <row r="348" spans="1:6" x14ac:dyDescent="0.35">
      <c r="A348" t="s">
        <v>424</v>
      </c>
      <c r="B348">
        <v>1282</v>
      </c>
      <c r="C348" s="1">
        <v>45383</v>
      </c>
      <c r="D348">
        <v>200</v>
      </c>
      <c r="E348" t="str">
        <f>_xlfn.XLOOKUP(B348,customer_clean!A:A,customer_clean!C:C)</f>
        <v>Pro</v>
      </c>
      <c r="F348">
        <f>_xlfn.XLOOKUP(B348,customer_clean!A:A,customer_clean!E:E)</f>
        <v>100</v>
      </c>
    </row>
    <row r="349" spans="1:6" x14ac:dyDescent="0.35">
      <c r="A349" t="s">
        <v>425</v>
      </c>
      <c r="B349">
        <v>1282</v>
      </c>
      <c r="C349" s="1">
        <v>45413</v>
      </c>
      <c r="D349">
        <v>200</v>
      </c>
      <c r="E349" t="str">
        <f>_xlfn.XLOOKUP(B349,customer_clean!A:A,customer_clean!C:C)</f>
        <v>Pro</v>
      </c>
      <c r="F349">
        <f>_xlfn.XLOOKUP(B349,customer_clean!A:A,customer_clean!E:E)</f>
        <v>100</v>
      </c>
    </row>
    <row r="350" spans="1:6" x14ac:dyDescent="0.35">
      <c r="A350" t="s">
        <v>426</v>
      </c>
      <c r="B350">
        <v>1282</v>
      </c>
      <c r="C350" s="1">
        <v>45444</v>
      </c>
      <c r="D350">
        <v>200</v>
      </c>
      <c r="E350" t="str">
        <f>_xlfn.XLOOKUP(B350,customer_clean!A:A,customer_clean!C:C)</f>
        <v>Pro</v>
      </c>
      <c r="F350">
        <f>_xlfn.XLOOKUP(B350,customer_clean!A:A,customer_clean!E:E)</f>
        <v>100</v>
      </c>
    </row>
    <row r="351" spans="1:6" x14ac:dyDescent="0.35">
      <c r="A351" t="s">
        <v>427</v>
      </c>
      <c r="B351">
        <v>1282</v>
      </c>
      <c r="C351" s="1">
        <v>45474</v>
      </c>
      <c r="D351">
        <v>200</v>
      </c>
      <c r="E351" t="str">
        <f>_xlfn.XLOOKUP(B351,customer_clean!A:A,customer_clean!C:C)</f>
        <v>Pro</v>
      </c>
      <c r="F351">
        <f>_xlfn.XLOOKUP(B351,customer_clean!A:A,customer_clean!E:E)</f>
        <v>100</v>
      </c>
    </row>
    <row r="352" spans="1:6" x14ac:dyDescent="0.35">
      <c r="A352" t="s">
        <v>428</v>
      </c>
      <c r="B352">
        <v>1282</v>
      </c>
      <c r="C352" s="1">
        <v>45505</v>
      </c>
      <c r="D352">
        <v>200</v>
      </c>
      <c r="E352" t="str">
        <f>_xlfn.XLOOKUP(B352,customer_clean!A:A,customer_clean!C:C)</f>
        <v>Pro</v>
      </c>
      <c r="F352">
        <f>_xlfn.XLOOKUP(B352,customer_clean!A:A,customer_clean!E:E)</f>
        <v>100</v>
      </c>
    </row>
    <row r="353" spans="1:6" x14ac:dyDescent="0.35">
      <c r="A353" t="s">
        <v>429</v>
      </c>
      <c r="B353">
        <v>1282</v>
      </c>
      <c r="C353" s="1">
        <v>45536</v>
      </c>
      <c r="D353">
        <v>200</v>
      </c>
      <c r="E353" t="str">
        <f>_xlfn.XLOOKUP(B353,customer_clean!A:A,customer_clean!C:C)</f>
        <v>Pro</v>
      </c>
      <c r="F353">
        <f>_xlfn.XLOOKUP(B353,customer_clean!A:A,customer_clean!E:E)</f>
        <v>100</v>
      </c>
    </row>
    <row r="354" spans="1:6" x14ac:dyDescent="0.35">
      <c r="A354" t="s">
        <v>430</v>
      </c>
      <c r="B354">
        <v>1282</v>
      </c>
      <c r="C354" s="1">
        <v>45566</v>
      </c>
      <c r="D354">
        <v>200</v>
      </c>
      <c r="E354" t="str">
        <f>_xlfn.XLOOKUP(B354,customer_clean!A:A,customer_clean!C:C)</f>
        <v>Pro</v>
      </c>
      <c r="F354">
        <f>_xlfn.XLOOKUP(B354,customer_clean!A:A,customer_clean!E:E)</f>
        <v>100</v>
      </c>
    </row>
    <row r="355" spans="1:6" x14ac:dyDescent="0.35">
      <c r="A355" t="s">
        <v>431</v>
      </c>
      <c r="B355">
        <v>1282</v>
      </c>
      <c r="C355" s="1">
        <v>45597</v>
      </c>
      <c r="D355">
        <v>200</v>
      </c>
      <c r="E355" t="str">
        <f>_xlfn.XLOOKUP(B355,customer_clean!A:A,customer_clean!C:C)</f>
        <v>Pro</v>
      </c>
      <c r="F355">
        <f>_xlfn.XLOOKUP(B355,customer_clean!A:A,customer_clean!E:E)</f>
        <v>100</v>
      </c>
    </row>
    <row r="356" spans="1:6" x14ac:dyDescent="0.35">
      <c r="A356" t="s">
        <v>432</v>
      </c>
      <c r="B356">
        <v>1282</v>
      </c>
      <c r="C356" s="1">
        <v>45627</v>
      </c>
      <c r="D356">
        <v>200</v>
      </c>
      <c r="E356" t="str">
        <f>_xlfn.XLOOKUP(B356,customer_clean!A:A,customer_clean!C:C)</f>
        <v>Pro</v>
      </c>
      <c r="F356">
        <f>_xlfn.XLOOKUP(B356,customer_clean!A:A,customer_clean!E:E)</f>
        <v>100</v>
      </c>
    </row>
    <row r="357" spans="1:6" x14ac:dyDescent="0.35">
      <c r="A357" t="s">
        <v>433</v>
      </c>
      <c r="B357">
        <v>1282</v>
      </c>
      <c r="C357" s="1">
        <v>45658</v>
      </c>
      <c r="D357">
        <v>200</v>
      </c>
      <c r="E357" t="str">
        <f>_xlfn.XLOOKUP(B357,customer_clean!A:A,customer_clean!C:C)</f>
        <v>Pro</v>
      </c>
      <c r="F357">
        <f>_xlfn.XLOOKUP(B357,customer_clean!A:A,customer_clean!E:E)</f>
        <v>100</v>
      </c>
    </row>
    <row r="358" spans="1:6" x14ac:dyDescent="0.35">
      <c r="A358" t="s">
        <v>434</v>
      </c>
      <c r="B358">
        <v>1282</v>
      </c>
      <c r="C358" s="1">
        <v>45689</v>
      </c>
      <c r="D358">
        <v>200</v>
      </c>
      <c r="E358" t="str">
        <f>_xlfn.XLOOKUP(B358,customer_clean!A:A,customer_clean!C:C)</f>
        <v>Pro</v>
      </c>
      <c r="F358">
        <f>_xlfn.XLOOKUP(B358,customer_clean!A:A,customer_clean!E:E)</f>
        <v>100</v>
      </c>
    </row>
    <row r="359" spans="1:6" x14ac:dyDescent="0.35">
      <c r="A359" t="s">
        <v>435</v>
      </c>
      <c r="B359">
        <v>1282</v>
      </c>
      <c r="C359" s="1">
        <v>45717</v>
      </c>
      <c r="D359">
        <v>200</v>
      </c>
      <c r="E359" t="str">
        <f>_xlfn.XLOOKUP(B359,customer_clean!A:A,customer_clean!C:C)</f>
        <v>Pro</v>
      </c>
      <c r="F359">
        <f>_xlfn.XLOOKUP(B359,customer_clean!A:A,customer_clean!E:E)</f>
        <v>100</v>
      </c>
    </row>
    <row r="360" spans="1:6" x14ac:dyDescent="0.35">
      <c r="A360" t="s">
        <v>436</v>
      </c>
      <c r="B360">
        <v>1282</v>
      </c>
      <c r="C360" s="1">
        <v>45748</v>
      </c>
      <c r="D360">
        <v>200</v>
      </c>
      <c r="E360" t="str">
        <f>_xlfn.XLOOKUP(B360,customer_clean!A:A,customer_clean!C:C)</f>
        <v>Pro</v>
      </c>
      <c r="F360">
        <f>_xlfn.XLOOKUP(B360,customer_clean!A:A,customer_clean!E:E)</f>
        <v>100</v>
      </c>
    </row>
    <row r="361" spans="1:6" x14ac:dyDescent="0.35">
      <c r="A361" t="s">
        <v>437</v>
      </c>
      <c r="B361">
        <v>1282</v>
      </c>
      <c r="C361" s="1">
        <v>45778</v>
      </c>
      <c r="D361">
        <v>200</v>
      </c>
      <c r="E361" t="str">
        <f>_xlfn.XLOOKUP(B361,customer_clean!A:A,customer_clean!C:C)</f>
        <v>Pro</v>
      </c>
      <c r="F361">
        <f>_xlfn.XLOOKUP(B361,customer_clean!A:A,customer_clean!E:E)</f>
        <v>100</v>
      </c>
    </row>
    <row r="362" spans="1:6" x14ac:dyDescent="0.35">
      <c r="A362" t="s">
        <v>438</v>
      </c>
      <c r="B362">
        <v>1282</v>
      </c>
      <c r="C362" s="1">
        <v>45809</v>
      </c>
      <c r="D362">
        <v>200</v>
      </c>
      <c r="E362" t="str">
        <f>_xlfn.XLOOKUP(B362,customer_clean!A:A,customer_clean!C:C)</f>
        <v>Pro</v>
      </c>
      <c r="F362">
        <f>_xlfn.XLOOKUP(B362,customer_clean!A:A,customer_clean!E:E)</f>
        <v>100</v>
      </c>
    </row>
    <row r="363" spans="1:6" x14ac:dyDescent="0.35">
      <c r="A363" t="s">
        <v>439</v>
      </c>
      <c r="B363">
        <v>1287</v>
      </c>
      <c r="C363" s="1">
        <v>45689</v>
      </c>
      <c r="D363">
        <v>50</v>
      </c>
      <c r="E363" t="str">
        <f>_xlfn.XLOOKUP(B363,customer_clean!A:A,customer_clean!C:C)</f>
        <v>Basic</v>
      </c>
      <c r="F363">
        <f>_xlfn.XLOOKUP(B363,customer_clean!A:A,customer_clean!E:E)</f>
        <v>30</v>
      </c>
    </row>
    <row r="364" spans="1:6" x14ac:dyDescent="0.35">
      <c r="A364" t="s">
        <v>440</v>
      </c>
      <c r="B364">
        <v>1287</v>
      </c>
      <c r="C364" s="1">
        <v>45717</v>
      </c>
      <c r="D364">
        <v>50</v>
      </c>
      <c r="E364" t="str">
        <f>_xlfn.XLOOKUP(B364,customer_clean!A:A,customer_clean!C:C)</f>
        <v>Basic</v>
      </c>
      <c r="F364">
        <f>_xlfn.XLOOKUP(B364,customer_clean!A:A,customer_clean!E:E)</f>
        <v>30</v>
      </c>
    </row>
    <row r="365" spans="1:6" x14ac:dyDescent="0.35">
      <c r="A365" t="s">
        <v>441</v>
      </c>
      <c r="B365">
        <v>1287</v>
      </c>
      <c r="C365" s="1">
        <v>45748</v>
      </c>
      <c r="D365">
        <v>50</v>
      </c>
      <c r="E365" t="str">
        <f>_xlfn.XLOOKUP(B365,customer_clean!A:A,customer_clean!C:C)</f>
        <v>Basic</v>
      </c>
      <c r="F365">
        <f>_xlfn.XLOOKUP(B365,customer_clean!A:A,customer_clean!E:E)</f>
        <v>30</v>
      </c>
    </row>
    <row r="366" spans="1:6" x14ac:dyDescent="0.35">
      <c r="A366" t="s">
        <v>442</v>
      </c>
      <c r="B366">
        <v>1291</v>
      </c>
      <c r="C366" s="1">
        <v>45474</v>
      </c>
      <c r="D366">
        <v>50</v>
      </c>
      <c r="E366" t="str">
        <f>_xlfn.XLOOKUP(B366,customer_clean!A:A,customer_clean!C:C)</f>
        <v>Basic</v>
      </c>
      <c r="F366">
        <f>_xlfn.XLOOKUP(B366,customer_clean!A:A,customer_clean!E:E)</f>
        <v>30</v>
      </c>
    </row>
    <row r="367" spans="1:6" x14ac:dyDescent="0.35">
      <c r="A367" t="s">
        <v>443</v>
      </c>
      <c r="B367">
        <v>1291</v>
      </c>
      <c r="C367" s="1">
        <v>45505</v>
      </c>
      <c r="D367">
        <v>50</v>
      </c>
      <c r="E367" t="str">
        <f>_xlfn.XLOOKUP(B367,customer_clean!A:A,customer_clean!C:C)</f>
        <v>Basic</v>
      </c>
      <c r="F367">
        <f>_xlfn.XLOOKUP(B367,customer_clean!A:A,customer_clean!E:E)</f>
        <v>30</v>
      </c>
    </row>
    <row r="368" spans="1:6" x14ac:dyDescent="0.35">
      <c r="A368" t="s">
        <v>444</v>
      </c>
      <c r="B368">
        <v>1292</v>
      </c>
      <c r="C368" s="1">
        <v>45383</v>
      </c>
      <c r="D368">
        <v>50</v>
      </c>
      <c r="E368" t="str">
        <f>_xlfn.XLOOKUP(B368,customer_clean!A:A,customer_clean!C:C)</f>
        <v>Basic</v>
      </c>
      <c r="F368">
        <f>_xlfn.XLOOKUP(B368,customer_clean!A:A,customer_clean!E:E)</f>
        <v>30</v>
      </c>
    </row>
    <row r="369" spans="1:6" x14ac:dyDescent="0.35">
      <c r="A369" t="s">
        <v>445</v>
      </c>
      <c r="B369">
        <v>1292</v>
      </c>
      <c r="C369" s="1">
        <v>45413</v>
      </c>
      <c r="D369">
        <v>50</v>
      </c>
      <c r="E369" t="str">
        <f>_xlfn.XLOOKUP(B369,customer_clean!A:A,customer_clean!C:C)</f>
        <v>Basic</v>
      </c>
      <c r="F369">
        <f>_xlfn.XLOOKUP(B369,customer_clean!A:A,customer_clean!E:E)</f>
        <v>30</v>
      </c>
    </row>
    <row r="370" spans="1:6" x14ac:dyDescent="0.35">
      <c r="A370" t="s">
        <v>446</v>
      </c>
      <c r="B370">
        <v>1292</v>
      </c>
      <c r="C370" s="1">
        <v>45444</v>
      </c>
      <c r="D370">
        <v>50</v>
      </c>
      <c r="E370" t="str">
        <f>_xlfn.XLOOKUP(B370,customer_clean!A:A,customer_clean!C:C)</f>
        <v>Basic</v>
      </c>
      <c r="F370">
        <f>_xlfn.XLOOKUP(B370,customer_clean!A:A,customer_clean!E:E)</f>
        <v>30</v>
      </c>
    </row>
    <row r="371" spans="1:6" x14ac:dyDescent="0.35">
      <c r="A371" t="s">
        <v>447</v>
      </c>
      <c r="B371">
        <v>1292</v>
      </c>
      <c r="C371" s="1">
        <v>45474</v>
      </c>
      <c r="D371">
        <v>50</v>
      </c>
      <c r="E371" t="str">
        <f>_xlfn.XLOOKUP(B371,customer_clean!A:A,customer_clean!C:C)</f>
        <v>Basic</v>
      </c>
      <c r="F371">
        <f>_xlfn.XLOOKUP(B371,customer_clean!A:A,customer_clean!E:E)</f>
        <v>30</v>
      </c>
    </row>
    <row r="372" spans="1:6" x14ac:dyDescent="0.35">
      <c r="A372" t="s">
        <v>448</v>
      </c>
      <c r="B372">
        <v>1294</v>
      </c>
      <c r="C372" s="1">
        <v>45352</v>
      </c>
      <c r="D372">
        <v>500</v>
      </c>
      <c r="E372" t="str">
        <f>_xlfn.XLOOKUP(B372,customer_clean!A:A,customer_clean!C:C)</f>
        <v>Enterprise</v>
      </c>
      <c r="F372">
        <f>_xlfn.XLOOKUP(B372,customer_clean!A:A,customer_clean!E:E)</f>
        <v>200</v>
      </c>
    </row>
    <row r="373" spans="1:6" x14ac:dyDescent="0.35">
      <c r="A373" t="s">
        <v>449</v>
      </c>
      <c r="B373">
        <v>1294</v>
      </c>
      <c r="C373" s="1">
        <v>45383</v>
      </c>
      <c r="D373">
        <v>500</v>
      </c>
      <c r="E373" t="str">
        <f>_xlfn.XLOOKUP(B373,customer_clean!A:A,customer_clean!C:C)</f>
        <v>Enterprise</v>
      </c>
      <c r="F373">
        <f>_xlfn.XLOOKUP(B373,customer_clean!A:A,customer_clean!E:E)</f>
        <v>200</v>
      </c>
    </row>
    <row r="374" spans="1:6" x14ac:dyDescent="0.35">
      <c r="A374" t="s">
        <v>450</v>
      </c>
      <c r="B374">
        <v>1294</v>
      </c>
      <c r="C374" s="1">
        <v>45413</v>
      </c>
      <c r="D374">
        <v>500</v>
      </c>
      <c r="E374" t="str">
        <f>_xlfn.XLOOKUP(B374,customer_clean!A:A,customer_clean!C:C)</f>
        <v>Enterprise</v>
      </c>
      <c r="F374">
        <f>_xlfn.XLOOKUP(B374,customer_clean!A:A,customer_clean!E:E)</f>
        <v>200</v>
      </c>
    </row>
    <row r="375" spans="1:6" x14ac:dyDescent="0.35">
      <c r="A375" t="s">
        <v>451</v>
      </c>
      <c r="B375">
        <v>1294</v>
      </c>
      <c r="C375" s="1">
        <v>45444</v>
      </c>
      <c r="D375">
        <v>500</v>
      </c>
      <c r="E375" t="str">
        <f>_xlfn.XLOOKUP(B375,customer_clean!A:A,customer_clean!C:C)</f>
        <v>Enterprise</v>
      </c>
      <c r="F375">
        <f>_xlfn.XLOOKUP(B375,customer_clean!A:A,customer_clean!E:E)</f>
        <v>200</v>
      </c>
    </row>
    <row r="376" spans="1:6" x14ac:dyDescent="0.35">
      <c r="A376" t="s">
        <v>452</v>
      </c>
      <c r="B376">
        <v>1294</v>
      </c>
      <c r="C376" s="1">
        <v>45474</v>
      </c>
      <c r="D376">
        <v>500</v>
      </c>
      <c r="E376" t="str">
        <f>_xlfn.XLOOKUP(B376,customer_clean!A:A,customer_clean!C:C)</f>
        <v>Enterprise</v>
      </c>
      <c r="F376">
        <f>_xlfn.XLOOKUP(B376,customer_clean!A:A,customer_clean!E:E)</f>
        <v>200</v>
      </c>
    </row>
    <row r="377" spans="1:6" x14ac:dyDescent="0.35">
      <c r="A377" t="s">
        <v>453</v>
      </c>
      <c r="B377">
        <v>1294</v>
      </c>
      <c r="C377" s="1">
        <v>45505</v>
      </c>
      <c r="D377">
        <v>500</v>
      </c>
      <c r="E377" t="str">
        <f>_xlfn.XLOOKUP(B377,customer_clean!A:A,customer_clean!C:C)</f>
        <v>Enterprise</v>
      </c>
      <c r="F377">
        <f>_xlfn.XLOOKUP(B377,customer_clean!A:A,customer_clean!E:E)</f>
        <v>200</v>
      </c>
    </row>
    <row r="378" spans="1:6" x14ac:dyDescent="0.35">
      <c r="A378" t="s">
        <v>454</v>
      </c>
      <c r="B378">
        <v>1294</v>
      </c>
      <c r="C378" s="1">
        <v>45536</v>
      </c>
      <c r="D378">
        <v>500</v>
      </c>
      <c r="E378" t="str">
        <f>_xlfn.XLOOKUP(B378,customer_clean!A:A,customer_clean!C:C)</f>
        <v>Enterprise</v>
      </c>
      <c r="F378">
        <f>_xlfn.XLOOKUP(B378,customer_clean!A:A,customer_clean!E:E)</f>
        <v>200</v>
      </c>
    </row>
    <row r="379" spans="1:6" x14ac:dyDescent="0.35">
      <c r="A379" t="s">
        <v>455</v>
      </c>
      <c r="B379">
        <v>1294</v>
      </c>
      <c r="C379" s="1">
        <v>45566</v>
      </c>
      <c r="D379">
        <v>500</v>
      </c>
      <c r="E379" t="str">
        <f>_xlfn.XLOOKUP(B379,customer_clean!A:A,customer_clean!C:C)</f>
        <v>Enterprise</v>
      </c>
      <c r="F379">
        <f>_xlfn.XLOOKUP(B379,customer_clean!A:A,customer_clean!E:E)</f>
        <v>200</v>
      </c>
    </row>
    <row r="380" spans="1:6" x14ac:dyDescent="0.35">
      <c r="A380" t="s">
        <v>456</v>
      </c>
      <c r="B380">
        <v>1294</v>
      </c>
      <c r="C380" s="1">
        <v>45597</v>
      </c>
      <c r="D380">
        <v>500</v>
      </c>
      <c r="E380" t="str">
        <f>_xlfn.XLOOKUP(B380,customer_clean!A:A,customer_clean!C:C)</f>
        <v>Enterprise</v>
      </c>
      <c r="F380">
        <f>_xlfn.XLOOKUP(B380,customer_clean!A:A,customer_clean!E:E)</f>
        <v>200</v>
      </c>
    </row>
    <row r="381" spans="1:6" x14ac:dyDescent="0.35">
      <c r="A381" t="s">
        <v>457</v>
      </c>
      <c r="B381">
        <v>1294</v>
      </c>
      <c r="C381" s="1">
        <v>45627</v>
      </c>
      <c r="D381">
        <v>500</v>
      </c>
      <c r="E381" t="str">
        <f>_xlfn.XLOOKUP(B381,customer_clean!A:A,customer_clean!C:C)</f>
        <v>Enterprise</v>
      </c>
      <c r="F381">
        <f>_xlfn.XLOOKUP(B381,customer_clean!A:A,customer_clean!E:E)</f>
        <v>200</v>
      </c>
    </row>
    <row r="382" spans="1:6" x14ac:dyDescent="0.35">
      <c r="A382" t="s">
        <v>458</v>
      </c>
      <c r="B382">
        <v>1294</v>
      </c>
      <c r="C382" s="1">
        <v>45658</v>
      </c>
      <c r="D382">
        <v>500</v>
      </c>
      <c r="E382" t="str">
        <f>_xlfn.XLOOKUP(B382,customer_clean!A:A,customer_clean!C:C)</f>
        <v>Enterprise</v>
      </c>
      <c r="F382">
        <f>_xlfn.XLOOKUP(B382,customer_clean!A:A,customer_clean!E:E)</f>
        <v>200</v>
      </c>
    </row>
    <row r="383" spans="1:6" x14ac:dyDescent="0.35">
      <c r="A383" t="s">
        <v>459</v>
      </c>
      <c r="B383">
        <v>1294</v>
      </c>
      <c r="C383" s="1">
        <v>45689</v>
      </c>
      <c r="D383">
        <v>500</v>
      </c>
      <c r="E383" t="str">
        <f>_xlfn.XLOOKUP(B383,customer_clean!A:A,customer_clean!C:C)</f>
        <v>Enterprise</v>
      </c>
      <c r="F383">
        <f>_xlfn.XLOOKUP(B383,customer_clean!A:A,customer_clean!E:E)</f>
        <v>200</v>
      </c>
    </row>
    <row r="384" spans="1:6" x14ac:dyDescent="0.35">
      <c r="A384" t="s">
        <v>460</v>
      </c>
      <c r="B384">
        <v>1294</v>
      </c>
      <c r="C384" s="1">
        <v>45717</v>
      </c>
      <c r="D384">
        <v>500</v>
      </c>
      <c r="E384" t="str">
        <f>_xlfn.XLOOKUP(B384,customer_clean!A:A,customer_clean!C:C)</f>
        <v>Enterprise</v>
      </c>
      <c r="F384">
        <f>_xlfn.XLOOKUP(B384,customer_clean!A:A,customer_clean!E:E)</f>
        <v>200</v>
      </c>
    </row>
    <row r="385" spans="1:6" x14ac:dyDescent="0.35">
      <c r="A385" t="s">
        <v>461</v>
      </c>
      <c r="B385">
        <v>1294</v>
      </c>
      <c r="C385" s="1">
        <v>45748</v>
      </c>
      <c r="D385">
        <v>500</v>
      </c>
      <c r="E385" t="str">
        <f>_xlfn.XLOOKUP(B385,customer_clean!A:A,customer_clean!C:C)</f>
        <v>Enterprise</v>
      </c>
      <c r="F385">
        <f>_xlfn.XLOOKUP(B385,customer_clean!A:A,customer_clean!E:E)</f>
        <v>200</v>
      </c>
    </row>
    <row r="386" spans="1:6" x14ac:dyDescent="0.35">
      <c r="A386" t="s">
        <v>462</v>
      </c>
      <c r="B386">
        <v>1294</v>
      </c>
      <c r="C386" s="1">
        <v>45778</v>
      </c>
      <c r="D386">
        <v>500</v>
      </c>
      <c r="E386" t="str">
        <f>_xlfn.XLOOKUP(B386,customer_clean!A:A,customer_clean!C:C)</f>
        <v>Enterprise</v>
      </c>
      <c r="F386">
        <f>_xlfn.XLOOKUP(B386,customer_clean!A:A,customer_clean!E:E)</f>
        <v>200</v>
      </c>
    </row>
    <row r="387" spans="1:6" x14ac:dyDescent="0.35">
      <c r="A387" t="s">
        <v>463</v>
      </c>
      <c r="B387">
        <v>1308</v>
      </c>
      <c r="C387" s="1">
        <v>45413</v>
      </c>
      <c r="D387">
        <v>50</v>
      </c>
      <c r="E387" t="str">
        <f>_xlfn.XLOOKUP(B387,customer_clean!A:A,customer_clean!C:C)</f>
        <v>Basic</v>
      </c>
      <c r="F387">
        <f>_xlfn.XLOOKUP(B387,customer_clean!A:A,customer_clean!E:E)</f>
        <v>30</v>
      </c>
    </row>
    <row r="388" spans="1:6" x14ac:dyDescent="0.35">
      <c r="A388" t="s">
        <v>464</v>
      </c>
      <c r="B388">
        <v>1308</v>
      </c>
      <c r="C388" s="1">
        <v>45444</v>
      </c>
      <c r="D388">
        <v>50</v>
      </c>
      <c r="E388" t="str">
        <f>_xlfn.XLOOKUP(B388,customer_clean!A:A,customer_clean!C:C)</f>
        <v>Basic</v>
      </c>
      <c r="F388">
        <f>_xlfn.XLOOKUP(B388,customer_clean!A:A,customer_clean!E:E)</f>
        <v>30</v>
      </c>
    </row>
    <row r="389" spans="1:6" x14ac:dyDescent="0.35">
      <c r="A389" t="s">
        <v>465</v>
      </c>
      <c r="B389">
        <v>1308</v>
      </c>
      <c r="C389" s="1">
        <v>45474</v>
      </c>
      <c r="D389">
        <v>50</v>
      </c>
      <c r="E389" t="str">
        <f>_xlfn.XLOOKUP(B389,customer_clean!A:A,customer_clean!C:C)</f>
        <v>Basic</v>
      </c>
      <c r="F389">
        <f>_xlfn.XLOOKUP(B389,customer_clean!A:A,customer_clean!E:E)</f>
        <v>30</v>
      </c>
    </row>
    <row r="390" spans="1:6" x14ac:dyDescent="0.35">
      <c r="A390" t="s">
        <v>466</v>
      </c>
      <c r="B390">
        <v>1308</v>
      </c>
      <c r="C390" s="1">
        <v>45505</v>
      </c>
      <c r="D390">
        <v>50</v>
      </c>
      <c r="E390" t="str">
        <f>_xlfn.XLOOKUP(B390,customer_clean!A:A,customer_clean!C:C)</f>
        <v>Basic</v>
      </c>
      <c r="F390">
        <f>_xlfn.XLOOKUP(B390,customer_clean!A:A,customer_clean!E:E)</f>
        <v>30</v>
      </c>
    </row>
    <row r="391" spans="1:6" x14ac:dyDescent="0.35">
      <c r="A391" t="s">
        <v>467</v>
      </c>
      <c r="B391">
        <v>1308</v>
      </c>
      <c r="C391" s="1">
        <v>45536</v>
      </c>
      <c r="D391">
        <v>50</v>
      </c>
      <c r="E391" t="str">
        <f>_xlfn.XLOOKUP(B391,customer_clean!A:A,customer_clean!C:C)</f>
        <v>Basic</v>
      </c>
      <c r="F391">
        <f>_xlfn.XLOOKUP(B391,customer_clean!A:A,customer_clean!E:E)</f>
        <v>30</v>
      </c>
    </row>
    <row r="392" spans="1:6" x14ac:dyDescent="0.35">
      <c r="A392" t="s">
        <v>468</v>
      </c>
      <c r="B392">
        <v>1308</v>
      </c>
      <c r="C392" s="1">
        <v>45566</v>
      </c>
      <c r="D392">
        <v>50</v>
      </c>
      <c r="E392" t="str">
        <f>_xlfn.XLOOKUP(B392,customer_clean!A:A,customer_clean!C:C)</f>
        <v>Basic</v>
      </c>
      <c r="F392">
        <f>_xlfn.XLOOKUP(B392,customer_clean!A:A,customer_clean!E:E)</f>
        <v>30</v>
      </c>
    </row>
    <row r="393" spans="1:6" x14ac:dyDescent="0.35">
      <c r="A393" t="s">
        <v>469</v>
      </c>
      <c r="B393">
        <v>1308</v>
      </c>
      <c r="C393" s="1">
        <v>45597</v>
      </c>
      <c r="D393">
        <v>50</v>
      </c>
      <c r="E393" t="str">
        <f>_xlfn.XLOOKUP(B393,customer_clean!A:A,customer_clean!C:C)</f>
        <v>Basic</v>
      </c>
      <c r="F393">
        <f>_xlfn.XLOOKUP(B393,customer_clean!A:A,customer_clean!E:E)</f>
        <v>30</v>
      </c>
    </row>
    <row r="394" spans="1:6" x14ac:dyDescent="0.35">
      <c r="A394" t="s">
        <v>470</v>
      </c>
      <c r="B394">
        <v>1308</v>
      </c>
      <c r="C394" s="1">
        <v>45627</v>
      </c>
      <c r="D394">
        <v>50</v>
      </c>
      <c r="E394" t="str">
        <f>_xlfn.XLOOKUP(B394,customer_clean!A:A,customer_clean!C:C)</f>
        <v>Basic</v>
      </c>
      <c r="F394">
        <f>_xlfn.XLOOKUP(B394,customer_clean!A:A,customer_clean!E:E)</f>
        <v>30</v>
      </c>
    </row>
    <row r="395" spans="1:6" x14ac:dyDescent="0.35">
      <c r="A395" t="s">
        <v>471</v>
      </c>
      <c r="B395">
        <v>1308</v>
      </c>
      <c r="C395" s="1">
        <v>45658</v>
      </c>
      <c r="D395">
        <v>50</v>
      </c>
      <c r="E395" t="str">
        <f>_xlfn.XLOOKUP(B395,customer_clean!A:A,customer_clean!C:C)</f>
        <v>Basic</v>
      </c>
      <c r="F395">
        <f>_xlfn.XLOOKUP(B395,customer_clean!A:A,customer_clean!E:E)</f>
        <v>30</v>
      </c>
    </row>
    <row r="396" spans="1:6" x14ac:dyDescent="0.35">
      <c r="A396" t="s">
        <v>472</v>
      </c>
      <c r="B396">
        <v>1308</v>
      </c>
      <c r="C396" s="1">
        <v>45689</v>
      </c>
      <c r="D396">
        <v>50</v>
      </c>
      <c r="E396" t="str">
        <f>_xlfn.XLOOKUP(B396,customer_clean!A:A,customer_clean!C:C)</f>
        <v>Basic</v>
      </c>
      <c r="F396">
        <f>_xlfn.XLOOKUP(B396,customer_clean!A:A,customer_clean!E:E)</f>
        <v>30</v>
      </c>
    </row>
    <row r="397" spans="1:6" x14ac:dyDescent="0.35">
      <c r="A397" t="s">
        <v>473</v>
      </c>
      <c r="B397">
        <v>1308</v>
      </c>
      <c r="C397" s="1">
        <v>45717</v>
      </c>
      <c r="D397">
        <v>50</v>
      </c>
      <c r="E397" t="str">
        <f>_xlfn.XLOOKUP(B397,customer_clean!A:A,customer_clean!C:C)</f>
        <v>Basic</v>
      </c>
      <c r="F397">
        <f>_xlfn.XLOOKUP(B397,customer_clean!A:A,customer_clean!E:E)</f>
        <v>30</v>
      </c>
    </row>
    <row r="398" spans="1:6" x14ac:dyDescent="0.35">
      <c r="A398" t="s">
        <v>474</v>
      </c>
      <c r="B398">
        <v>1309</v>
      </c>
      <c r="C398" s="1">
        <v>45505</v>
      </c>
      <c r="D398">
        <v>50</v>
      </c>
      <c r="E398" t="str">
        <f>_xlfn.XLOOKUP(B398,customer_clean!A:A,customer_clean!C:C)</f>
        <v>Basic</v>
      </c>
      <c r="F398">
        <f>_xlfn.XLOOKUP(B398,customer_clean!A:A,customer_clean!E:E)</f>
        <v>30</v>
      </c>
    </row>
    <row r="399" spans="1:6" x14ac:dyDescent="0.35">
      <c r="A399" t="s">
        <v>475</v>
      </c>
      <c r="B399">
        <v>1309</v>
      </c>
      <c r="C399" s="1">
        <v>45536</v>
      </c>
      <c r="D399">
        <v>50</v>
      </c>
      <c r="E399" t="str">
        <f>_xlfn.XLOOKUP(B399,customer_clean!A:A,customer_clean!C:C)</f>
        <v>Basic</v>
      </c>
      <c r="F399">
        <f>_xlfn.XLOOKUP(B399,customer_clean!A:A,customer_clean!E:E)</f>
        <v>30</v>
      </c>
    </row>
    <row r="400" spans="1:6" x14ac:dyDescent="0.35">
      <c r="A400" t="s">
        <v>476</v>
      </c>
      <c r="B400">
        <v>1309</v>
      </c>
      <c r="C400" s="1">
        <v>45566</v>
      </c>
      <c r="D400">
        <v>50</v>
      </c>
      <c r="E400" t="str">
        <f>_xlfn.XLOOKUP(B400,customer_clean!A:A,customer_clean!C:C)</f>
        <v>Basic</v>
      </c>
      <c r="F400">
        <f>_xlfn.XLOOKUP(B400,customer_clean!A:A,customer_clean!E:E)</f>
        <v>30</v>
      </c>
    </row>
    <row r="401" spans="1:6" x14ac:dyDescent="0.35">
      <c r="A401" t="s">
        <v>477</v>
      </c>
      <c r="B401">
        <v>1312</v>
      </c>
      <c r="C401" s="1">
        <v>45597</v>
      </c>
      <c r="D401">
        <v>50</v>
      </c>
      <c r="E401" t="str">
        <f>_xlfn.XLOOKUP(B401,customer_clean!A:A,customer_clean!C:C)</f>
        <v>Basic</v>
      </c>
      <c r="F401">
        <f>_xlfn.XLOOKUP(B401,customer_clean!A:A,customer_clean!E:E)</f>
        <v>30</v>
      </c>
    </row>
    <row r="402" spans="1:6" x14ac:dyDescent="0.35">
      <c r="A402" t="s">
        <v>478</v>
      </c>
      <c r="B402">
        <v>1312</v>
      </c>
      <c r="C402" s="1">
        <v>45627</v>
      </c>
      <c r="D402">
        <v>50</v>
      </c>
      <c r="E402" t="str">
        <f>_xlfn.XLOOKUP(B402,customer_clean!A:A,customer_clean!C:C)</f>
        <v>Basic</v>
      </c>
      <c r="F402">
        <f>_xlfn.XLOOKUP(B402,customer_clean!A:A,customer_clean!E:E)</f>
        <v>30</v>
      </c>
    </row>
    <row r="403" spans="1:6" x14ac:dyDescent="0.35">
      <c r="A403" t="s">
        <v>479</v>
      </c>
      <c r="B403">
        <v>1312</v>
      </c>
      <c r="C403" s="1">
        <v>45658</v>
      </c>
      <c r="D403">
        <v>50</v>
      </c>
      <c r="E403" t="str">
        <f>_xlfn.XLOOKUP(B403,customer_clean!A:A,customer_clean!C:C)</f>
        <v>Basic</v>
      </c>
      <c r="F403">
        <f>_xlfn.XLOOKUP(B403,customer_clean!A:A,customer_clean!E:E)</f>
        <v>30</v>
      </c>
    </row>
    <row r="404" spans="1:6" x14ac:dyDescent="0.35">
      <c r="A404" t="s">
        <v>480</v>
      </c>
      <c r="B404">
        <v>1312</v>
      </c>
      <c r="C404" s="1">
        <v>45689</v>
      </c>
      <c r="D404">
        <v>50</v>
      </c>
      <c r="E404" t="str">
        <f>_xlfn.XLOOKUP(B404,customer_clean!A:A,customer_clean!C:C)</f>
        <v>Basic</v>
      </c>
      <c r="F404">
        <f>_xlfn.XLOOKUP(B404,customer_clean!A:A,customer_clean!E:E)</f>
        <v>30</v>
      </c>
    </row>
    <row r="405" spans="1:6" x14ac:dyDescent="0.35">
      <c r="A405" t="s">
        <v>481</v>
      </c>
      <c r="B405">
        <v>1313</v>
      </c>
      <c r="C405" s="1">
        <v>45323</v>
      </c>
      <c r="D405">
        <v>500</v>
      </c>
      <c r="E405" t="str">
        <f>_xlfn.XLOOKUP(B405,customer_clean!A:A,customer_clean!C:C)</f>
        <v>Enterprise</v>
      </c>
      <c r="F405">
        <f>_xlfn.XLOOKUP(B405,customer_clean!A:A,customer_clean!E:E)</f>
        <v>200</v>
      </c>
    </row>
    <row r="406" spans="1:6" x14ac:dyDescent="0.35">
      <c r="A406" t="s">
        <v>482</v>
      </c>
      <c r="B406">
        <v>1313</v>
      </c>
      <c r="C406" s="1">
        <v>45352</v>
      </c>
      <c r="D406">
        <v>500</v>
      </c>
      <c r="E406" t="str">
        <f>_xlfn.XLOOKUP(B406,customer_clean!A:A,customer_clean!C:C)</f>
        <v>Enterprise</v>
      </c>
      <c r="F406">
        <f>_xlfn.XLOOKUP(B406,customer_clean!A:A,customer_clean!E:E)</f>
        <v>200</v>
      </c>
    </row>
    <row r="407" spans="1:6" x14ac:dyDescent="0.35">
      <c r="A407" t="s">
        <v>483</v>
      </c>
      <c r="B407">
        <v>1313</v>
      </c>
      <c r="C407" s="1">
        <v>45383</v>
      </c>
      <c r="D407">
        <v>500</v>
      </c>
      <c r="E407" t="str">
        <f>_xlfn.XLOOKUP(B407,customer_clean!A:A,customer_clean!C:C)</f>
        <v>Enterprise</v>
      </c>
      <c r="F407">
        <f>_xlfn.XLOOKUP(B407,customer_clean!A:A,customer_clean!E:E)</f>
        <v>200</v>
      </c>
    </row>
    <row r="408" spans="1:6" x14ac:dyDescent="0.35">
      <c r="A408" t="s">
        <v>484</v>
      </c>
      <c r="B408">
        <v>1313</v>
      </c>
      <c r="C408" s="1">
        <v>45413</v>
      </c>
      <c r="D408">
        <v>500</v>
      </c>
      <c r="E408" t="str">
        <f>_xlfn.XLOOKUP(B408,customer_clean!A:A,customer_clean!C:C)</f>
        <v>Enterprise</v>
      </c>
      <c r="F408">
        <f>_xlfn.XLOOKUP(B408,customer_clean!A:A,customer_clean!E:E)</f>
        <v>200</v>
      </c>
    </row>
    <row r="409" spans="1:6" x14ac:dyDescent="0.35">
      <c r="A409" t="s">
        <v>485</v>
      </c>
      <c r="B409">
        <v>1313</v>
      </c>
      <c r="C409" s="1">
        <v>45444</v>
      </c>
      <c r="D409">
        <v>500</v>
      </c>
      <c r="E409" t="str">
        <f>_xlfn.XLOOKUP(B409,customer_clean!A:A,customer_clean!C:C)</f>
        <v>Enterprise</v>
      </c>
      <c r="F409">
        <f>_xlfn.XLOOKUP(B409,customer_clean!A:A,customer_clean!E:E)</f>
        <v>200</v>
      </c>
    </row>
    <row r="410" spans="1:6" x14ac:dyDescent="0.35">
      <c r="A410" t="s">
        <v>486</v>
      </c>
      <c r="B410">
        <v>1313</v>
      </c>
      <c r="C410" s="1">
        <v>45474</v>
      </c>
      <c r="D410">
        <v>500</v>
      </c>
      <c r="E410" t="str">
        <f>_xlfn.XLOOKUP(B410,customer_clean!A:A,customer_clean!C:C)</f>
        <v>Enterprise</v>
      </c>
      <c r="F410">
        <f>_xlfn.XLOOKUP(B410,customer_clean!A:A,customer_clean!E:E)</f>
        <v>200</v>
      </c>
    </row>
    <row r="411" spans="1:6" x14ac:dyDescent="0.35">
      <c r="A411" t="s">
        <v>487</v>
      </c>
      <c r="B411">
        <v>1313</v>
      </c>
      <c r="C411" s="1">
        <v>45505</v>
      </c>
      <c r="D411">
        <v>500</v>
      </c>
      <c r="E411" t="str">
        <f>_xlfn.XLOOKUP(B411,customer_clean!A:A,customer_clean!C:C)</f>
        <v>Enterprise</v>
      </c>
      <c r="F411">
        <f>_xlfn.XLOOKUP(B411,customer_clean!A:A,customer_clean!E:E)</f>
        <v>200</v>
      </c>
    </row>
    <row r="412" spans="1:6" x14ac:dyDescent="0.35">
      <c r="A412" t="s">
        <v>488</v>
      </c>
      <c r="B412">
        <v>1313</v>
      </c>
      <c r="C412" s="1">
        <v>45536</v>
      </c>
      <c r="D412">
        <v>500</v>
      </c>
      <c r="E412" t="str">
        <f>_xlfn.XLOOKUP(B412,customer_clean!A:A,customer_clean!C:C)</f>
        <v>Enterprise</v>
      </c>
      <c r="F412">
        <f>_xlfn.XLOOKUP(B412,customer_clean!A:A,customer_clean!E:E)</f>
        <v>200</v>
      </c>
    </row>
    <row r="413" spans="1:6" x14ac:dyDescent="0.35">
      <c r="A413" t="s">
        <v>489</v>
      </c>
      <c r="B413">
        <v>1313</v>
      </c>
      <c r="C413" s="1">
        <v>45566</v>
      </c>
      <c r="D413">
        <v>500</v>
      </c>
      <c r="E413" t="str">
        <f>_xlfn.XLOOKUP(B413,customer_clean!A:A,customer_clean!C:C)</f>
        <v>Enterprise</v>
      </c>
      <c r="F413">
        <f>_xlfn.XLOOKUP(B413,customer_clean!A:A,customer_clean!E:E)</f>
        <v>200</v>
      </c>
    </row>
    <row r="414" spans="1:6" x14ac:dyDescent="0.35">
      <c r="A414" t="s">
        <v>490</v>
      </c>
      <c r="B414">
        <v>1313</v>
      </c>
      <c r="C414" s="1">
        <v>45597</v>
      </c>
      <c r="D414">
        <v>500</v>
      </c>
      <c r="E414" t="str">
        <f>_xlfn.XLOOKUP(B414,customer_clean!A:A,customer_clean!C:C)</f>
        <v>Enterprise</v>
      </c>
      <c r="F414">
        <f>_xlfn.XLOOKUP(B414,customer_clean!A:A,customer_clean!E:E)</f>
        <v>200</v>
      </c>
    </row>
    <row r="415" spans="1:6" x14ac:dyDescent="0.35">
      <c r="A415" t="s">
        <v>491</v>
      </c>
      <c r="B415">
        <v>1313</v>
      </c>
      <c r="C415" s="1">
        <v>45627</v>
      </c>
      <c r="D415">
        <v>500</v>
      </c>
      <c r="E415" t="str">
        <f>_xlfn.XLOOKUP(B415,customer_clean!A:A,customer_clean!C:C)</f>
        <v>Enterprise</v>
      </c>
      <c r="F415">
        <f>_xlfn.XLOOKUP(B415,customer_clean!A:A,customer_clean!E:E)</f>
        <v>200</v>
      </c>
    </row>
    <row r="416" spans="1:6" x14ac:dyDescent="0.35">
      <c r="A416" t="s">
        <v>492</v>
      </c>
      <c r="B416">
        <v>1313</v>
      </c>
      <c r="C416" s="1">
        <v>45658</v>
      </c>
      <c r="D416">
        <v>500</v>
      </c>
      <c r="E416" t="str">
        <f>_xlfn.XLOOKUP(B416,customer_clean!A:A,customer_clean!C:C)</f>
        <v>Enterprise</v>
      </c>
      <c r="F416">
        <f>_xlfn.XLOOKUP(B416,customer_clean!A:A,customer_clean!E:E)</f>
        <v>200</v>
      </c>
    </row>
    <row r="417" spans="1:6" x14ac:dyDescent="0.35">
      <c r="A417" t="s">
        <v>493</v>
      </c>
      <c r="B417">
        <v>1313</v>
      </c>
      <c r="C417" s="1">
        <v>45689</v>
      </c>
      <c r="D417">
        <v>500</v>
      </c>
      <c r="E417" t="str">
        <f>_xlfn.XLOOKUP(B417,customer_clean!A:A,customer_clean!C:C)</f>
        <v>Enterprise</v>
      </c>
      <c r="F417">
        <f>_xlfn.XLOOKUP(B417,customer_clean!A:A,customer_clean!E:E)</f>
        <v>200</v>
      </c>
    </row>
    <row r="418" spans="1:6" x14ac:dyDescent="0.35">
      <c r="A418" t="s">
        <v>494</v>
      </c>
      <c r="B418">
        <v>1332</v>
      </c>
      <c r="C418" s="1">
        <v>45658</v>
      </c>
      <c r="D418">
        <v>200</v>
      </c>
      <c r="E418" t="str">
        <f>_xlfn.XLOOKUP(B418,customer_clean!A:A,customer_clean!C:C)</f>
        <v>Pro</v>
      </c>
      <c r="F418">
        <f>_xlfn.XLOOKUP(B418,customer_clean!A:A,customer_clean!E:E)</f>
        <v>100</v>
      </c>
    </row>
    <row r="419" spans="1:6" x14ac:dyDescent="0.35">
      <c r="A419" t="s">
        <v>495</v>
      </c>
      <c r="B419">
        <v>1332</v>
      </c>
      <c r="C419" s="1">
        <v>45689</v>
      </c>
      <c r="D419">
        <v>200</v>
      </c>
      <c r="E419" t="str">
        <f>_xlfn.XLOOKUP(B419,customer_clean!A:A,customer_clean!C:C)</f>
        <v>Pro</v>
      </c>
      <c r="F419">
        <f>_xlfn.XLOOKUP(B419,customer_clean!A:A,customer_clean!E:E)</f>
        <v>100</v>
      </c>
    </row>
    <row r="420" spans="1:6" x14ac:dyDescent="0.35">
      <c r="A420" t="s">
        <v>496</v>
      </c>
      <c r="B420">
        <v>1332</v>
      </c>
      <c r="C420" s="1">
        <v>45717</v>
      </c>
      <c r="D420">
        <v>200</v>
      </c>
      <c r="E420" t="str">
        <f>_xlfn.XLOOKUP(B420,customer_clean!A:A,customer_clean!C:C)</f>
        <v>Pro</v>
      </c>
      <c r="F420">
        <f>_xlfn.XLOOKUP(B420,customer_clean!A:A,customer_clean!E:E)</f>
        <v>100</v>
      </c>
    </row>
    <row r="421" spans="1:6" x14ac:dyDescent="0.35">
      <c r="A421" t="s">
        <v>497</v>
      </c>
      <c r="B421">
        <v>1337</v>
      </c>
      <c r="C421" s="1">
        <v>45505</v>
      </c>
      <c r="D421">
        <v>50</v>
      </c>
      <c r="E421" t="str">
        <f>_xlfn.XLOOKUP(B421,customer_clean!A:A,customer_clean!C:C)</f>
        <v>Basic</v>
      </c>
      <c r="F421">
        <f>_xlfn.XLOOKUP(B421,customer_clean!A:A,customer_clean!E:E)</f>
        <v>30</v>
      </c>
    </row>
    <row r="422" spans="1:6" x14ac:dyDescent="0.35">
      <c r="A422" t="s">
        <v>498</v>
      </c>
      <c r="B422">
        <v>1337</v>
      </c>
      <c r="C422" s="1">
        <v>45536</v>
      </c>
      <c r="D422">
        <v>50</v>
      </c>
      <c r="E422" t="str">
        <f>_xlfn.XLOOKUP(B422,customer_clean!A:A,customer_clean!C:C)</f>
        <v>Basic</v>
      </c>
      <c r="F422">
        <f>_xlfn.XLOOKUP(B422,customer_clean!A:A,customer_clean!E:E)</f>
        <v>30</v>
      </c>
    </row>
    <row r="423" spans="1:6" x14ac:dyDescent="0.35">
      <c r="A423" t="s">
        <v>499</v>
      </c>
      <c r="B423">
        <v>1337</v>
      </c>
      <c r="C423" s="1">
        <v>45566</v>
      </c>
      <c r="D423">
        <v>50</v>
      </c>
      <c r="E423" t="str">
        <f>_xlfn.XLOOKUP(B423,customer_clean!A:A,customer_clean!C:C)</f>
        <v>Basic</v>
      </c>
      <c r="F423">
        <f>_xlfn.XLOOKUP(B423,customer_clean!A:A,customer_clean!E:E)</f>
        <v>30</v>
      </c>
    </row>
    <row r="424" spans="1:6" x14ac:dyDescent="0.35">
      <c r="A424" t="s">
        <v>500</v>
      </c>
      <c r="B424">
        <v>1337</v>
      </c>
      <c r="C424" s="1">
        <v>45597</v>
      </c>
      <c r="D424">
        <v>50</v>
      </c>
      <c r="E424" t="str">
        <f>_xlfn.XLOOKUP(B424,customer_clean!A:A,customer_clean!C:C)</f>
        <v>Basic</v>
      </c>
      <c r="F424">
        <f>_xlfn.XLOOKUP(B424,customer_clean!A:A,customer_clean!E:E)</f>
        <v>30</v>
      </c>
    </row>
    <row r="425" spans="1:6" x14ac:dyDescent="0.35">
      <c r="A425" t="s">
        <v>501</v>
      </c>
      <c r="B425">
        <v>1346</v>
      </c>
      <c r="C425" s="1">
        <v>45352</v>
      </c>
      <c r="D425">
        <v>200</v>
      </c>
      <c r="E425" t="str">
        <f>_xlfn.XLOOKUP(B425,customer_clean!A:A,customer_clean!C:C)</f>
        <v>Pro</v>
      </c>
      <c r="F425">
        <f>_xlfn.XLOOKUP(B425,customer_clean!A:A,customer_clean!E:E)</f>
        <v>100</v>
      </c>
    </row>
    <row r="426" spans="1:6" x14ac:dyDescent="0.35">
      <c r="A426" t="s">
        <v>502</v>
      </c>
      <c r="B426">
        <v>1346</v>
      </c>
      <c r="C426" s="1">
        <v>45383</v>
      </c>
      <c r="D426">
        <v>200</v>
      </c>
      <c r="E426" t="str">
        <f>_xlfn.XLOOKUP(B426,customer_clean!A:A,customer_clean!C:C)</f>
        <v>Pro</v>
      </c>
      <c r="F426">
        <f>_xlfn.XLOOKUP(B426,customer_clean!A:A,customer_clean!E:E)</f>
        <v>100</v>
      </c>
    </row>
    <row r="427" spans="1:6" x14ac:dyDescent="0.35">
      <c r="A427" t="s">
        <v>503</v>
      </c>
      <c r="B427">
        <v>1346</v>
      </c>
      <c r="C427" s="1">
        <v>45413</v>
      </c>
      <c r="D427">
        <v>200</v>
      </c>
      <c r="E427" t="str">
        <f>_xlfn.XLOOKUP(B427,customer_clean!A:A,customer_clean!C:C)</f>
        <v>Pro</v>
      </c>
      <c r="F427">
        <f>_xlfn.XLOOKUP(B427,customer_clean!A:A,customer_clean!E:E)</f>
        <v>100</v>
      </c>
    </row>
    <row r="428" spans="1:6" x14ac:dyDescent="0.35">
      <c r="A428" t="s">
        <v>504</v>
      </c>
      <c r="B428">
        <v>1346</v>
      </c>
      <c r="C428" s="1">
        <v>45444</v>
      </c>
      <c r="D428">
        <v>200</v>
      </c>
      <c r="E428" t="str">
        <f>_xlfn.XLOOKUP(B428,customer_clean!A:A,customer_clean!C:C)</f>
        <v>Pro</v>
      </c>
      <c r="F428">
        <f>_xlfn.XLOOKUP(B428,customer_clean!A:A,customer_clean!E:E)</f>
        <v>100</v>
      </c>
    </row>
    <row r="429" spans="1:6" x14ac:dyDescent="0.35">
      <c r="A429" t="s">
        <v>505</v>
      </c>
      <c r="B429">
        <v>1347</v>
      </c>
      <c r="C429" s="1">
        <v>45597</v>
      </c>
      <c r="D429">
        <v>50</v>
      </c>
      <c r="E429" t="str">
        <f>_xlfn.XLOOKUP(B429,customer_clean!A:A,customer_clean!C:C)</f>
        <v>Basic</v>
      </c>
      <c r="F429">
        <f>_xlfn.XLOOKUP(B429,customer_clean!A:A,customer_clean!E:E)</f>
        <v>30</v>
      </c>
    </row>
    <row r="430" spans="1:6" x14ac:dyDescent="0.35">
      <c r="A430" t="s">
        <v>506</v>
      </c>
      <c r="B430">
        <v>1347</v>
      </c>
      <c r="C430" s="1">
        <v>45627</v>
      </c>
      <c r="D430">
        <v>50</v>
      </c>
      <c r="E430" t="str">
        <f>_xlfn.XLOOKUP(B430,customer_clean!A:A,customer_clean!C:C)</f>
        <v>Basic</v>
      </c>
      <c r="F430">
        <f>_xlfn.XLOOKUP(B430,customer_clean!A:A,customer_clean!E:E)</f>
        <v>30</v>
      </c>
    </row>
    <row r="431" spans="1:6" x14ac:dyDescent="0.35">
      <c r="A431" t="s">
        <v>507</v>
      </c>
      <c r="B431">
        <v>1347</v>
      </c>
      <c r="C431" s="1">
        <v>45658</v>
      </c>
      <c r="D431">
        <v>50</v>
      </c>
      <c r="E431" t="str">
        <f>_xlfn.XLOOKUP(B431,customer_clean!A:A,customer_clean!C:C)</f>
        <v>Basic</v>
      </c>
      <c r="F431">
        <f>_xlfn.XLOOKUP(B431,customer_clean!A:A,customer_clean!E:E)</f>
        <v>30</v>
      </c>
    </row>
    <row r="432" spans="1:6" x14ac:dyDescent="0.35">
      <c r="A432" t="s">
        <v>508</v>
      </c>
      <c r="B432">
        <v>1347</v>
      </c>
      <c r="C432" s="1">
        <v>45689</v>
      </c>
      <c r="D432">
        <v>50</v>
      </c>
      <c r="E432" t="str">
        <f>_xlfn.XLOOKUP(B432,customer_clean!A:A,customer_clean!C:C)</f>
        <v>Basic</v>
      </c>
      <c r="F432">
        <f>_xlfn.XLOOKUP(B432,customer_clean!A:A,customer_clean!E:E)</f>
        <v>30</v>
      </c>
    </row>
    <row r="433" spans="1:6" x14ac:dyDescent="0.35">
      <c r="A433" t="s">
        <v>509</v>
      </c>
      <c r="B433">
        <v>1347</v>
      </c>
      <c r="C433" s="1">
        <v>45717</v>
      </c>
      <c r="D433">
        <v>50</v>
      </c>
      <c r="E433" t="str">
        <f>_xlfn.XLOOKUP(B433,customer_clean!A:A,customer_clean!C:C)</f>
        <v>Basic</v>
      </c>
      <c r="F433">
        <f>_xlfn.XLOOKUP(B433,customer_clean!A:A,customer_clean!E:E)</f>
        <v>30</v>
      </c>
    </row>
    <row r="434" spans="1:6" x14ac:dyDescent="0.35">
      <c r="A434" t="s">
        <v>510</v>
      </c>
      <c r="B434">
        <v>1347</v>
      </c>
      <c r="C434" s="1">
        <v>45748</v>
      </c>
      <c r="D434">
        <v>50</v>
      </c>
      <c r="E434" t="str">
        <f>_xlfn.XLOOKUP(B434,customer_clean!A:A,customer_clean!C:C)</f>
        <v>Basic</v>
      </c>
      <c r="F434">
        <f>_xlfn.XLOOKUP(B434,customer_clean!A:A,customer_clean!E:E)</f>
        <v>30</v>
      </c>
    </row>
    <row r="435" spans="1:6" x14ac:dyDescent="0.35">
      <c r="A435" t="s">
        <v>511</v>
      </c>
      <c r="B435">
        <v>1352</v>
      </c>
      <c r="C435" s="1">
        <v>45323</v>
      </c>
      <c r="D435">
        <v>500</v>
      </c>
      <c r="E435" t="str">
        <f>_xlfn.XLOOKUP(B435,customer_clean!A:A,customer_clean!C:C)</f>
        <v>Enterprise</v>
      </c>
      <c r="F435">
        <f>_xlfn.XLOOKUP(B435,customer_clean!A:A,customer_clean!E:E)</f>
        <v>200</v>
      </c>
    </row>
    <row r="436" spans="1:6" x14ac:dyDescent="0.35">
      <c r="A436" t="s">
        <v>512</v>
      </c>
      <c r="B436">
        <v>1352</v>
      </c>
      <c r="C436" s="1">
        <v>45352</v>
      </c>
      <c r="D436">
        <v>500</v>
      </c>
      <c r="E436" t="str">
        <f>_xlfn.XLOOKUP(B436,customer_clean!A:A,customer_clean!C:C)</f>
        <v>Enterprise</v>
      </c>
      <c r="F436">
        <f>_xlfn.XLOOKUP(B436,customer_clean!A:A,customer_clean!E:E)</f>
        <v>200</v>
      </c>
    </row>
    <row r="437" spans="1:6" x14ac:dyDescent="0.35">
      <c r="A437" t="s">
        <v>513</v>
      </c>
      <c r="B437">
        <v>1352</v>
      </c>
      <c r="C437" s="1">
        <v>45383</v>
      </c>
      <c r="D437">
        <v>500</v>
      </c>
      <c r="E437" t="str">
        <f>_xlfn.XLOOKUP(B437,customer_clean!A:A,customer_clean!C:C)</f>
        <v>Enterprise</v>
      </c>
      <c r="F437">
        <f>_xlfn.XLOOKUP(B437,customer_clean!A:A,customer_clean!E:E)</f>
        <v>200</v>
      </c>
    </row>
    <row r="438" spans="1:6" x14ac:dyDescent="0.35">
      <c r="A438" t="s">
        <v>514</v>
      </c>
      <c r="B438">
        <v>1352</v>
      </c>
      <c r="C438" s="1">
        <v>45413</v>
      </c>
      <c r="D438">
        <v>500</v>
      </c>
      <c r="E438" t="str">
        <f>_xlfn.XLOOKUP(B438,customer_clean!A:A,customer_clean!C:C)</f>
        <v>Enterprise</v>
      </c>
      <c r="F438">
        <f>_xlfn.XLOOKUP(B438,customer_clean!A:A,customer_clean!E:E)</f>
        <v>200</v>
      </c>
    </row>
    <row r="439" spans="1:6" x14ac:dyDescent="0.35">
      <c r="A439" t="s">
        <v>515</v>
      </c>
      <c r="B439">
        <v>1352</v>
      </c>
      <c r="C439" s="1">
        <v>45444</v>
      </c>
      <c r="D439">
        <v>500</v>
      </c>
      <c r="E439" t="str">
        <f>_xlfn.XLOOKUP(B439,customer_clean!A:A,customer_clean!C:C)</f>
        <v>Enterprise</v>
      </c>
      <c r="F439">
        <f>_xlfn.XLOOKUP(B439,customer_clean!A:A,customer_clean!E:E)</f>
        <v>200</v>
      </c>
    </row>
    <row r="440" spans="1:6" x14ac:dyDescent="0.35">
      <c r="A440" t="s">
        <v>516</v>
      </c>
      <c r="B440">
        <v>1352</v>
      </c>
      <c r="C440" s="1">
        <v>45474</v>
      </c>
      <c r="D440">
        <v>500</v>
      </c>
      <c r="E440" t="str">
        <f>_xlfn.XLOOKUP(B440,customer_clean!A:A,customer_clean!C:C)</f>
        <v>Enterprise</v>
      </c>
      <c r="F440">
        <f>_xlfn.XLOOKUP(B440,customer_clean!A:A,customer_clean!E:E)</f>
        <v>200</v>
      </c>
    </row>
    <row r="441" spans="1:6" x14ac:dyDescent="0.35">
      <c r="A441" t="s">
        <v>517</v>
      </c>
      <c r="B441">
        <v>1352</v>
      </c>
      <c r="C441" s="1">
        <v>45505</v>
      </c>
      <c r="D441">
        <v>500</v>
      </c>
      <c r="E441" t="str">
        <f>_xlfn.XLOOKUP(B441,customer_clean!A:A,customer_clean!C:C)</f>
        <v>Enterprise</v>
      </c>
      <c r="F441">
        <f>_xlfn.XLOOKUP(B441,customer_clean!A:A,customer_clean!E:E)</f>
        <v>200</v>
      </c>
    </row>
    <row r="442" spans="1:6" x14ac:dyDescent="0.35">
      <c r="A442" t="s">
        <v>518</v>
      </c>
      <c r="B442">
        <v>1352</v>
      </c>
      <c r="C442" s="1">
        <v>45536</v>
      </c>
      <c r="D442">
        <v>500</v>
      </c>
      <c r="E442" t="str">
        <f>_xlfn.XLOOKUP(B442,customer_clean!A:A,customer_clean!C:C)</f>
        <v>Enterprise</v>
      </c>
      <c r="F442">
        <f>_xlfn.XLOOKUP(B442,customer_clean!A:A,customer_clean!E:E)</f>
        <v>200</v>
      </c>
    </row>
    <row r="443" spans="1:6" x14ac:dyDescent="0.35">
      <c r="A443" t="s">
        <v>519</v>
      </c>
      <c r="B443">
        <v>1352</v>
      </c>
      <c r="C443" s="1">
        <v>45566</v>
      </c>
      <c r="D443">
        <v>500</v>
      </c>
      <c r="E443" t="str">
        <f>_xlfn.XLOOKUP(B443,customer_clean!A:A,customer_clean!C:C)</f>
        <v>Enterprise</v>
      </c>
      <c r="F443">
        <f>_xlfn.XLOOKUP(B443,customer_clean!A:A,customer_clean!E:E)</f>
        <v>200</v>
      </c>
    </row>
    <row r="444" spans="1:6" x14ac:dyDescent="0.35">
      <c r="A444" t="s">
        <v>520</v>
      </c>
      <c r="B444">
        <v>1355</v>
      </c>
      <c r="C444" s="1">
        <v>45627</v>
      </c>
      <c r="D444">
        <v>500</v>
      </c>
      <c r="E444" t="str">
        <f>_xlfn.XLOOKUP(B444,customer_clean!A:A,customer_clean!C:C)</f>
        <v>Enterprise</v>
      </c>
      <c r="F444">
        <f>_xlfn.XLOOKUP(B444,customer_clean!A:A,customer_clean!E:E)</f>
        <v>200</v>
      </c>
    </row>
    <row r="445" spans="1:6" x14ac:dyDescent="0.35">
      <c r="A445" t="s">
        <v>521</v>
      </c>
      <c r="B445">
        <v>1355</v>
      </c>
      <c r="C445" s="1">
        <v>45658</v>
      </c>
      <c r="D445">
        <v>500</v>
      </c>
      <c r="E445" t="str">
        <f>_xlfn.XLOOKUP(B445,customer_clean!A:A,customer_clean!C:C)</f>
        <v>Enterprise</v>
      </c>
      <c r="F445">
        <f>_xlfn.XLOOKUP(B445,customer_clean!A:A,customer_clean!E:E)</f>
        <v>200</v>
      </c>
    </row>
    <row r="446" spans="1:6" x14ac:dyDescent="0.35">
      <c r="A446" t="s">
        <v>522</v>
      </c>
      <c r="B446">
        <v>1355</v>
      </c>
      <c r="C446" s="1">
        <v>45689</v>
      </c>
      <c r="D446">
        <v>500</v>
      </c>
      <c r="E446" t="str">
        <f>_xlfn.XLOOKUP(B446,customer_clean!A:A,customer_clean!C:C)</f>
        <v>Enterprise</v>
      </c>
      <c r="F446">
        <f>_xlfn.XLOOKUP(B446,customer_clean!A:A,customer_clean!E:E)</f>
        <v>200</v>
      </c>
    </row>
    <row r="447" spans="1:6" x14ac:dyDescent="0.35">
      <c r="A447" t="s">
        <v>523</v>
      </c>
      <c r="B447">
        <v>1355</v>
      </c>
      <c r="C447" s="1">
        <v>45717</v>
      </c>
      <c r="D447">
        <v>500</v>
      </c>
      <c r="E447" t="str">
        <f>_xlfn.XLOOKUP(B447,customer_clean!A:A,customer_clean!C:C)</f>
        <v>Enterprise</v>
      </c>
      <c r="F447">
        <f>_xlfn.XLOOKUP(B447,customer_clean!A:A,customer_clean!E:E)</f>
        <v>200</v>
      </c>
    </row>
    <row r="448" spans="1:6" x14ac:dyDescent="0.35">
      <c r="A448" t="s">
        <v>524</v>
      </c>
      <c r="B448">
        <v>1358</v>
      </c>
      <c r="C448" s="1">
        <v>45444</v>
      </c>
      <c r="D448">
        <v>500</v>
      </c>
      <c r="E448" t="str">
        <f>_xlfn.XLOOKUP(B448,customer_clean!A:A,customer_clean!C:C)</f>
        <v>Enterprise</v>
      </c>
      <c r="F448">
        <f>_xlfn.XLOOKUP(B448,customer_clean!A:A,customer_clean!E:E)</f>
        <v>200</v>
      </c>
    </row>
    <row r="449" spans="1:6" x14ac:dyDescent="0.35">
      <c r="A449" t="s">
        <v>525</v>
      </c>
      <c r="B449">
        <v>1358</v>
      </c>
      <c r="C449" s="1">
        <v>45474</v>
      </c>
      <c r="D449">
        <v>500</v>
      </c>
      <c r="E449" t="str">
        <f>_xlfn.XLOOKUP(B449,customer_clean!A:A,customer_clean!C:C)</f>
        <v>Enterprise</v>
      </c>
      <c r="F449">
        <f>_xlfn.XLOOKUP(B449,customer_clean!A:A,customer_clean!E:E)</f>
        <v>200</v>
      </c>
    </row>
    <row r="450" spans="1:6" x14ac:dyDescent="0.35">
      <c r="A450" t="s">
        <v>526</v>
      </c>
      <c r="B450">
        <v>1358</v>
      </c>
      <c r="C450" s="1">
        <v>45505</v>
      </c>
      <c r="D450">
        <v>500</v>
      </c>
      <c r="E450" t="str">
        <f>_xlfn.XLOOKUP(B450,customer_clean!A:A,customer_clean!C:C)</f>
        <v>Enterprise</v>
      </c>
      <c r="F450">
        <f>_xlfn.XLOOKUP(B450,customer_clean!A:A,customer_clean!E:E)</f>
        <v>200</v>
      </c>
    </row>
    <row r="451" spans="1:6" x14ac:dyDescent="0.35">
      <c r="A451" t="s">
        <v>527</v>
      </c>
      <c r="B451">
        <v>1358</v>
      </c>
      <c r="C451" s="1">
        <v>45536</v>
      </c>
      <c r="D451">
        <v>500</v>
      </c>
      <c r="E451" t="str">
        <f>_xlfn.XLOOKUP(B451,customer_clean!A:A,customer_clean!C:C)</f>
        <v>Enterprise</v>
      </c>
      <c r="F451">
        <f>_xlfn.XLOOKUP(B451,customer_clean!A:A,customer_clean!E:E)</f>
        <v>200</v>
      </c>
    </row>
    <row r="452" spans="1:6" x14ac:dyDescent="0.35">
      <c r="A452" t="s">
        <v>528</v>
      </c>
      <c r="B452">
        <v>1358</v>
      </c>
      <c r="C452" s="1">
        <v>45566</v>
      </c>
      <c r="D452">
        <v>500</v>
      </c>
      <c r="E452" t="str">
        <f>_xlfn.XLOOKUP(B452,customer_clean!A:A,customer_clean!C:C)</f>
        <v>Enterprise</v>
      </c>
      <c r="F452">
        <f>_xlfn.XLOOKUP(B452,customer_clean!A:A,customer_clean!E:E)</f>
        <v>200</v>
      </c>
    </row>
    <row r="453" spans="1:6" x14ac:dyDescent="0.35">
      <c r="A453" t="s">
        <v>529</v>
      </c>
      <c r="B453">
        <v>1358</v>
      </c>
      <c r="C453" s="1">
        <v>45597</v>
      </c>
      <c r="D453">
        <v>500</v>
      </c>
      <c r="E453" t="str">
        <f>_xlfn.XLOOKUP(B453,customer_clean!A:A,customer_clean!C:C)</f>
        <v>Enterprise</v>
      </c>
      <c r="F453">
        <f>_xlfn.XLOOKUP(B453,customer_clean!A:A,customer_clean!E:E)</f>
        <v>200</v>
      </c>
    </row>
    <row r="454" spans="1:6" x14ac:dyDescent="0.35">
      <c r="A454" t="s">
        <v>530</v>
      </c>
      <c r="B454">
        <v>1358</v>
      </c>
      <c r="C454" s="1">
        <v>45627</v>
      </c>
      <c r="D454">
        <v>500</v>
      </c>
      <c r="E454" t="str">
        <f>_xlfn.XLOOKUP(B454,customer_clean!A:A,customer_clean!C:C)</f>
        <v>Enterprise</v>
      </c>
      <c r="F454">
        <f>_xlfn.XLOOKUP(B454,customer_clean!A:A,customer_clean!E:E)</f>
        <v>200</v>
      </c>
    </row>
    <row r="455" spans="1:6" x14ac:dyDescent="0.35">
      <c r="A455" t="s">
        <v>531</v>
      </c>
      <c r="B455">
        <v>1358</v>
      </c>
      <c r="C455" s="1">
        <v>45658</v>
      </c>
      <c r="D455">
        <v>500</v>
      </c>
      <c r="E455" t="str">
        <f>_xlfn.XLOOKUP(B455,customer_clean!A:A,customer_clean!C:C)</f>
        <v>Enterprise</v>
      </c>
      <c r="F455">
        <f>_xlfn.XLOOKUP(B455,customer_clean!A:A,customer_clean!E:E)</f>
        <v>200</v>
      </c>
    </row>
    <row r="456" spans="1:6" x14ac:dyDescent="0.35">
      <c r="A456" t="s">
        <v>532</v>
      </c>
      <c r="B456">
        <v>1358</v>
      </c>
      <c r="C456" s="1">
        <v>45689</v>
      </c>
      <c r="D456">
        <v>500</v>
      </c>
      <c r="E456" t="str">
        <f>_xlfn.XLOOKUP(B456,customer_clean!A:A,customer_clean!C:C)</f>
        <v>Enterprise</v>
      </c>
      <c r="F456">
        <f>_xlfn.XLOOKUP(B456,customer_clean!A:A,customer_clean!E:E)</f>
        <v>200</v>
      </c>
    </row>
    <row r="457" spans="1:6" x14ac:dyDescent="0.35">
      <c r="A457" t="s">
        <v>533</v>
      </c>
      <c r="B457">
        <v>1358</v>
      </c>
      <c r="C457" s="1">
        <v>45717</v>
      </c>
      <c r="D457">
        <v>500</v>
      </c>
      <c r="E457" t="str">
        <f>_xlfn.XLOOKUP(B457,customer_clean!A:A,customer_clean!C:C)</f>
        <v>Enterprise</v>
      </c>
      <c r="F457">
        <f>_xlfn.XLOOKUP(B457,customer_clean!A:A,customer_clean!E:E)</f>
        <v>200</v>
      </c>
    </row>
    <row r="458" spans="1:6" x14ac:dyDescent="0.35">
      <c r="A458" t="s">
        <v>534</v>
      </c>
      <c r="B458">
        <v>1359</v>
      </c>
      <c r="C458" s="1">
        <v>45748</v>
      </c>
      <c r="D458">
        <v>50</v>
      </c>
      <c r="E458" t="str">
        <f>_xlfn.XLOOKUP(B458,customer_clean!A:A,customer_clean!C:C)</f>
        <v>Basic</v>
      </c>
      <c r="F458">
        <f>_xlfn.XLOOKUP(B458,customer_clean!A:A,customer_clean!E:E)</f>
        <v>30</v>
      </c>
    </row>
    <row r="459" spans="1:6" x14ac:dyDescent="0.35">
      <c r="A459" t="s">
        <v>535</v>
      </c>
      <c r="B459">
        <v>1359</v>
      </c>
      <c r="C459" s="1">
        <v>45778</v>
      </c>
      <c r="D459">
        <v>50</v>
      </c>
      <c r="E459" t="str">
        <f>_xlfn.XLOOKUP(B459,customer_clean!A:A,customer_clean!C:C)</f>
        <v>Basic</v>
      </c>
      <c r="F459">
        <f>_xlfn.XLOOKUP(B459,customer_clean!A:A,customer_clean!E:E)</f>
        <v>30</v>
      </c>
    </row>
    <row r="460" spans="1:6" x14ac:dyDescent="0.35">
      <c r="A460" t="s">
        <v>536</v>
      </c>
      <c r="B460">
        <v>1359</v>
      </c>
      <c r="C460" s="1">
        <v>45809</v>
      </c>
      <c r="D460">
        <v>50</v>
      </c>
      <c r="E460" t="str">
        <f>_xlfn.XLOOKUP(B460,customer_clean!A:A,customer_clean!C:C)</f>
        <v>Basic</v>
      </c>
      <c r="F460">
        <f>_xlfn.XLOOKUP(B460,customer_clean!A:A,customer_clean!E:E)</f>
        <v>30</v>
      </c>
    </row>
    <row r="461" spans="1:6" x14ac:dyDescent="0.35">
      <c r="A461" t="s">
        <v>537</v>
      </c>
      <c r="B461">
        <v>1379</v>
      </c>
      <c r="C461" s="1">
        <v>45536</v>
      </c>
      <c r="D461">
        <v>50</v>
      </c>
      <c r="E461" t="str">
        <f>_xlfn.XLOOKUP(B461,customer_clean!A:A,customer_clean!C:C)</f>
        <v>Basic</v>
      </c>
      <c r="F461">
        <f>_xlfn.XLOOKUP(B461,customer_clean!A:A,customer_clean!E:E)</f>
        <v>30</v>
      </c>
    </row>
    <row r="462" spans="1:6" x14ac:dyDescent="0.35">
      <c r="A462" t="s">
        <v>538</v>
      </c>
      <c r="B462">
        <v>1379</v>
      </c>
      <c r="C462" s="1">
        <v>45566</v>
      </c>
      <c r="D462">
        <v>50</v>
      </c>
      <c r="E462" t="str">
        <f>_xlfn.XLOOKUP(B462,customer_clean!A:A,customer_clean!C:C)</f>
        <v>Basic</v>
      </c>
      <c r="F462">
        <f>_xlfn.XLOOKUP(B462,customer_clean!A:A,customer_clean!E:E)</f>
        <v>30</v>
      </c>
    </row>
    <row r="463" spans="1:6" x14ac:dyDescent="0.35">
      <c r="A463" t="s">
        <v>539</v>
      </c>
      <c r="B463">
        <v>1379</v>
      </c>
      <c r="C463" s="1">
        <v>45597</v>
      </c>
      <c r="D463">
        <v>50</v>
      </c>
      <c r="E463" t="str">
        <f>_xlfn.XLOOKUP(B463,customer_clean!A:A,customer_clean!C:C)</f>
        <v>Basic</v>
      </c>
      <c r="F463">
        <f>_xlfn.XLOOKUP(B463,customer_clean!A:A,customer_clean!E:E)</f>
        <v>30</v>
      </c>
    </row>
    <row r="464" spans="1:6" x14ac:dyDescent="0.35">
      <c r="A464" t="s">
        <v>540</v>
      </c>
      <c r="B464">
        <v>1379</v>
      </c>
      <c r="C464" s="1">
        <v>45627</v>
      </c>
      <c r="D464">
        <v>50</v>
      </c>
      <c r="E464" t="str">
        <f>_xlfn.XLOOKUP(B464,customer_clean!A:A,customer_clean!C:C)</f>
        <v>Basic</v>
      </c>
      <c r="F464">
        <f>_xlfn.XLOOKUP(B464,customer_clean!A:A,customer_clean!E:E)</f>
        <v>30</v>
      </c>
    </row>
    <row r="465" spans="1:6" x14ac:dyDescent="0.35">
      <c r="A465" t="s">
        <v>541</v>
      </c>
      <c r="B465">
        <v>1379</v>
      </c>
      <c r="C465" s="1">
        <v>45658</v>
      </c>
      <c r="D465">
        <v>50</v>
      </c>
      <c r="E465" t="str">
        <f>_xlfn.XLOOKUP(B465,customer_clean!A:A,customer_clean!C:C)</f>
        <v>Basic</v>
      </c>
      <c r="F465">
        <f>_xlfn.XLOOKUP(B465,customer_clean!A:A,customer_clean!E:E)</f>
        <v>30</v>
      </c>
    </row>
    <row r="466" spans="1:6" x14ac:dyDescent="0.35">
      <c r="A466" t="s">
        <v>542</v>
      </c>
      <c r="B466">
        <v>1379</v>
      </c>
      <c r="C466" s="1">
        <v>45689</v>
      </c>
      <c r="D466">
        <v>50</v>
      </c>
      <c r="E466" t="str">
        <f>_xlfn.XLOOKUP(B466,customer_clean!A:A,customer_clean!C:C)</f>
        <v>Basic</v>
      </c>
      <c r="F466">
        <f>_xlfn.XLOOKUP(B466,customer_clean!A:A,customer_clean!E:E)</f>
        <v>30</v>
      </c>
    </row>
    <row r="467" spans="1:6" x14ac:dyDescent="0.35">
      <c r="A467" t="s">
        <v>543</v>
      </c>
      <c r="B467">
        <v>1380</v>
      </c>
      <c r="C467" s="1">
        <v>45352</v>
      </c>
      <c r="D467">
        <v>200</v>
      </c>
      <c r="E467" t="str">
        <f>_xlfn.XLOOKUP(B467,customer_clean!A:A,customer_clean!C:C)</f>
        <v>Pro</v>
      </c>
      <c r="F467">
        <f>_xlfn.XLOOKUP(B467,customer_clean!A:A,customer_clean!E:E)</f>
        <v>100</v>
      </c>
    </row>
    <row r="468" spans="1:6" x14ac:dyDescent="0.35">
      <c r="A468" t="s">
        <v>544</v>
      </c>
      <c r="B468">
        <v>1380</v>
      </c>
      <c r="C468" s="1">
        <v>45383</v>
      </c>
      <c r="D468">
        <v>200</v>
      </c>
      <c r="E468" t="str">
        <f>_xlfn.XLOOKUP(B468,customer_clean!A:A,customer_clean!C:C)</f>
        <v>Pro</v>
      </c>
      <c r="F468">
        <f>_xlfn.XLOOKUP(B468,customer_clean!A:A,customer_clean!E:E)</f>
        <v>100</v>
      </c>
    </row>
    <row r="469" spans="1:6" x14ac:dyDescent="0.35">
      <c r="A469" t="s">
        <v>545</v>
      </c>
      <c r="B469">
        <v>1380</v>
      </c>
      <c r="C469" s="1">
        <v>45413</v>
      </c>
      <c r="D469">
        <v>200</v>
      </c>
      <c r="E469" t="str">
        <f>_xlfn.XLOOKUP(B469,customer_clean!A:A,customer_clean!C:C)</f>
        <v>Pro</v>
      </c>
      <c r="F469">
        <f>_xlfn.XLOOKUP(B469,customer_clean!A:A,customer_clean!E:E)</f>
        <v>100</v>
      </c>
    </row>
    <row r="470" spans="1:6" x14ac:dyDescent="0.35">
      <c r="A470" t="s">
        <v>546</v>
      </c>
      <c r="B470">
        <v>1380</v>
      </c>
      <c r="C470" s="1">
        <v>45444</v>
      </c>
      <c r="D470">
        <v>200</v>
      </c>
      <c r="E470" t="str">
        <f>_xlfn.XLOOKUP(B470,customer_clean!A:A,customer_clean!C:C)</f>
        <v>Pro</v>
      </c>
      <c r="F470">
        <f>_xlfn.XLOOKUP(B470,customer_clean!A:A,customer_clean!E:E)</f>
        <v>100</v>
      </c>
    </row>
    <row r="471" spans="1:6" x14ac:dyDescent="0.35">
      <c r="A471" t="s">
        <v>547</v>
      </c>
      <c r="B471">
        <v>1380</v>
      </c>
      <c r="C471" s="1">
        <v>45474</v>
      </c>
      <c r="D471">
        <v>200</v>
      </c>
      <c r="E471" t="str">
        <f>_xlfn.XLOOKUP(B471,customer_clean!A:A,customer_clean!C:C)</f>
        <v>Pro</v>
      </c>
      <c r="F471">
        <f>_xlfn.XLOOKUP(B471,customer_clean!A:A,customer_clean!E:E)</f>
        <v>100</v>
      </c>
    </row>
    <row r="472" spans="1:6" x14ac:dyDescent="0.35">
      <c r="A472" t="s">
        <v>548</v>
      </c>
      <c r="B472">
        <v>1380</v>
      </c>
      <c r="C472" s="1">
        <v>45505</v>
      </c>
      <c r="D472">
        <v>200</v>
      </c>
      <c r="E472" t="str">
        <f>_xlfn.XLOOKUP(B472,customer_clean!A:A,customer_clean!C:C)</f>
        <v>Pro</v>
      </c>
      <c r="F472">
        <f>_xlfn.XLOOKUP(B472,customer_clean!A:A,customer_clean!E:E)</f>
        <v>100</v>
      </c>
    </row>
    <row r="473" spans="1:6" x14ac:dyDescent="0.35">
      <c r="A473" t="s">
        <v>549</v>
      </c>
      <c r="B473">
        <v>1380</v>
      </c>
      <c r="C473" s="1">
        <v>45536</v>
      </c>
      <c r="D473">
        <v>200</v>
      </c>
      <c r="E473" t="str">
        <f>_xlfn.XLOOKUP(B473,customer_clean!A:A,customer_clean!C:C)</f>
        <v>Pro</v>
      </c>
      <c r="F473">
        <f>_xlfn.XLOOKUP(B473,customer_clean!A:A,customer_clean!E:E)</f>
        <v>100</v>
      </c>
    </row>
    <row r="474" spans="1:6" x14ac:dyDescent="0.35">
      <c r="A474" t="s">
        <v>550</v>
      </c>
      <c r="B474">
        <v>1380</v>
      </c>
      <c r="C474" s="1">
        <v>45566</v>
      </c>
      <c r="D474">
        <v>200</v>
      </c>
      <c r="E474" t="str">
        <f>_xlfn.XLOOKUP(B474,customer_clean!A:A,customer_clean!C:C)</f>
        <v>Pro</v>
      </c>
      <c r="F474">
        <f>_xlfn.XLOOKUP(B474,customer_clean!A:A,customer_clean!E:E)</f>
        <v>100</v>
      </c>
    </row>
    <row r="475" spans="1:6" x14ac:dyDescent="0.35">
      <c r="A475" t="s">
        <v>551</v>
      </c>
      <c r="B475">
        <v>1380</v>
      </c>
      <c r="C475" s="1">
        <v>45597</v>
      </c>
      <c r="D475">
        <v>200</v>
      </c>
      <c r="E475" t="str">
        <f>_xlfn.XLOOKUP(B475,customer_clean!A:A,customer_clean!C:C)</f>
        <v>Pro</v>
      </c>
      <c r="F475">
        <f>_xlfn.XLOOKUP(B475,customer_clean!A:A,customer_clean!E:E)</f>
        <v>100</v>
      </c>
    </row>
    <row r="476" spans="1:6" x14ac:dyDescent="0.35">
      <c r="A476" t="s">
        <v>552</v>
      </c>
      <c r="B476">
        <v>1380</v>
      </c>
      <c r="C476" s="1">
        <v>45627</v>
      </c>
      <c r="D476">
        <v>200</v>
      </c>
      <c r="E476" t="str">
        <f>_xlfn.XLOOKUP(B476,customer_clean!A:A,customer_clean!C:C)</f>
        <v>Pro</v>
      </c>
      <c r="F476">
        <f>_xlfn.XLOOKUP(B476,customer_clean!A:A,customer_clean!E:E)</f>
        <v>100</v>
      </c>
    </row>
    <row r="477" spans="1:6" x14ac:dyDescent="0.35">
      <c r="A477" t="s">
        <v>553</v>
      </c>
      <c r="B477">
        <v>1380</v>
      </c>
      <c r="C477" s="1">
        <v>45658</v>
      </c>
      <c r="D477">
        <v>200</v>
      </c>
      <c r="E477" t="str">
        <f>_xlfn.XLOOKUP(B477,customer_clean!A:A,customer_clean!C:C)</f>
        <v>Pro</v>
      </c>
      <c r="F477">
        <f>_xlfn.XLOOKUP(B477,customer_clean!A:A,customer_clean!E:E)</f>
        <v>100</v>
      </c>
    </row>
    <row r="478" spans="1:6" x14ac:dyDescent="0.35">
      <c r="A478" t="s">
        <v>554</v>
      </c>
      <c r="B478">
        <v>1380</v>
      </c>
      <c r="C478" s="1">
        <v>45689</v>
      </c>
      <c r="D478">
        <v>200</v>
      </c>
      <c r="E478" t="str">
        <f>_xlfn.XLOOKUP(B478,customer_clean!A:A,customer_clean!C:C)</f>
        <v>Pro</v>
      </c>
      <c r="F478">
        <f>_xlfn.XLOOKUP(B478,customer_clean!A:A,customer_clean!E:E)</f>
        <v>100</v>
      </c>
    </row>
    <row r="479" spans="1:6" x14ac:dyDescent="0.35">
      <c r="A479" t="s">
        <v>555</v>
      </c>
      <c r="B479">
        <v>1380</v>
      </c>
      <c r="C479" s="1">
        <v>45717</v>
      </c>
      <c r="D479">
        <v>200</v>
      </c>
      <c r="E479" t="str">
        <f>_xlfn.XLOOKUP(B479,customer_clean!A:A,customer_clean!C:C)</f>
        <v>Pro</v>
      </c>
      <c r="F479">
        <f>_xlfn.XLOOKUP(B479,customer_clean!A:A,customer_clean!E:E)</f>
        <v>100</v>
      </c>
    </row>
    <row r="480" spans="1:6" x14ac:dyDescent="0.35">
      <c r="A480" t="s">
        <v>556</v>
      </c>
      <c r="B480">
        <v>1380</v>
      </c>
      <c r="C480" s="1">
        <v>45748</v>
      </c>
      <c r="D480">
        <v>200</v>
      </c>
      <c r="E480" t="str">
        <f>_xlfn.XLOOKUP(B480,customer_clean!A:A,customer_clean!C:C)</f>
        <v>Pro</v>
      </c>
      <c r="F480">
        <f>_xlfn.XLOOKUP(B480,customer_clean!A:A,customer_clean!E:E)</f>
        <v>100</v>
      </c>
    </row>
    <row r="481" spans="1:6" x14ac:dyDescent="0.35">
      <c r="A481" t="s">
        <v>557</v>
      </c>
      <c r="B481">
        <v>1380</v>
      </c>
      <c r="C481" s="1">
        <v>45778</v>
      </c>
      <c r="D481">
        <v>200</v>
      </c>
      <c r="E481" t="str">
        <f>_xlfn.XLOOKUP(B481,customer_clean!A:A,customer_clean!C:C)</f>
        <v>Pro</v>
      </c>
      <c r="F481">
        <f>_xlfn.XLOOKUP(B481,customer_clean!A:A,customer_clean!E:E)</f>
        <v>100</v>
      </c>
    </row>
    <row r="482" spans="1:6" x14ac:dyDescent="0.35">
      <c r="A482" t="s">
        <v>558</v>
      </c>
      <c r="B482">
        <v>1382</v>
      </c>
      <c r="C482" s="1">
        <v>45748</v>
      </c>
      <c r="D482">
        <v>200</v>
      </c>
      <c r="E482" t="str">
        <f>_xlfn.XLOOKUP(B482,customer_clean!A:A,customer_clean!C:C)</f>
        <v>Pro</v>
      </c>
      <c r="F482">
        <f>_xlfn.XLOOKUP(B482,customer_clean!A:A,customer_clean!E:E)</f>
        <v>100</v>
      </c>
    </row>
    <row r="483" spans="1:6" x14ac:dyDescent="0.35">
      <c r="A483" t="s">
        <v>559</v>
      </c>
      <c r="B483">
        <v>1382</v>
      </c>
      <c r="C483" s="1">
        <v>45778</v>
      </c>
      <c r="D483">
        <v>200</v>
      </c>
      <c r="E483" t="str">
        <f>_xlfn.XLOOKUP(B483,customer_clean!A:A,customer_clean!C:C)</f>
        <v>Pro</v>
      </c>
      <c r="F483">
        <f>_xlfn.XLOOKUP(B483,customer_clean!A:A,customer_clean!E:E)</f>
        <v>100</v>
      </c>
    </row>
    <row r="484" spans="1:6" x14ac:dyDescent="0.35">
      <c r="A484" t="s">
        <v>560</v>
      </c>
      <c r="B484">
        <v>1386</v>
      </c>
      <c r="C484" s="1">
        <v>45383</v>
      </c>
      <c r="D484">
        <v>500</v>
      </c>
      <c r="E484" t="str">
        <f>_xlfn.XLOOKUP(B484,customer_clean!A:A,customer_clean!C:C)</f>
        <v>Enterprise</v>
      </c>
      <c r="F484">
        <f>_xlfn.XLOOKUP(B484,customer_clean!A:A,customer_clean!E:E)</f>
        <v>200</v>
      </c>
    </row>
    <row r="485" spans="1:6" x14ac:dyDescent="0.35">
      <c r="A485" t="s">
        <v>561</v>
      </c>
      <c r="B485">
        <v>1386</v>
      </c>
      <c r="C485" s="1">
        <v>45413</v>
      </c>
      <c r="D485">
        <v>500</v>
      </c>
      <c r="E485" t="str">
        <f>_xlfn.XLOOKUP(B485,customer_clean!A:A,customer_clean!C:C)</f>
        <v>Enterprise</v>
      </c>
      <c r="F485">
        <f>_xlfn.XLOOKUP(B485,customer_clean!A:A,customer_clean!E:E)</f>
        <v>200</v>
      </c>
    </row>
    <row r="486" spans="1:6" x14ac:dyDescent="0.35">
      <c r="A486" t="s">
        <v>562</v>
      </c>
      <c r="B486">
        <v>1386</v>
      </c>
      <c r="C486" s="1">
        <v>45444</v>
      </c>
      <c r="D486">
        <v>500</v>
      </c>
      <c r="E486" t="str">
        <f>_xlfn.XLOOKUP(B486,customer_clean!A:A,customer_clean!C:C)</f>
        <v>Enterprise</v>
      </c>
      <c r="F486">
        <f>_xlfn.XLOOKUP(B486,customer_clean!A:A,customer_clean!E:E)</f>
        <v>200</v>
      </c>
    </row>
    <row r="487" spans="1:6" x14ac:dyDescent="0.35">
      <c r="A487" t="s">
        <v>563</v>
      </c>
      <c r="B487">
        <v>1386</v>
      </c>
      <c r="C487" s="1">
        <v>45474</v>
      </c>
      <c r="D487">
        <v>500</v>
      </c>
      <c r="E487" t="str">
        <f>_xlfn.XLOOKUP(B487,customer_clean!A:A,customer_clean!C:C)</f>
        <v>Enterprise</v>
      </c>
      <c r="F487">
        <f>_xlfn.XLOOKUP(B487,customer_clean!A:A,customer_clean!E:E)</f>
        <v>200</v>
      </c>
    </row>
    <row r="488" spans="1:6" x14ac:dyDescent="0.35">
      <c r="A488" t="s">
        <v>564</v>
      </c>
      <c r="B488">
        <v>1386</v>
      </c>
      <c r="C488" s="1">
        <v>45505</v>
      </c>
      <c r="D488">
        <v>500</v>
      </c>
      <c r="E488" t="str">
        <f>_xlfn.XLOOKUP(B488,customer_clean!A:A,customer_clean!C:C)</f>
        <v>Enterprise</v>
      </c>
      <c r="F488">
        <f>_xlfn.XLOOKUP(B488,customer_clean!A:A,customer_clean!E:E)</f>
        <v>200</v>
      </c>
    </row>
    <row r="489" spans="1:6" x14ac:dyDescent="0.35">
      <c r="A489" t="s">
        <v>565</v>
      </c>
      <c r="B489">
        <v>1386</v>
      </c>
      <c r="C489" s="1">
        <v>45536</v>
      </c>
      <c r="D489">
        <v>500</v>
      </c>
      <c r="E489" t="str">
        <f>_xlfn.XLOOKUP(B489,customer_clean!A:A,customer_clean!C:C)</f>
        <v>Enterprise</v>
      </c>
      <c r="F489">
        <f>_xlfn.XLOOKUP(B489,customer_clean!A:A,customer_clean!E:E)</f>
        <v>200</v>
      </c>
    </row>
    <row r="490" spans="1:6" x14ac:dyDescent="0.35">
      <c r="A490" t="s">
        <v>566</v>
      </c>
      <c r="B490">
        <v>1386</v>
      </c>
      <c r="C490" s="1">
        <v>45566</v>
      </c>
      <c r="D490">
        <v>500</v>
      </c>
      <c r="E490" t="str">
        <f>_xlfn.XLOOKUP(B490,customer_clean!A:A,customer_clean!C:C)</f>
        <v>Enterprise</v>
      </c>
      <c r="F490">
        <f>_xlfn.XLOOKUP(B490,customer_clean!A:A,customer_clean!E:E)</f>
        <v>200</v>
      </c>
    </row>
    <row r="491" spans="1:6" x14ac:dyDescent="0.35">
      <c r="A491" t="s">
        <v>567</v>
      </c>
      <c r="B491">
        <v>1393</v>
      </c>
      <c r="C491" s="1">
        <v>45536</v>
      </c>
      <c r="D491">
        <v>500</v>
      </c>
      <c r="E491" t="str">
        <f>_xlfn.XLOOKUP(B491,customer_clean!A:A,customer_clean!C:C)</f>
        <v>Enterprise</v>
      </c>
      <c r="F491">
        <f>_xlfn.XLOOKUP(B491,customer_clean!A:A,customer_clean!E:E)</f>
        <v>200</v>
      </c>
    </row>
    <row r="492" spans="1:6" x14ac:dyDescent="0.35">
      <c r="A492" t="s">
        <v>568</v>
      </c>
      <c r="B492">
        <v>1393</v>
      </c>
      <c r="C492" s="1">
        <v>45566</v>
      </c>
      <c r="D492">
        <v>500</v>
      </c>
      <c r="E492" t="str">
        <f>_xlfn.XLOOKUP(B492,customer_clean!A:A,customer_clean!C:C)</f>
        <v>Enterprise</v>
      </c>
      <c r="F492">
        <f>_xlfn.XLOOKUP(B492,customer_clean!A:A,customer_clean!E:E)</f>
        <v>200</v>
      </c>
    </row>
    <row r="493" spans="1:6" x14ac:dyDescent="0.35">
      <c r="A493" t="s">
        <v>569</v>
      </c>
      <c r="B493">
        <v>1393</v>
      </c>
      <c r="C493" s="1">
        <v>45597</v>
      </c>
      <c r="D493">
        <v>500</v>
      </c>
      <c r="E493" t="str">
        <f>_xlfn.XLOOKUP(B493,customer_clean!A:A,customer_clean!C:C)</f>
        <v>Enterprise</v>
      </c>
      <c r="F493">
        <f>_xlfn.XLOOKUP(B493,customer_clean!A:A,customer_clean!E:E)</f>
        <v>200</v>
      </c>
    </row>
    <row r="494" spans="1:6" x14ac:dyDescent="0.35">
      <c r="A494" t="s">
        <v>570</v>
      </c>
      <c r="B494">
        <v>1393</v>
      </c>
      <c r="C494" s="1">
        <v>45627</v>
      </c>
      <c r="D494">
        <v>500</v>
      </c>
      <c r="E494" t="str">
        <f>_xlfn.XLOOKUP(B494,customer_clean!A:A,customer_clean!C:C)</f>
        <v>Enterprise</v>
      </c>
      <c r="F494">
        <f>_xlfn.XLOOKUP(B494,customer_clean!A:A,customer_clean!E:E)</f>
        <v>200</v>
      </c>
    </row>
    <row r="495" spans="1:6" x14ac:dyDescent="0.35">
      <c r="A495" t="s">
        <v>571</v>
      </c>
      <c r="B495">
        <v>1393</v>
      </c>
      <c r="C495" s="1">
        <v>45658</v>
      </c>
      <c r="D495">
        <v>500</v>
      </c>
      <c r="E495" t="str">
        <f>_xlfn.XLOOKUP(B495,customer_clean!A:A,customer_clean!C:C)</f>
        <v>Enterprise</v>
      </c>
      <c r="F495">
        <f>_xlfn.XLOOKUP(B495,customer_clean!A:A,customer_clean!E:E)</f>
        <v>200</v>
      </c>
    </row>
    <row r="496" spans="1:6" x14ac:dyDescent="0.35">
      <c r="A496" t="s">
        <v>572</v>
      </c>
      <c r="B496">
        <v>1393</v>
      </c>
      <c r="C496" s="1">
        <v>45689</v>
      </c>
      <c r="D496">
        <v>500</v>
      </c>
      <c r="E496" t="str">
        <f>_xlfn.XLOOKUP(B496,customer_clean!A:A,customer_clean!C:C)</f>
        <v>Enterprise</v>
      </c>
      <c r="F496">
        <f>_xlfn.XLOOKUP(B496,customer_clean!A:A,customer_clean!E:E)</f>
        <v>200</v>
      </c>
    </row>
    <row r="497" spans="1:6" x14ac:dyDescent="0.35">
      <c r="A497" t="s">
        <v>573</v>
      </c>
      <c r="B497">
        <v>1393</v>
      </c>
      <c r="C497" s="1">
        <v>45717</v>
      </c>
      <c r="D497">
        <v>500</v>
      </c>
      <c r="E497" t="str">
        <f>_xlfn.XLOOKUP(B497,customer_clean!A:A,customer_clean!C:C)</f>
        <v>Enterprise</v>
      </c>
      <c r="F497">
        <f>_xlfn.XLOOKUP(B497,customer_clean!A:A,customer_clean!E:E)</f>
        <v>200</v>
      </c>
    </row>
    <row r="498" spans="1:6" x14ac:dyDescent="0.35">
      <c r="A498" t="s">
        <v>574</v>
      </c>
      <c r="B498">
        <v>1393</v>
      </c>
      <c r="C498" s="1">
        <v>45748</v>
      </c>
      <c r="D498">
        <v>500</v>
      </c>
      <c r="E498" t="str">
        <f>_xlfn.XLOOKUP(B498,customer_clean!A:A,customer_clean!C:C)</f>
        <v>Enterprise</v>
      </c>
      <c r="F498">
        <f>_xlfn.XLOOKUP(B498,customer_clean!A:A,customer_clean!E:E)</f>
        <v>200</v>
      </c>
    </row>
    <row r="499" spans="1:6" x14ac:dyDescent="0.35">
      <c r="A499" t="s">
        <v>575</v>
      </c>
      <c r="B499">
        <v>1397</v>
      </c>
      <c r="C499" s="1">
        <v>45413</v>
      </c>
      <c r="D499">
        <v>50</v>
      </c>
      <c r="E499" t="str">
        <f>_xlfn.XLOOKUP(B499,customer_clean!A:A,customer_clean!C:C)</f>
        <v>Basic</v>
      </c>
      <c r="F499">
        <f>_xlfn.XLOOKUP(B499,customer_clean!A:A,customer_clean!E:E)</f>
        <v>30</v>
      </c>
    </row>
    <row r="500" spans="1:6" x14ac:dyDescent="0.35">
      <c r="A500" t="s">
        <v>576</v>
      </c>
      <c r="B500">
        <v>1397</v>
      </c>
      <c r="C500" s="1">
        <v>45444</v>
      </c>
      <c r="D500">
        <v>50</v>
      </c>
      <c r="E500" t="str">
        <f>_xlfn.XLOOKUP(B500,customer_clean!A:A,customer_clean!C:C)</f>
        <v>Basic</v>
      </c>
      <c r="F500">
        <f>_xlfn.XLOOKUP(B500,customer_clean!A:A,customer_clean!E:E)</f>
        <v>30</v>
      </c>
    </row>
    <row r="501" spans="1:6" x14ac:dyDescent="0.35">
      <c r="A501" t="s">
        <v>577</v>
      </c>
      <c r="B501">
        <v>1397</v>
      </c>
      <c r="C501" s="1">
        <v>45474</v>
      </c>
      <c r="D501">
        <v>50</v>
      </c>
      <c r="E501" t="str">
        <f>_xlfn.XLOOKUP(B501,customer_clean!A:A,customer_clean!C:C)</f>
        <v>Basic</v>
      </c>
      <c r="F501">
        <f>_xlfn.XLOOKUP(B501,customer_clean!A:A,customer_clean!E:E)</f>
        <v>30</v>
      </c>
    </row>
    <row r="502" spans="1:6" x14ac:dyDescent="0.35">
      <c r="A502" t="s">
        <v>578</v>
      </c>
      <c r="B502">
        <v>1397</v>
      </c>
      <c r="C502" s="1">
        <v>45505</v>
      </c>
      <c r="D502">
        <v>50</v>
      </c>
      <c r="E502" t="str">
        <f>_xlfn.XLOOKUP(B502,customer_clean!A:A,customer_clean!C:C)</f>
        <v>Basic</v>
      </c>
      <c r="F502">
        <f>_xlfn.XLOOKUP(B502,customer_clean!A:A,customer_clean!E:E)</f>
        <v>30</v>
      </c>
    </row>
    <row r="503" spans="1:6" x14ac:dyDescent="0.35">
      <c r="A503" t="s">
        <v>579</v>
      </c>
      <c r="B503">
        <v>1397</v>
      </c>
      <c r="C503" s="1">
        <v>45536</v>
      </c>
      <c r="D503">
        <v>50</v>
      </c>
      <c r="E503" t="str">
        <f>_xlfn.XLOOKUP(B503,customer_clean!A:A,customer_clean!C:C)</f>
        <v>Basic</v>
      </c>
      <c r="F503">
        <f>_xlfn.XLOOKUP(B503,customer_clean!A:A,customer_clean!E:E)</f>
        <v>30</v>
      </c>
    </row>
    <row r="504" spans="1:6" x14ac:dyDescent="0.35">
      <c r="A504" t="s">
        <v>580</v>
      </c>
      <c r="B504">
        <v>1397</v>
      </c>
      <c r="C504" s="1">
        <v>45566</v>
      </c>
      <c r="D504">
        <v>50</v>
      </c>
      <c r="E504" t="str">
        <f>_xlfn.XLOOKUP(B504,customer_clean!A:A,customer_clean!C:C)</f>
        <v>Basic</v>
      </c>
      <c r="F504">
        <f>_xlfn.XLOOKUP(B504,customer_clean!A:A,customer_clean!E:E)</f>
        <v>30</v>
      </c>
    </row>
    <row r="505" spans="1:6" x14ac:dyDescent="0.35">
      <c r="A505" t="s">
        <v>581</v>
      </c>
      <c r="B505">
        <v>1397</v>
      </c>
      <c r="C505" s="1">
        <v>45597</v>
      </c>
      <c r="D505">
        <v>50</v>
      </c>
      <c r="E505" t="str">
        <f>_xlfn.XLOOKUP(B505,customer_clean!A:A,customer_clean!C:C)</f>
        <v>Basic</v>
      </c>
      <c r="F505">
        <f>_xlfn.XLOOKUP(B505,customer_clean!A:A,customer_clean!E:E)</f>
        <v>30</v>
      </c>
    </row>
    <row r="506" spans="1:6" x14ac:dyDescent="0.35">
      <c r="A506" t="s">
        <v>582</v>
      </c>
      <c r="B506">
        <v>1397</v>
      </c>
      <c r="C506" s="1">
        <v>45627</v>
      </c>
      <c r="D506">
        <v>50</v>
      </c>
      <c r="E506" t="str">
        <f>_xlfn.XLOOKUP(B506,customer_clean!A:A,customer_clean!C:C)</f>
        <v>Basic</v>
      </c>
      <c r="F506">
        <f>_xlfn.XLOOKUP(B506,customer_clean!A:A,customer_clean!E:E)</f>
        <v>30</v>
      </c>
    </row>
    <row r="507" spans="1:6" x14ac:dyDescent="0.35">
      <c r="A507" t="s">
        <v>583</v>
      </c>
      <c r="B507">
        <v>1397</v>
      </c>
      <c r="C507" s="1">
        <v>45658</v>
      </c>
      <c r="D507">
        <v>50</v>
      </c>
      <c r="E507" t="str">
        <f>_xlfn.XLOOKUP(B507,customer_clean!A:A,customer_clean!C:C)</f>
        <v>Basic</v>
      </c>
      <c r="F507">
        <f>_xlfn.XLOOKUP(B507,customer_clean!A:A,customer_clean!E:E)</f>
        <v>30</v>
      </c>
    </row>
    <row r="508" spans="1:6" x14ac:dyDescent="0.35">
      <c r="A508" t="s">
        <v>584</v>
      </c>
      <c r="B508">
        <v>1397</v>
      </c>
      <c r="C508" s="1">
        <v>45689</v>
      </c>
      <c r="D508">
        <v>50</v>
      </c>
      <c r="E508" t="str">
        <f>_xlfn.XLOOKUP(B508,customer_clean!A:A,customer_clean!C:C)</f>
        <v>Basic</v>
      </c>
      <c r="F508">
        <f>_xlfn.XLOOKUP(B508,customer_clean!A:A,customer_clean!E:E)</f>
        <v>30</v>
      </c>
    </row>
    <row r="509" spans="1:6" x14ac:dyDescent="0.35">
      <c r="A509" t="s">
        <v>585</v>
      </c>
      <c r="B509">
        <v>1397</v>
      </c>
      <c r="C509" s="1">
        <v>45717</v>
      </c>
      <c r="D509">
        <v>50</v>
      </c>
      <c r="E509" t="str">
        <f>_xlfn.XLOOKUP(B509,customer_clean!A:A,customer_clean!C:C)</f>
        <v>Basic</v>
      </c>
      <c r="F509">
        <f>_xlfn.XLOOKUP(B509,customer_clean!A:A,customer_clean!E:E)</f>
        <v>30</v>
      </c>
    </row>
    <row r="510" spans="1:6" x14ac:dyDescent="0.35">
      <c r="A510" t="s">
        <v>586</v>
      </c>
      <c r="B510">
        <v>1397</v>
      </c>
      <c r="C510" s="1">
        <v>45748</v>
      </c>
      <c r="D510">
        <v>50</v>
      </c>
      <c r="E510" t="str">
        <f>_xlfn.XLOOKUP(B510,customer_clean!A:A,customer_clean!C:C)</f>
        <v>Basic</v>
      </c>
      <c r="F510">
        <f>_xlfn.XLOOKUP(B510,customer_clean!A:A,customer_clean!E:E)</f>
        <v>30</v>
      </c>
    </row>
    <row r="511" spans="1:6" x14ac:dyDescent="0.35">
      <c r="A511" t="s">
        <v>587</v>
      </c>
      <c r="B511">
        <v>1401</v>
      </c>
      <c r="C511" s="1">
        <v>45658</v>
      </c>
      <c r="D511">
        <v>500</v>
      </c>
      <c r="E511" t="str">
        <f>_xlfn.XLOOKUP(B511,customer_clean!A:A,customer_clean!C:C)</f>
        <v>Enterprise</v>
      </c>
      <c r="F511">
        <f>_xlfn.XLOOKUP(B511,customer_clean!A:A,customer_clean!E:E)</f>
        <v>200</v>
      </c>
    </row>
    <row r="512" spans="1:6" x14ac:dyDescent="0.35">
      <c r="A512" t="s">
        <v>588</v>
      </c>
      <c r="B512">
        <v>1401</v>
      </c>
      <c r="C512" s="1">
        <v>45689</v>
      </c>
      <c r="D512">
        <v>500</v>
      </c>
      <c r="E512" t="str">
        <f>_xlfn.XLOOKUP(B512,customer_clean!A:A,customer_clean!C:C)</f>
        <v>Enterprise</v>
      </c>
      <c r="F512">
        <f>_xlfn.XLOOKUP(B512,customer_clean!A:A,customer_clean!E:E)</f>
        <v>200</v>
      </c>
    </row>
    <row r="513" spans="1:6" x14ac:dyDescent="0.35">
      <c r="A513" t="s">
        <v>589</v>
      </c>
      <c r="B513">
        <v>1401</v>
      </c>
      <c r="C513" s="1">
        <v>45717</v>
      </c>
      <c r="D513">
        <v>500</v>
      </c>
      <c r="E513" t="str">
        <f>_xlfn.XLOOKUP(B513,customer_clean!A:A,customer_clean!C:C)</f>
        <v>Enterprise</v>
      </c>
      <c r="F513">
        <f>_xlfn.XLOOKUP(B513,customer_clean!A:A,customer_clean!E:E)</f>
        <v>200</v>
      </c>
    </row>
    <row r="514" spans="1:6" x14ac:dyDescent="0.35">
      <c r="A514" t="s">
        <v>590</v>
      </c>
      <c r="B514">
        <v>1401</v>
      </c>
      <c r="C514" s="1">
        <v>45748</v>
      </c>
      <c r="D514">
        <v>500</v>
      </c>
      <c r="E514" t="str">
        <f>_xlfn.XLOOKUP(B514,customer_clean!A:A,customer_clean!C:C)</f>
        <v>Enterprise</v>
      </c>
      <c r="F514">
        <f>_xlfn.XLOOKUP(B514,customer_clean!A:A,customer_clean!E:E)</f>
        <v>200</v>
      </c>
    </row>
    <row r="515" spans="1:6" x14ac:dyDescent="0.35">
      <c r="A515" t="s">
        <v>591</v>
      </c>
      <c r="B515">
        <v>1401</v>
      </c>
      <c r="C515" s="1">
        <v>45778</v>
      </c>
      <c r="D515">
        <v>500</v>
      </c>
      <c r="E515" t="str">
        <f>_xlfn.XLOOKUP(B515,customer_clean!A:A,customer_clean!C:C)</f>
        <v>Enterprise</v>
      </c>
      <c r="F515">
        <f>_xlfn.XLOOKUP(B515,customer_clean!A:A,customer_clean!E:E)</f>
        <v>200</v>
      </c>
    </row>
    <row r="516" spans="1:6" x14ac:dyDescent="0.35">
      <c r="A516" t="s">
        <v>592</v>
      </c>
      <c r="B516">
        <v>1403</v>
      </c>
      <c r="C516" s="1">
        <v>45717</v>
      </c>
      <c r="D516">
        <v>200</v>
      </c>
      <c r="E516" t="str">
        <f>_xlfn.XLOOKUP(B516,customer_clean!A:A,customer_clean!C:C)</f>
        <v>Pro</v>
      </c>
      <c r="F516">
        <f>_xlfn.XLOOKUP(B516,customer_clean!A:A,customer_clean!E:E)</f>
        <v>100</v>
      </c>
    </row>
    <row r="517" spans="1:6" x14ac:dyDescent="0.35">
      <c r="A517" t="s">
        <v>593</v>
      </c>
      <c r="B517">
        <v>1403</v>
      </c>
      <c r="C517" s="1">
        <v>45748</v>
      </c>
      <c r="D517">
        <v>200</v>
      </c>
      <c r="E517" t="str">
        <f>_xlfn.XLOOKUP(B517,customer_clean!A:A,customer_clean!C:C)</f>
        <v>Pro</v>
      </c>
      <c r="F517">
        <f>_xlfn.XLOOKUP(B517,customer_clean!A:A,customer_clean!E:E)</f>
        <v>100</v>
      </c>
    </row>
    <row r="518" spans="1:6" x14ac:dyDescent="0.35">
      <c r="A518" t="s">
        <v>594</v>
      </c>
      <c r="B518">
        <v>1404</v>
      </c>
      <c r="C518" s="1">
        <v>45748</v>
      </c>
      <c r="D518">
        <v>50</v>
      </c>
      <c r="E518" t="str">
        <f>_xlfn.XLOOKUP(B518,customer_clean!A:A,customer_clean!C:C)</f>
        <v>Basic</v>
      </c>
      <c r="F518">
        <f>_xlfn.XLOOKUP(B518,customer_clean!A:A,customer_clean!E:E)</f>
        <v>30</v>
      </c>
    </row>
    <row r="519" spans="1:6" x14ac:dyDescent="0.35">
      <c r="A519" t="s">
        <v>595</v>
      </c>
      <c r="B519">
        <v>1404</v>
      </c>
      <c r="C519" s="1">
        <v>45778</v>
      </c>
      <c r="D519">
        <v>50</v>
      </c>
      <c r="E519" t="str">
        <f>_xlfn.XLOOKUP(B519,customer_clean!A:A,customer_clean!C:C)</f>
        <v>Basic</v>
      </c>
      <c r="F519">
        <f>_xlfn.XLOOKUP(B519,customer_clean!A:A,customer_clean!E:E)</f>
        <v>30</v>
      </c>
    </row>
    <row r="520" spans="1:6" x14ac:dyDescent="0.35">
      <c r="A520" t="s">
        <v>596</v>
      </c>
      <c r="B520">
        <v>1414</v>
      </c>
      <c r="C520" s="1">
        <v>45689</v>
      </c>
      <c r="D520">
        <v>500</v>
      </c>
      <c r="E520" t="str">
        <f>_xlfn.XLOOKUP(B520,customer_clean!A:A,customer_clean!C:C)</f>
        <v>Enterprise</v>
      </c>
      <c r="F520">
        <f>_xlfn.XLOOKUP(B520,customer_clean!A:A,customer_clean!E:E)</f>
        <v>200</v>
      </c>
    </row>
    <row r="521" spans="1:6" x14ac:dyDescent="0.35">
      <c r="A521" t="s">
        <v>597</v>
      </c>
      <c r="B521">
        <v>1414</v>
      </c>
      <c r="C521" s="1">
        <v>45717</v>
      </c>
      <c r="D521">
        <v>500</v>
      </c>
      <c r="E521" t="str">
        <f>_xlfn.XLOOKUP(B521,customer_clean!A:A,customer_clean!C:C)</f>
        <v>Enterprise</v>
      </c>
      <c r="F521">
        <f>_xlfn.XLOOKUP(B521,customer_clean!A:A,customer_clean!E:E)</f>
        <v>200</v>
      </c>
    </row>
    <row r="522" spans="1:6" x14ac:dyDescent="0.35">
      <c r="A522" t="s">
        <v>598</v>
      </c>
      <c r="B522">
        <v>1414</v>
      </c>
      <c r="C522" s="1">
        <v>45748</v>
      </c>
      <c r="D522">
        <v>500</v>
      </c>
      <c r="E522" t="str">
        <f>_xlfn.XLOOKUP(B522,customer_clean!A:A,customer_clean!C:C)</f>
        <v>Enterprise</v>
      </c>
      <c r="F522">
        <f>_xlfn.XLOOKUP(B522,customer_clean!A:A,customer_clean!E:E)</f>
        <v>200</v>
      </c>
    </row>
    <row r="523" spans="1:6" x14ac:dyDescent="0.35">
      <c r="A523" t="s">
        <v>599</v>
      </c>
      <c r="B523">
        <v>1414</v>
      </c>
      <c r="C523" s="1">
        <v>45778</v>
      </c>
      <c r="D523">
        <v>500</v>
      </c>
      <c r="E523" t="str">
        <f>_xlfn.XLOOKUP(B523,customer_clean!A:A,customer_clean!C:C)</f>
        <v>Enterprise</v>
      </c>
      <c r="F523">
        <f>_xlfn.XLOOKUP(B523,customer_clean!A:A,customer_clean!E:E)</f>
        <v>200</v>
      </c>
    </row>
    <row r="524" spans="1:6" x14ac:dyDescent="0.35">
      <c r="A524" t="s">
        <v>600</v>
      </c>
      <c r="B524">
        <v>1419</v>
      </c>
      <c r="C524" s="1">
        <v>45658</v>
      </c>
      <c r="D524">
        <v>200</v>
      </c>
      <c r="E524" t="str">
        <f>_xlfn.XLOOKUP(B524,customer_clean!A:A,customer_clean!C:C)</f>
        <v>Pro</v>
      </c>
      <c r="F524">
        <f>_xlfn.XLOOKUP(B524,customer_clean!A:A,customer_clean!E:E)</f>
        <v>100</v>
      </c>
    </row>
    <row r="525" spans="1:6" x14ac:dyDescent="0.35">
      <c r="A525" t="s">
        <v>601</v>
      </c>
      <c r="B525">
        <v>1419</v>
      </c>
      <c r="C525" s="1">
        <v>45689</v>
      </c>
      <c r="D525">
        <v>200</v>
      </c>
      <c r="E525" t="str">
        <f>_xlfn.XLOOKUP(B525,customer_clean!A:A,customer_clean!C:C)</f>
        <v>Pro</v>
      </c>
      <c r="F525">
        <f>_xlfn.XLOOKUP(B525,customer_clean!A:A,customer_clean!E:E)</f>
        <v>100</v>
      </c>
    </row>
    <row r="526" spans="1:6" x14ac:dyDescent="0.35">
      <c r="A526" t="s">
        <v>602</v>
      </c>
      <c r="B526">
        <v>1419</v>
      </c>
      <c r="C526" s="1">
        <v>45717</v>
      </c>
      <c r="D526">
        <v>200</v>
      </c>
      <c r="E526" t="str">
        <f>_xlfn.XLOOKUP(B526,customer_clean!A:A,customer_clean!C:C)</f>
        <v>Pro</v>
      </c>
      <c r="F526">
        <f>_xlfn.XLOOKUP(B526,customer_clean!A:A,customer_clean!E:E)</f>
        <v>100</v>
      </c>
    </row>
    <row r="527" spans="1:6" x14ac:dyDescent="0.35">
      <c r="A527" t="s">
        <v>603</v>
      </c>
      <c r="B527">
        <v>1424</v>
      </c>
      <c r="C527" s="1">
        <v>45748</v>
      </c>
      <c r="D527">
        <v>500</v>
      </c>
      <c r="E527" t="str">
        <f>_xlfn.XLOOKUP(B527,customer_clean!A:A,customer_clean!C:C)</f>
        <v>Enterprise</v>
      </c>
      <c r="F527">
        <f>_xlfn.XLOOKUP(B527,customer_clean!A:A,customer_clean!E:E)</f>
        <v>200</v>
      </c>
    </row>
    <row r="528" spans="1:6" x14ac:dyDescent="0.35">
      <c r="A528" t="s">
        <v>604</v>
      </c>
      <c r="B528">
        <v>1424</v>
      </c>
      <c r="C528" s="1">
        <v>45778</v>
      </c>
      <c r="D528">
        <v>500</v>
      </c>
      <c r="E528" t="str">
        <f>_xlfn.XLOOKUP(B528,customer_clean!A:A,customer_clean!C:C)</f>
        <v>Enterprise</v>
      </c>
      <c r="F528">
        <f>_xlfn.XLOOKUP(B528,customer_clean!A:A,customer_clean!E:E)</f>
        <v>200</v>
      </c>
    </row>
    <row r="529" spans="1:6" x14ac:dyDescent="0.35">
      <c r="A529" t="s">
        <v>605</v>
      </c>
      <c r="B529">
        <v>1428</v>
      </c>
      <c r="C529" s="1">
        <v>45444</v>
      </c>
      <c r="D529">
        <v>500</v>
      </c>
      <c r="E529" t="str">
        <f>_xlfn.XLOOKUP(B529,customer_clean!A:A,customer_clean!C:C)</f>
        <v>Enterprise</v>
      </c>
      <c r="F529">
        <f>_xlfn.XLOOKUP(B529,customer_clean!A:A,customer_clean!E:E)</f>
        <v>200</v>
      </c>
    </row>
    <row r="530" spans="1:6" x14ac:dyDescent="0.35">
      <c r="A530" t="s">
        <v>606</v>
      </c>
      <c r="B530">
        <v>1428</v>
      </c>
      <c r="C530" s="1">
        <v>45474</v>
      </c>
      <c r="D530">
        <v>500</v>
      </c>
      <c r="E530" t="str">
        <f>_xlfn.XLOOKUP(B530,customer_clean!A:A,customer_clean!C:C)</f>
        <v>Enterprise</v>
      </c>
      <c r="F530">
        <f>_xlfn.XLOOKUP(B530,customer_clean!A:A,customer_clean!E:E)</f>
        <v>200</v>
      </c>
    </row>
    <row r="531" spans="1:6" x14ac:dyDescent="0.35">
      <c r="A531" t="s">
        <v>607</v>
      </c>
      <c r="B531">
        <v>1428</v>
      </c>
      <c r="C531" s="1">
        <v>45505</v>
      </c>
      <c r="D531">
        <v>500</v>
      </c>
      <c r="E531" t="str">
        <f>_xlfn.XLOOKUP(B531,customer_clean!A:A,customer_clean!C:C)</f>
        <v>Enterprise</v>
      </c>
      <c r="F531">
        <f>_xlfn.XLOOKUP(B531,customer_clean!A:A,customer_clean!E:E)</f>
        <v>200</v>
      </c>
    </row>
    <row r="532" spans="1:6" x14ac:dyDescent="0.35">
      <c r="A532" t="s">
        <v>608</v>
      </c>
      <c r="B532">
        <v>1428</v>
      </c>
      <c r="C532" s="1">
        <v>45536</v>
      </c>
      <c r="D532">
        <v>500</v>
      </c>
      <c r="E532" t="str">
        <f>_xlfn.XLOOKUP(B532,customer_clean!A:A,customer_clean!C:C)</f>
        <v>Enterprise</v>
      </c>
      <c r="F532">
        <f>_xlfn.XLOOKUP(B532,customer_clean!A:A,customer_clean!E:E)</f>
        <v>200</v>
      </c>
    </row>
    <row r="533" spans="1:6" x14ac:dyDescent="0.35">
      <c r="A533" t="s">
        <v>609</v>
      </c>
      <c r="B533">
        <v>1428</v>
      </c>
      <c r="C533" s="1">
        <v>45566</v>
      </c>
      <c r="D533">
        <v>500</v>
      </c>
      <c r="E533" t="str">
        <f>_xlfn.XLOOKUP(B533,customer_clean!A:A,customer_clean!C:C)</f>
        <v>Enterprise</v>
      </c>
      <c r="F533">
        <f>_xlfn.XLOOKUP(B533,customer_clean!A:A,customer_clean!E:E)</f>
        <v>200</v>
      </c>
    </row>
    <row r="534" spans="1:6" x14ac:dyDescent="0.35">
      <c r="A534" t="s">
        <v>610</v>
      </c>
      <c r="B534">
        <v>1428</v>
      </c>
      <c r="C534" s="1">
        <v>45597</v>
      </c>
      <c r="D534">
        <v>500</v>
      </c>
      <c r="E534" t="str">
        <f>_xlfn.XLOOKUP(B534,customer_clean!A:A,customer_clean!C:C)</f>
        <v>Enterprise</v>
      </c>
      <c r="F534">
        <f>_xlfn.XLOOKUP(B534,customer_clean!A:A,customer_clean!E:E)</f>
        <v>200</v>
      </c>
    </row>
    <row r="535" spans="1:6" x14ac:dyDescent="0.35">
      <c r="A535" t="s">
        <v>611</v>
      </c>
      <c r="B535">
        <v>1428</v>
      </c>
      <c r="C535" s="1">
        <v>45627</v>
      </c>
      <c r="D535">
        <v>500</v>
      </c>
      <c r="E535" t="str">
        <f>_xlfn.XLOOKUP(B535,customer_clean!A:A,customer_clean!C:C)</f>
        <v>Enterprise</v>
      </c>
      <c r="F535">
        <f>_xlfn.XLOOKUP(B535,customer_clean!A:A,customer_clean!E:E)</f>
        <v>200</v>
      </c>
    </row>
    <row r="536" spans="1:6" x14ac:dyDescent="0.35">
      <c r="A536" t="s">
        <v>612</v>
      </c>
      <c r="B536">
        <v>1428</v>
      </c>
      <c r="C536" s="1">
        <v>45658</v>
      </c>
      <c r="D536">
        <v>500</v>
      </c>
      <c r="E536" t="str">
        <f>_xlfn.XLOOKUP(B536,customer_clean!A:A,customer_clean!C:C)</f>
        <v>Enterprise</v>
      </c>
      <c r="F536">
        <f>_xlfn.XLOOKUP(B536,customer_clean!A:A,customer_clean!E:E)</f>
        <v>200</v>
      </c>
    </row>
    <row r="537" spans="1:6" x14ac:dyDescent="0.35">
      <c r="A537" t="s">
        <v>613</v>
      </c>
      <c r="B537">
        <v>1428</v>
      </c>
      <c r="C537" s="1">
        <v>45689</v>
      </c>
      <c r="D537">
        <v>500</v>
      </c>
      <c r="E537" t="str">
        <f>_xlfn.XLOOKUP(B537,customer_clean!A:A,customer_clean!C:C)</f>
        <v>Enterprise</v>
      </c>
      <c r="F537">
        <f>_xlfn.XLOOKUP(B537,customer_clean!A:A,customer_clean!E:E)</f>
        <v>200</v>
      </c>
    </row>
    <row r="538" spans="1:6" x14ac:dyDescent="0.35">
      <c r="A538" t="s">
        <v>614</v>
      </c>
      <c r="B538">
        <v>1438</v>
      </c>
      <c r="C538" s="1">
        <v>45717</v>
      </c>
      <c r="D538">
        <v>200</v>
      </c>
      <c r="E538" t="str">
        <f>_xlfn.XLOOKUP(B538,customer_clean!A:A,customer_clean!C:C)</f>
        <v>Pro</v>
      </c>
      <c r="F538">
        <f>_xlfn.XLOOKUP(B538,customer_clean!A:A,customer_clean!E:E)</f>
        <v>100</v>
      </c>
    </row>
    <row r="539" spans="1:6" x14ac:dyDescent="0.35">
      <c r="A539" t="s">
        <v>615</v>
      </c>
      <c r="B539">
        <v>1438</v>
      </c>
      <c r="C539" s="1">
        <v>45748</v>
      </c>
      <c r="D539">
        <v>200</v>
      </c>
      <c r="E539" t="str">
        <f>_xlfn.XLOOKUP(B539,customer_clean!A:A,customer_clean!C:C)</f>
        <v>Pro</v>
      </c>
      <c r="F539">
        <f>_xlfn.XLOOKUP(B539,customer_clean!A:A,customer_clean!E:E)</f>
        <v>100</v>
      </c>
    </row>
    <row r="540" spans="1:6" x14ac:dyDescent="0.35">
      <c r="A540" t="s">
        <v>616</v>
      </c>
      <c r="B540">
        <v>1442</v>
      </c>
      <c r="C540" s="1">
        <v>45658</v>
      </c>
      <c r="D540">
        <v>50</v>
      </c>
      <c r="E540" t="str">
        <f>_xlfn.XLOOKUP(B540,customer_clean!A:A,customer_clean!C:C)</f>
        <v>Basic</v>
      </c>
      <c r="F540">
        <f>_xlfn.XLOOKUP(B540,customer_clean!A:A,customer_clean!E:E)</f>
        <v>30</v>
      </c>
    </row>
    <row r="541" spans="1:6" x14ac:dyDescent="0.35">
      <c r="A541" t="s">
        <v>617</v>
      </c>
      <c r="B541">
        <v>1442</v>
      </c>
      <c r="C541" s="1">
        <v>45689</v>
      </c>
      <c r="D541">
        <v>50</v>
      </c>
      <c r="E541" t="str">
        <f>_xlfn.XLOOKUP(B541,customer_clean!A:A,customer_clean!C:C)</f>
        <v>Basic</v>
      </c>
      <c r="F541">
        <f>_xlfn.XLOOKUP(B541,customer_clean!A:A,customer_clean!E:E)</f>
        <v>30</v>
      </c>
    </row>
    <row r="542" spans="1:6" x14ac:dyDescent="0.35">
      <c r="A542" t="s">
        <v>618</v>
      </c>
      <c r="B542">
        <v>1442</v>
      </c>
      <c r="C542" s="1">
        <v>45717</v>
      </c>
      <c r="D542">
        <v>50</v>
      </c>
      <c r="E542" t="str">
        <f>_xlfn.XLOOKUP(B542,customer_clean!A:A,customer_clean!C:C)</f>
        <v>Basic</v>
      </c>
      <c r="F542">
        <f>_xlfn.XLOOKUP(B542,customer_clean!A:A,customer_clean!E:E)</f>
        <v>30</v>
      </c>
    </row>
    <row r="543" spans="1:6" x14ac:dyDescent="0.35">
      <c r="A543" t="s">
        <v>619</v>
      </c>
      <c r="B543">
        <v>1443</v>
      </c>
      <c r="C543" s="1">
        <v>45689</v>
      </c>
      <c r="D543">
        <v>500</v>
      </c>
      <c r="E543" t="str">
        <f>_xlfn.XLOOKUP(B543,customer_clean!A:A,customer_clean!C:C)</f>
        <v>Enterprise</v>
      </c>
      <c r="F543">
        <f>_xlfn.XLOOKUP(B543,customer_clean!A:A,customer_clean!E:E)</f>
        <v>200</v>
      </c>
    </row>
    <row r="544" spans="1:6" x14ac:dyDescent="0.35">
      <c r="A544" t="s">
        <v>620</v>
      </c>
      <c r="B544">
        <v>1443</v>
      </c>
      <c r="C544" s="1">
        <v>45717</v>
      </c>
      <c r="D544">
        <v>500</v>
      </c>
      <c r="E544" t="str">
        <f>_xlfn.XLOOKUP(B544,customer_clean!A:A,customer_clean!C:C)</f>
        <v>Enterprise</v>
      </c>
      <c r="F544">
        <f>_xlfn.XLOOKUP(B544,customer_clean!A:A,customer_clean!E:E)</f>
        <v>200</v>
      </c>
    </row>
    <row r="545" spans="1:6" x14ac:dyDescent="0.35">
      <c r="A545" t="s">
        <v>621</v>
      </c>
      <c r="B545">
        <v>1443</v>
      </c>
      <c r="C545" s="1">
        <v>45748</v>
      </c>
      <c r="D545">
        <v>500</v>
      </c>
      <c r="E545" t="str">
        <f>_xlfn.XLOOKUP(B545,customer_clean!A:A,customer_clean!C:C)</f>
        <v>Enterprise</v>
      </c>
      <c r="F545">
        <f>_xlfn.XLOOKUP(B545,customer_clean!A:A,customer_clean!E:E)</f>
        <v>200</v>
      </c>
    </row>
    <row r="546" spans="1:6" x14ac:dyDescent="0.35">
      <c r="A546" t="s">
        <v>622</v>
      </c>
      <c r="B546">
        <v>1443</v>
      </c>
      <c r="C546" s="1">
        <v>45778</v>
      </c>
      <c r="D546">
        <v>500</v>
      </c>
      <c r="E546" t="str">
        <f>_xlfn.XLOOKUP(B546,customer_clean!A:A,customer_clean!C:C)</f>
        <v>Enterprise</v>
      </c>
      <c r="F546">
        <f>_xlfn.XLOOKUP(B546,customer_clean!A:A,customer_clean!E:E)</f>
        <v>200</v>
      </c>
    </row>
    <row r="547" spans="1:6" x14ac:dyDescent="0.35">
      <c r="A547" t="s">
        <v>623</v>
      </c>
      <c r="B547">
        <v>1443</v>
      </c>
      <c r="C547" s="1">
        <v>45809</v>
      </c>
      <c r="D547">
        <v>500</v>
      </c>
      <c r="E547" t="str">
        <f>_xlfn.XLOOKUP(B547,customer_clean!A:A,customer_clean!C:C)</f>
        <v>Enterprise</v>
      </c>
      <c r="F547">
        <f>_xlfn.XLOOKUP(B547,customer_clean!A:A,customer_clean!E:E)</f>
        <v>200</v>
      </c>
    </row>
    <row r="548" spans="1:6" x14ac:dyDescent="0.35">
      <c r="A548" t="s">
        <v>624</v>
      </c>
      <c r="B548">
        <v>1448</v>
      </c>
      <c r="C548" s="1">
        <v>45444</v>
      </c>
      <c r="D548">
        <v>200</v>
      </c>
      <c r="E548" t="str">
        <f>_xlfn.XLOOKUP(B548,customer_clean!A:A,customer_clean!C:C)</f>
        <v>Pro</v>
      </c>
      <c r="F548">
        <f>_xlfn.XLOOKUP(B548,customer_clean!A:A,customer_clean!E:E)</f>
        <v>100</v>
      </c>
    </row>
    <row r="549" spans="1:6" x14ac:dyDescent="0.35">
      <c r="A549" t="s">
        <v>625</v>
      </c>
      <c r="B549">
        <v>1448</v>
      </c>
      <c r="C549" s="1">
        <v>45474</v>
      </c>
      <c r="D549">
        <v>200</v>
      </c>
      <c r="E549" t="str">
        <f>_xlfn.XLOOKUP(B549,customer_clean!A:A,customer_clean!C:C)</f>
        <v>Pro</v>
      </c>
      <c r="F549">
        <f>_xlfn.XLOOKUP(B549,customer_clean!A:A,customer_clean!E:E)</f>
        <v>100</v>
      </c>
    </row>
    <row r="550" spans="1:6" x14ac:dyDescent="0.35">
      <c r="A550" t="s">
        <v>626</v>
      </c>
      <c r="B550">
        <v>1448</v>
      </c>
      <c r="C550" s="1">
        <v>45505</v>
      </c>
      <c r="D550">
        <v>200</v>
      </c>
      <c r="E550" t="str">
        <f>_xlfn.XLOOKUP(B550,customer_clean!A:A,customer_clean!C:C)</f>
        <v>Pro</v>
      </c>
      <c r="F550">
        <f>_xlfn.XLOOKUP(B550,customer_clean!A:A,customer_clean!E:E)</f>
        <v>100</v>
      </c>
    </row>
    <row r="551" spans="1:6" x14ac:dyDescent="0.35">
      <c r="A551" t="s">
        <v>627</v>
      </c>
      <c r="B551">
        <v>1450</v>
      </c>
      <c r="C551" s="1">
        <v>45352</v>
      </c>
      <c r="D551">
        <v>50</v>
      </c>
      <c r="E551" t="str">
        <f>_xlfn.XLOOKUP(B551,customer_clean!A:A,customer_clean!C:C)</f>
        <v>Basic</v>
      </c>
      <c r="F551">
        <f>_xlfn.XLOOKUP(B551,customer_clean!A:A,customer_clean!E:E)</f>
        <v>30</v>
      </c>
    </row>
    <row r="552" spans="1:6" x14ac:dyDescent="0.35">
      <c r="A552" t="s">
        <v>628</v>
      </c>
      <c r="B552">
        <v>1450</v>
      </c>
      <c r="C552" s="1">
        <v>45383</v>
      </c>
      <c r="D552">
        <v>50</v>
      </c>
      <c r="E552" t="str">
        <f>_xlfn.XLOOKUP(B552,customer_clean!A:A,customer_clean!C:C)</f>
        <v>Basic</v>
      </c>
      <c r="F552">
        <f>_xlfn.XLOOKUP(B552,customer_clean!A:A,customer_clean!E:E)</f>
        <v>30</v>
      </c>
    </row>
    <row r="553" spans="1:6" x14ac:dyDescent="0.35">
      <c r="A553" t="s">
        <v>629</v>
      </c>
      <c r="B553">
        <v>1450</v>
      </c>
      <c r="C553" s="1">
        <v>45413</v>
      </c>
      <c r="D553">
        <v>50</v>
      </c>
      <c r="E553" t="str">
        <f>_xlfn.XLOOKUP(B553,customer_clean!A:A,customer_clean!C:C)</f>
        <v>Basic</v>
      </c>
      <c r="F553">
        <f>_xlfn.XLOOKUP(B553,customer_clean!A:A,customer_clean!E:E)</f>
        <v>30</v>
      </c>
    </row>
    <row r="554" spans="1:6" x14ac:dyDescent="0.35">
      <c r="A554" t="s">
        <v>630</v>
      </c>
      <c r="B554">
        <v>1450</v>
      </c>
      <c r="C554" s="1">
        <v>45444</v>
      </c>
      <c r="D554">
        <v>50</v>
      </c>
      <c r="E554" t="str">
        <f>_xlfn.XLOOKUP(B554,customer_clean!A:A,customer_clean!C:C)</f>
        <v>Basic</v>
      </c>
      <c r="F554">
        <f>_xlfn.XLOOKUP(B554,customer_clean!A:A,customer_clean!E:E)</f>
        <v>30</v>
      </c>
    </row>
    <row r="555" spans="1:6" x14ac:dyDescent="0.35">
      <c r="A555" t="s">
        <v>631</v>
      </c>
      <c r="B555">
        <v>1450</v>
      </c>
      <c r="C555" s="1">
        <v>45474</v>
      </c>
      <c r="D555">
        <v>50</v>
      </c>
      <c r="E555" t="str">
        <f>_xlfn.XLOOKUP(B555,customer_clean!A:A,customer_clean!C:C)</f>
        <v>Basic</v>
      </c>
      <c r="F555">
        <f>_xlfn.XLOOKUP(B555,customer_clean!A:A,customer_clean!E:E)</f>
        <v>30</v>
      </c>
    </row>
    <row r="556" spans="1:6" x14ac:dyDescent="0.35">
      <c r="A556" t="s">
        <v>632</v>
      </c>
      <c r="B556">
        <v>1450</v>
      </c>
      <c r="C556" s="1">
        <v>45505</v>
      </c>
      <c r="D556">
        <v>50</v>
      </c>
      <c r="E556" t="str">
        <f>_xlfn.XLOOKUP(B556,customer_clean!A:A,customer_clean!C:C)</f>
        <v>Basic</v>
      </c>
      <c r="F556">
        <f>_xlfn.XLOOKUP(B556,customer_clean!A:A,customer_clean!E:E)</f>
        <v>30</v>
      </c>
    </row>
    <row r="557" spans="1:6" x14ac:dyDescent="0.35">
      <c r="A557" t="s">
        <v>633</v>
      </c>
      <c r="B557">
        <v>1450</v>
      </c>
      <c r="C557" s="1">
        <v>45536</v>
      </c>
      <c r="D557">
        <v>50</v>
      </c>
      <c r="E557" t="str">
        <f>_xlfn.XLOOKUP(B557,customer_clean!A:A,customer_clean!C:C)</f>
        <v>Basic</v>
      </c>
      <c r="F557">
        <f>_xlfn.XLOOKUP(B557,customer_clean!A:A,customer_clean!E:E)</f>
        <v>30</v>
      </c>
    </row>
    <row r="558" spans="1:6" x14ac:dyDescent="0.35">
      <c r="A558" t="s">
        <v>634</v>
      </c>
      <c r="B558">
        <v>1450</v>
      </c>
      <c r="C558" s="1">
        <v>45566</v>
      </c>
      <c r="D558">
        <v>50</v>
      </c>
      <c r="E558" t="str">
        <f>_xlfn.XLOOKUP(B558,customer_clean!A:A,customer_clean!C:C)</f>
        <v>Basic</v>
      </c>
      <c r="F558">
        <f>_xlfn.XLOOKUP(B558,customer_clean!A:A,customer_clean!E:E)</f>
        <v>30</v>
      </c>
    </row>
    <row r="559" spans="1:6" x14ac:dyDescent="0.35">
      <c r="A559" t="s">
        <v>635</v>
      </c>
      <c r="B559">
        <v>1450</v>
      </c>
      <c r="C559" s="1">
        <v>45597</v>
      </c>
      <c r="D559">
        <v>50</v>
      </c>
      <c r="E559" t="str">
        <f>_xlfn.XLOOKUP(B559,customer_clean!A:A,customer_clean!C:C)</f>
        <v>Basic</v>
      </c>
      <c r="F559">
        <f>_xlfn.XLOOKUP(B559,customer_clean!A:A,customer_clean!E:E)</f>
        <v>30</v>
      </c>
    </row>
    <row r="560" spans="1:6" x14ac:dyDescent="0.35">
      <c r="A560" t="s">
        <v>636</v>
      </c>
      <c r="B560">
        <v>1450</v>
      </c>
      <c r="C560" s="1">
        <v>45627</v>
      </c>
      <c r="D560">
        <v>50</v>
      </c>
      <c r="E560" t="str">
        <f>_xlfn.XLOOKUP(B560,customer_clean!A:A,customer_clean!C:C)</f>
        <v>Basic</v>
      </c>
      <c r="F560">
        <f>_xlfn.XLOOKUP(B560,customer_clean!A:A,customer_clean!E:E)</f>
        <v>30</v>
      </c>
    </row>
    <row r="561" spans="1:6" x14ac:dyDescent="0.35">
      <c r="A561" t="s">
        <v>637</v>
      </c>
      <c r="B561">
        <v>1450</v>
      </c>
      <c r="C561" s="1">
        <v>45658</v>
      </c>
      <c r="D561">
        <v>50</v>
      </c>
      <c r="E561" t="str">
        <f>_xlfn.XLOOKUP(B561,customer_clean!A:A,customer_clean!C:C)</f>
        <v>Basic</v>
      </c>
      <c r="F561">
        <f>_xlfn.XLOOKUP(B561,customer_clean!A:A,customer_clean!E:E)</f>
        <v>30</v>
      </c>
    </row>
    <row r="562" spans="1:6" x14ac:dyDescent="0.35">
      <c r="A562" t="s">
        <v>638</v>
      </c>
      <c r="B562">
        <v>1450</v>
      </c>
      <c r="C562" s="1">
        <v>45689</v>
      </c>
      <c r="D562">
        <v>50</v>
      </c>
      <c r="E562" t="str">
        <f>_xlfn.XLOOKUP(B562,customer_clean!A:A,customer_clean!C:C)</f>
        <v>Basic</v>
      </c>
      <c r="F562">
        <f>_xlfn.XLOOKUP(B562,customer_clean!A:A,customer_clean!E:E)</f>
        <v>30</v>
      </c>
    </row>
    <row r="563" spans="1:6" x14ac:dyDescent="0.35">
      <c r="A563" t="s">
        <v>639</v>
      </c>
      <c r="B563">
        <v>1450</v>
      </c>
      <c r="C563" s="1">
        <v>45717</v>
      </c>
      <c r="D563">
        <v>50</v>
      </c>
      <c r="E563" t="str">
        <f>_xlfn.XLOOKUP(B563,customer_clean!A:A,customer_clean!C:C)</f>
        <v>Basic</v>
      </c>
      <c r="F563">
        <f>_xlfn.XLOOKUP(B563,customer_clean!A:A,customer_clean!E:E)</f>
        <v>30</v>
      </c>
    </row>
    <row r="564" spans="1:6" x14ac:dyDescent="0.35">
      <c r="A564" t="s">
        <v>640</v>
      </c>
      <c r="B564">
        <v>1450</v>
      </c>
      <c r="C564" s="1">
        <v>45748</v>
      </c>
      <c r="D564">
        <v>50</v>
      </c>
      <c r="E564" t="str">
        <f>_xlfn.XLOOKUP(B564,customer_clean!A:A,customer_clean!C:C)</f>
        <v>Basic</v>
      </c>
      <c r="F564">
        <f>_xlfn.XLOOKUP(B564,customer_clean!A:A,customer_clean!E:E)</f>
        <v>30</v>
      </c>
    </row>
    <row r="565" spans="1:6" x14ac:dyDescent="0.35">
      <c r="A565" t="s">
        <v>641</v>
      </c>
      <c r="B565">
        <v>1453</v>
      </c>
      <c r="C565" s="1">
        <v>45748</v>
      </c>
      <c r="D565">
        <v>500</v>
      </c>
      <c r="E565" t="str">
        <f>_xlfn.XLOOKUP(B565,customer_clean!A:A,customer_clean!C:C)</f>
        <v>Enterprise</v>
      </c>
      <c r="F565">
        <f>_xlfn.XLOOKUP(B565,customer_clean!A:A,customer_clean!E:E)</f>
        <v>200</v>
      </c>
    </row>
    <row r="566" spans="1:6" x14ac:dyDescent="0.35">
      <c r="A566" t="s">
        <v>642</v>
      </c>
      <c r="B566">
        <v>1453</v>
      </c>
      <c r="C566" s="1">
        <v>45778</v>
      </c>
      <c r="D566">
        <v>500</v>
      </c>
      <c r="E566" t="str">
        <f>_xlfn.XLOOKUP(B566,customer_clean!A:A,customer_clean!C:C)</f>
        <v>Enterprise</v>
      </c>
      <c r="F566">
        <f>_xlfn.XLOOKUP(B566,customer_clean!A:A,customer_clean!E:E)</f>
        <v>200</v>
      </c>
    </row>
    <row r="567" spans="1:6" x14ac:dyDescent="0.35">
      <c r="A567" t="s">
        <v>643</v>
      </c>
      <c r="B567">
        <v>1457</v>
      </c>
      <c r="C567" s="1">
        <v>45658</v>
      </c>
      <c r="D567">
        <v>500</v>
      </c>
      <c r="E567" t="str">
        <f>_xlfn.XLOOKUP(B567,customer_clean!A:A,customer_clean!C:C)</f>
        <v>Enterprise</v>
      </c>
      <c r="F567">
        <f>_xlfn.XLOOKUP(B567,customer_clean!A:A,customer_clean!E:E)</f>
        <v>200</v>
      </c>
    </row>
    <row r="568" spans="1:6" x14ac:dyDescent="0.35">
      <c r="A568" t="s">
        <v>644</v>
      </c>
      <c r="B568">
        <v>1457</v>
      </c>
      <c r="C568" s="1">
        <v>45689</v>
      </c>
      <c r="D568">
        <v>500</v>
      </c>
      <c r="E568" t="str">
        <f>_xlfn.XLOOKUP(B568,customer_clean!A:A,customer_clean!C:C)</f>
        <v>Enterprise</v>
      </c>
      <c r="F568">
        <f>_xlfn.XLOOKUP(B568,customer_clean!A:A,customer_clean!E:E)</f>
        <v>200</v>
      </c>
    </row>
    <row r="569" spans="1:6" x14ac:dyDescent="0.35">
      <c r="A569" t="s">
        <v>645</v>
      </c>
      <c r="B569">
        <v>1457</v>
      </c>
      <c r="C569" s="1">
        <v>45717</v>
      </c>
      <c r="D569">
        <v>500</v>
      </c>
      <c r="E569" t="str">
        <f>_xlfn.XLOOKUP(B569,customer_clean!A:A,customer_clean!C:C)</f>
        <v>Enterprise</v>
      </c>
      <c r="F569">
        <f>_xlfn.XLOOKUP(B569,customer_clean!A:A,customer_clean!E:E)</f>
        <v>200</v>
      </c>
    </row>
    <row r="570" spans="1:6" x14ac:dyDescent="0.35">
      <c r="A570" t="s">
        <v>646</v>
      </c>
      <c r="B570">
        <v>1457</v>
      </c>
      <c r="C570" s="1">
        <v>45748</v>
      </c>
      <c r="D570">
        <v>500</v>
      </c>
      <c r="E570" t="str">
        <f>_xlfn.XLOOKUP(B570,customer_clean!A:A,customer_clean!C:C)</f>
        <v>Enterprise</v>
      </c>
      <c r="F570">
        <f>_xlfn.XLOOKUP(B570,customer_clean!A:A,customer_clean!E:E)</f>
        <v>200</v>
      </c>
    </row>
    <row r="571" spans="1:6" x14ac:dyDescent="0.35">
      <c r="A571" t="s">
        <v>647</v>
      </c>
      <c r="B571">
        <v>1457</v>
      </c>
      <c r="C571" s="1">
        <v>45778</v>
      </c>
      <c r="D571">
        <v>500</v>
      </c>
      <c r="E571" t="str">
        <f>_xlfn.XLOOKUP(B571,customer_clean!A:A,customer_clean!C:C)</f>
        <v>Enterprise</v>
      </c>
      <c r="F571">
        <f>_xlfn.XLOOKUP(B571,customer_clean!A:A,customer_clean!E:E)</f>
        <v>200</v>
      </c>
    </row>
    <row r="572" spans="1:6" x14ac:dyDescent="0.35">
      <c r="A572" t="s">
        <v>648</v>
      </c>
      <c r="B572">
        <v>1465</v>
      </c>
      <c r="C572" s="1">
        <v>45536</v>
      </c>
      <c r="D572">
        <v>50</v>
      </c>
      <c r="E572" t="str">
        <f>_xlfn.XLOOKUP(B572,customer_clean!A:A,customer_clean!C:C)</f>
        <v>Basic</v>
      </c>
      <c r="F572">
        <f>_xlfn.XLOOKUP(B572,customer_clean!A:A,customer_clean!E:E)</f>
        <v>30</v>
      </c>
    </row>
    <row r="573" spans="1:6" x14ac:dyDescent="0.35">
      <c r="A573" t="s">
        <v>649</v>
      </c>
      <c r="B573">
        <v>1465</v>
      </c>
      <c r="C573" s="1">
        <v>45566</v>
      </c>
      <c r="D573">
        <v>50</v>
      </c>
      <c r="E573" t="str">
        <f>_xlfn.XLOOKUP(B573,customer_clean!A:A,customer_clean!C:C)</f>
        <v>Basic</v>
      </c>
      <c r="F573">
        <f>_xlfn.XLOOKUP(B573,customer_clean!A:A,customer_clean!E:E)</f>
        <v>30</v>
      </c>
    </row>
    <row r="574" spans="1:6" x14ac:dyDescent="0.35">
      <c r="A574" t="s">
        <v>650</v>
      </c>
      <c r="B574">
        <v>1465</v>
      </c>
      <c r="C574" s="1">
        <v>45597</v>
      </c>
      <c r="D574">
        <v>50</v>
      </c>
      <c r="E574" t="str">
        <f>_xlfn.XLOOKUP(B574,customer_clean!A:A,customer_clean!C:C)</f>
        <v>Basic</v>
      </c>
      <c r="F574">
        <f>_xlfn.XLOOKUP(B574,customer_clean!A:A,customer_clean!E:E)</f>
        <v>30</v>
      </c>
    </row>
    <row r="575" spans="1:6" x14ac:dyDescent="0.35">
      <c r="A575" t="s">
        <v>651</v>
      </c>
      <c r="B575">
        <v>1471</v>
      </c>
      <c r="C575" s="1">
        <v>45292</v>
      </c>
      <c r="D575">
        <v>200</v>
      </c>
      <c r="E575" t="str">
        <f>_xlfn.XLOOKUP(B575,customer_clean!A:A,customer_clean!C:C)</f>
        <v>Pro</v>
      </c>
      <c r="F575">
        <f>_xlfn.XLOOKUP(B575,customer_clean!A:A,customer_clean!E:E)</f>
        <v>100</v>
      </c>
    </row>
    <row r="576" spans="1:6" x14ac:dyDescent="0.35">
      <c r="A576" t="s">
        <v>652</v>
      </c>
      <c r="B576">
        <v>1471</v>
      </c>
      <c r="C576" s="1">
        <v>45323</v>
      </c>
      <c r="D576">
        <v>200</v>
      </c>
      <c r="E576" t="str">
        <f>_xlfn.XLOOKUP(B576,customer_clean!A:A,customer_clean!C:C)</f>
        <v>Pro</v>
      </c>
      <c r="F576">
        <f>_xlfn.XLOOKUP(B576,customer_clean!A:A,customer_clean!E:E)</f>
        <v>100</v>
      </c>
    </row>
    <row r="577" spans="1:6" x14ac:dyDescent="0.35">
      <c r="A577" t="s">
        <v>653</v>
      </c>
      <c r="B577">
        <v>1471</v>
      </c>
      <c r="C577" s="1">
        <v>45352</v>
      </c>
      <c r="D577">
        <v>200</v>
      </c>
      <c r="E577" t="str">
        <f>_xlfn.XLOOKUP(B577,customer_clean!A:A,customer_clean!C:C)</f>
        <v>Pro</v>
      </c>
      <c r="F577">
        <f>_xlfn.XLOOKUP(B577,customer_clean!A:A,customer_clean!E:E)</f>
        <v>100</v>
      </c>
    </row>
    <row r="578" spans="1:6" x14ac:dyDescent="0.35">
      <c r="A578" t="s">
        <v>654</v>
      </c>
      <c r="B578">
        <v>1471</v>
      </c>
      <c r="C578" s="1">
        <v>45383</v>
      </c>
      <c r="D578">
        <v>200</v>
      </c>
      <c r="E578" t="str">
        <f>_xlfn.XLOOKUP(B578,customer_clean!A:A,customer_clean!C:C)</f>
        <v>Pro</v>
      </c>
      <c r="F578">
        <f>_xlfn.XLOOKUP(B578,customer_clean!A:A,customer_clean!E:E)</f>
        <v>100</v>
      </c>
    </row>
    <row r="579" spans="1:6" x14ac:dyDescent="0.35">
      <c r="A579" t="s">
        <v>655</v>
      </c>
      <c r="B579">
        <v>1471</v>
      </c>
      <c r="C579" s="1">
        <v>45413</v>
      </c>
      <c r="D579">
        <v>200</v>
      </c>
      <c r="E579" t="str">
        <f>_xlfn.XLOOKUP(B579,customer_clean!A:A,customer_clean!C:C)</f>
        <v>Pro</v>
      </c>
      <c r="F579">
        <f>_xlfn.XLOOKUP(B579,customer_clean!A:A,customer_clean!E:E)</f>
        <v>100</v>
      </c>
    </row>
    <row r="580" spans="1:6" x14ac:dyDescent="0.35">
      <c r="A580" t="s">
        <v>656</v>
      </c>
      <c r="B580">
        <v>1475</v>
      </c>
      <c r="C580" s="1">
        <v>45505</v>
      </c>
      <c r="D580">
        <v>200</v>
      </c>
      <c r="E580" t="str">
        <f>_xlfn.XLOOKUP(B580,customer_clean!A:A,customer_clean!C:C)</f>
        <v>Pro</v>
      </c>
      <c r="F580">
        <f>_xlfn.XLOOKUP(B580,customer_clean!A:A,customer_clean!E:E)</f>
        <v>100</v>
      </c>
    </row>
    <row r="581" spans="1:6" x14ac:dyDescent="0.35">
      <c r="A581" t="s">
        <v>657</v>
      </c>
      <c r="B581">
        <v>1475</v>
      </c>
      <c r="C581" s="1">
        <v>45536</v>
      </c>
      <c r="D581">
        <v>200</v>
      </c>
      <c r="E581" t="str">
        <f>_xlfn.XLOOKUP(B581,customer_clean!A:A,customer_clean!C:C)</f>
        <v>Pro</v>
      </c>
      <c r="F581">
        <f>_xlfn.XLOOKUP(B581,customer_clean!A:A,customer_clean!E:E)</f>
        <v>100</v>
      </c>
    </row>
    <row r="582" spans="1:6" x14ac:dyDescent="0.35">
      <c r="A582" t="s">
        <v>658</v>
      </c>
      <c r="B582">
        <v>1475</v>
      </c>
      <c r="C582" s="1">
        <v>45566</v>
      </c>
      <c r="D582">
        <v>200</v>
      </c>
      <c r="E582" t="str">
        <f>_xlfn.XLOOKUP(B582,customer_clean!A:A,customer_clean!C:C)</f>
        <v>Pro</v>
      </c>
      <c r="F582">
        <f>_xlfn.XLOOKUP(B582,customer_clean!A:A,customer_clean!E:E)</f>
        <v>100</v>
      </c>
    </row>
    <row r="583" spans="1:6" x14ac:dyDescent="0.35">
      <c r="A583" t="s">
        <v>659</v>
      </c>
      <c r="B583">
        <v>1475</v>
      </c>
      <c r="C583" s="1">
        <v>45597</v>
      </c>
      <c r="D583">
        <v>200</v>
      </c>
      <c r="E583" t="str">
        <f>_xlfn.XLOOKUP(B583,customer_clean!A:A,customer_clean!C:C)</f>
        <v>Pro</v>
      </c>
      <c r="F583">
        <f>_xlfn.XLOOKUP(B583,customer_clean!A:A,customer_clean!E:E)</f>
        <v>100</v>
      </c>
    </row>
    <row r="584" spans="1:6" x14ac:dyDescent="0.35">
      <c r="A584" t="s">
        <v>660</v>
      </c>
      <c r="B584">
        <v>1475</v>
      </c>
      <c r="C584" s="1">
        <v>45627</v>
      </c>
      <c r="D584">
        <v>200</v>
      </c>
      <c r="E584" t="str">
        <f>_xlfn.XLOOKUP(B584,customer_clean!A:A,customer_clean!C:C)</f>
        <v>Pro</v>
      </c>
      <c r="F584">
        <f>_xlfn.XLOOKUP(B584,customer_clean!A:A,customer_clean!E:E)</f>
        <v>100</v>
      </c>
    </row>
    <row r="585" spans="1:6" x14ac:dyDescent="0.35">
      <c r="A585" t="s">
        <v>661</v>
      </c>
      <c r="B585">
        <v>1475</v>
      </c>
      <c r="C585" s="1">
        <v>45658</v>
      </c>
      <c r="D585">
        <v>200</v>
      </c>
      <c r="E585" t="str">
        <f>_xlfn.XLOOKUP(B585,customer_clean!A:A,customer_clean!C:C)</f>
        <v>Pro</v>
      </c>
      <c r="F585">
        <f>_xlfn.XLOOKUP(B585,customer_clean!A:A,customer_clean!E:E)</f>
        <v>100</v>
      </c>
    </row>
    <row r="586" spans="1:6" x14ac:dyDescent="0.35">
      <c r="A586" t="s">
        <v>662</v>
      </c>
      <c r="B586">
        <v>1475</v>
      </c>
      <c r="C586" s="1">
        <v>45689</v>
      </c>
      <c r="D586">
        <v>200</v>
      </c>
      <c r="E586" t="str">
        <f>_xlfn.XLOOKUP(B586,customer_clean!A:A,customer_clean!C:C)</f>
        <v>Pro</v>
      </c>
      <c r="F586">
        <f>_xlfn.XLOOKUP(B586,customer_clean!A:A,customer_clean!E:E)</f>
        <v>100</v>
      </c>
    </row>
    <row r="587" spans="1:6" x14ac:dyDescent="0.35">
      <c r="A587" t="s">
        <v>663</v>
      </c>
      <c r="B587">
        <v>1475</v>
      </c>
      <c r="C587" s="1">
        <v>45717</v>
      </c>
      <c r="D587">
        <v>200</v>
      </c>
      <c r="E587" t="str">
        <f>_xlfn.XLOOKUP(B587,customer_clean!A:A,customer_clean!C:C)</f>
        <v>Pro</v>
      </c>
      <c r="F587">
        <f>_xlfn.XLOOKUP(B587,customer_clean!A:A,customer_clean!E:E)</f>
        <v>100</v>
      </c>
    </row>
    <row r="588" spans="1:6" x14ac:dyDescent="0.35">
      <c r="A588" t="s">
        <v>664</v>
      </c>
      <c r="B588">
        <v>1478</v>
      </c>
      <c r="C588" s="1">
        <v>45352</v>
      </c>
      <c r="D588">
        <v>200</v>
      </c>
      <c r="E588" t="str">
        <f>_xlfn.XLOOKUP(B588,customer_clean!A:A,customer_clean!C:C)</f>
        <v>Pro</v>
      </c>
      <c r="F588">
        <f>_xlfn.XLOOKUP(B588,customer_clean!A:A,customer_clean!E:E)</f>
        <v>100</v>
      </c>
    </row>
    <row r="589" spans="1:6" x14ac:dyDescent="0.35">
      <c r="A589" t="s">
        <v>665</v>
      </c>
      <c r="B589">
        <v>1478</v>
      </c>
      <c r="C589" s="1">
        <v>45383</v>
      </c>
      <c r="D589">
        <v>200</v>
      </c>
      <c r="E589" t="str">
        <f>_xlfn.XLOOKUP(B589,customer_clean!A:A,customer_clean!C:C)</f>
        <v>Pro</v>
      </c>
      <c r="F589">
        <f>_xlfn.XLOOKUP(B589,customer_clean!A:A,customer_clean!E:E)</f>
        <v>100</v>
      </c>
    </row>
    <row r="590" spans="1:6" x14ac:dyDescent="0.35">
      <c r="A590" t="s">
        <v>666</v>
      </c>
      <c r="B590">
        <v>1478</v>
      </c>
      <c r="C590" s="1">
        <v>45413</v>
      </c>
      <c r="D590">
        <v>200</v>
      </c>
      <c r="E590" t="str">
        <f>_xlfn.XLOOKUP(B590,customer_clean!A:A,customer_clean!C:C)</f>
        <v>Pro</v>
      </c>
      <c r="F590">
        <f>_xlfn.XLOOKUP(B590,customer_clean!A:A,customer_clean!E:E)</f>
        <v>100</v>
      </c>
    </row>
    <row r="591" spans="1:6" x14ac:dyDescent="0.35">
      <c r="A591" t="s">
        <v>667</v>
      </c>
      <c r="B591">
        <v>1478</v>
      </c>
      <c r="C591" s="1">
        <v>45444</v>
      </c>
      <c r="D591">
        <v>200</v>
      </c>
      <c r="E591" t="str">
        <f>_xlfn.XLOOKUP(B591,customer_clean!A:A,customer_clean!C:C)</f>
        <v>Pro</v>
      </c>
      <c r="F591">
        <f>_xlfn.XLOOKUP(B591,customer_clean!A:A,customer_clean!E:E)</f>
        <v>100</v>
      </c>
    </row>
    <row r="592" spans="1:6" x14ac:dyDescent="0.35">
      <c r="A592" t="s">
        <v>668</v>
      </c>
      <c r="B592">
        <v>1478</v>
      </c>
      <c r="C592" s="1">
        <v>45474</v>
      </c>
      <c r="D592">
        <v>200</v>
      </c>
      <c r="E592" t="str">
        <f>_xlfn.XLOOKUP(B592,customer_clean!A:A,customer_clean!C:C)</f>
        <v>Pro</v>
      </c>
      <c r="F592">
        <f>_xlfn.XLOOKUP(B592,customer_clean!A:A,customer_clean!E:E)</f>
        <v>100</v>
      </c>
    </row>
    <row r="593" spans="1:6" x14ac:dyDescent="0.35">
      <c r="A593" t="s">
        <v>669</v>
      </c>
      <c r="B593">
        <v>1478</v>
      </c>
      <c r="C593" s="1">
        <v>45505</v>
      </c>
      <c r="D593">
        <v>200</v>
      </c>
      <c r="E593" t="str">
        <f>_xlfn.XLOOKUP(B593,customer_clean!A:A,customer_clean!C:C)</f>
        <v>Pro</v>
      </c>
      <c r="F593">
        <f>_xlfn.XLOOKUP(B593,customer_clean!A:A,customer_clean!E:E)</f>
        <v>100</v>
      </c>
    </row>
    <row r="594" spans="1:6" x14ac:dyDescent="0.35">
      <c r="A594" t="s">
        <v>670</v>
      </c>
      <c r="B594">
        <v>1478</v>
      </c>
      <c r="C594" s="1">
        <v>45536</v>
      </c>
      <c r="D594">
        <v>200</v>
      </c>
      <c r="E594" t="str">
        <f>_xlfn.XLOOKUP(B594,customer_clean!A:A,customer_clean!C:C)</f>
        <v>Pro</v>
      </c>
      <c r="F594">
        <f>_xlfn.XLOOKUP(B594,customer_clean!A:A,customer_clean!E:E)</f>
        <v>100</v>
      </c>
    </row>
    <row r="595" spans="1:6" x14ac:dyDescent="0.35">
      <c r="A595" t="s">
        <v>671</v>
      </c>
      <c r="B595">
        <v>1501</v>
      </c>
      <c r="C595" s="1">
        <v>45717</v>
      </c>
      <c r="D595">
        <v>500</v>
      </c>
      <c r="E595" t="str">
        <f>_xlfn.XLOOKUP(B595,customer_clean!A:A,customer_clean!C:C)</f>
        <v>Enterprise</v>
      </c>
      <c r="F595">
        <f>_xlfn.XLOOKUP(B595,customer_clean!A:A,customer_clean!E:E)</f>
        <v>200</v>
      </c>
    </row>
    <row r="596" spans="1:6" x14ac:dyDescent="0.35">
      <c r="A596" t="s">
        <v>672</v>
      </c>
      <c r="B596">
        <v>1501</v>
      </c>
      <c r="C596" s="1">
        <v>45748</v>
      </c>
      <c r="D596">
        <v>500</v>
      </c>
      <c r="E596" t="str">
        <f>_xlfn.XLOOKUP(B596,customer_clean!A:A,customer_clean!C:C)</f>
        <v>Enterprise</v>
      </c>
      <c r="F596">
        <f>_xlfn.XLOOKUP(B596,customer_clean!A:A,customer_clean!E:E)</f>
        <v>200</v>
      </c>
    </row>
    <row r="597" spans="1:6" x14ac:dyDescent="0.35">
      <c r="A597" t="s">
        <v>673</v>
      </c>
      <c r="B597">
        <v>1501</v>
      </c>
      <c r="C597" s="1">
        <v>45778</v>
      </c>
      <c r="D597">
        <v>500</v>
      </c>
      <c r="E597" t="str">
        <f>_xlfn.XLOOKUP(B597,customer_clean!A:A,customer_clean!C:C)</f>
        <v>Enterprise</v>
      </c>
      <c r="F597">
        <f>_xlfn.XLOOKUP(B597,customer_clean!A:A,customer_clean!E:E)</f>
        <v>200</v>
      </c>
    </row>
    <row r="598" spans="1:6" x14ac:dyDescent="0.35">
      <c r="A598" t="s">
        <v>674</v>
      </c>
      <c r="B598">
        <v>1510</v>
      </c>
      <c r="C598" s="1">
        <v>45292</v>
      </c>
      <c r="D598">
        <v>500</v>
      </c>
      <c r="E598" t="str">
        <f>_xlfn.XLOOKUP(B598,customer_clean!A:A,customer_clean!C:C)</f>
        <v>Enterprise</v>
      </c>
      <c r="F598">
        <f>_xlfn.XLOOKUP(B598,customer_clean!A:A,customer_clean!E:E)</f>
        <v>200</v>
      </c>
    </row>
    <row r="599" spans="1:6" x14ac:dyDescent="0.35">
      <c r="A599" t="s">
        <v>675</v>
      </c>
      <c r="B599">
        <v>1510</v>
      </c>
      <c r="C599" s="1">
        <v>45323</v>
      </c>
      <c r="D599">
        <v>500</v>
      </c>
      <c r="E599" t="str">
        <f>_xlfn.XLOOKUP(B599,customer_clean!A:A,customer_clean!C:C)</f>
        <v>Enterprise</v>
      </c>
      <c r="F599">
        <f>_xlfn.XLOOKUP(B599,customer_clean!A:A,customer_clean!E:E)</f>
        <v>200</v>
      </c>
    </row>
    <row r="600" spans="1:6" x14ac:dyDescent="0.35">
      <c r="A600" t="s">
        <v>676</v>
      </c>
      <c r="B600">
        <v>1510</v>
      </c>
      <c r="C600" s="1">
        <v>45352</v>
      </c>
      <c r="D600">
        <v>500</v>
      </c>
      <c r="E600" t="str">
        <f>_xlfn.XLOOKUP(B600,customer_clean!A:A,customer_clean!C:C)</f>
        <v>Enterprise</v>
      </c>
      <c r="F600">
        <f>_xlfn.XLOOKUP(B600,customer_clean!A:A,customer_clean!E:E)</f>
        <v>200</v>
      </c>
    </row>
    <row r="601" spans="1:6" x14ac:dyDescent="0.35">
      <c r="A601" t="s">
        <v>677</v>
      </c>
      <c r="B601">
        <v>1510</v>
      </c>
      <c r="C601" s="1">
        <v>45383</v>
      </c>
      <c r="D601">
        <v>500</v>
      </c>
      <c r="E601" t="str">
        <f>_xlfn.XLOOKUP(B601,customer_clean!A:A,customer_clean!C:C)</f>
        <v>Enterprise</v>
      </c>
      <c r="F601">
        <f>_xlfn.XLOOKUP(B601,customer_clean!A:A,customer_clean!E:E)</f>
        <v>200</v>
      </c>
    </row>
    <row r="602" spans="1:6" x14ac:dyDescent="0.35">
      <c r="A602" t="s">
        <v>678</v>
      </c>
      <c r="B602">
        <v>1510</v>
      </c>
      <c r="C602" s="1">
        <v>45413</v>
      </c>
      <c r="D602">
        <v>500</v>
      </c>
      <c r="E602" t="str">
        <f>_xlfn.XLOOKUP(B602,customer_clean!A:A,customer_clean!C:C)</f>
        <v>Enterprise</v>
      </c>
      <c r="F602">
        <f>_xlfn.XLOOKUP(B602,customer_clean!A:A,customer_clean!E:E)</f>
        <v>200</v>
      </c>
    </row>
    <row r="603" spans="1:6" x14ac:dyDescent="0.35">
      <c r="A603" t="s">
        <v>679</v>
      </c>
      <c r="B603">
        <v>1510</v>
      </c>
      <c r="C603" s="1">
        <v>45444</v>
      </c>
      <c r="D603">
        <v>500</v>
      </c>
      <c r="E603" t="str">
        <f>_xlfn.XLOOKUP(B603,customer_clean!A:A,customer_clean!C:C)</f>
        <v>Enterprise</v>
      </c>
      <c r="F603">
        <f>_xlfn.XLOOKUP(B603,customer_clean!A:A,customer_clean!E:E)</f>
        <v>200</v>
      </c>
    </row>
    <row r="604" spans="1:6" x14ac:dyDescent="0.35">
      <c r="A604" t="s">
        <v>680</v>
      </c>
      <c r="B604">
        <v>1510</v>
      </c>
      <c r="C604" s="1">
        <v>45474</v>
      </c>
      <c r="D604">
        <v>500</v>
      </c>
      <c r="E604" t="str">
        <f>_xlfn.XLOOKUP(B604,customer_clean!A:A,customer_clean!C:C)</f>
        <v>Enterprise</v>
      </c>
      <c r="F604">
        <f>_xlfn.XLOOKUP(B604,customer_clean!A:A,customer_clean!E:E)</f>
        <v>200</v>
      </c>
    </row>
    <row r="605" spans="1:6" x14ac:dyDescent="0.35">
      <c r="A605" t="s">
        <v>681</v>
      </c>
      <c r="B605">
        <v>1510</v>
      </c>
      <c r="C605" s="1">
        <v>45505</v>
      </c>
      <c r="D605">
        <v>500</v>
      </c>
      <c r="E605" t="str">
        <f>_xlfn.XLOOKUP(B605,customer_clean!A:A,customer_clean!C:C)</f>
        <v>Enterprise</v>
      </c>
      <c r="F605">
        <f>_xlfn.XLOOKUP(B605,customer_clean!A:A,customer_clean!E:E)</f>
        <v>200</v>
      </c>
    </row>
    <row r="606" spans="1:6" x14ac:dyDescent="0.35">
      <c r="A606" t="s">
        <v>682</v>
      </c>
      <c r="B606">
        <v>1510</v>
      </c>
      <c r="C606" s="1">
        <v>45536</v>
      </c>
      <c r="D606">
        <v>500</v>
      </c>
      <c r="E606" t="str">
        <f>_xlfn.XLOOKUP(B606,customer_clean!A:A,customer_clean!C:C)</f>
        <v>Enterprise</v>
      </c>
      <c r="F606">
        <f>_xlfn.XLOOKUP(B606,customer_clean!A:A,customer_clean!E:E)</f>
        <v>200</v>
      </c>
    </row>
    <row r="607" spans="1:6" x14ac:dyDescent="0.35">
      <c r="A607" t="s">
        <v>683</v>
      </c>
      <c r="B607">
        <v>1510</v>
      </c>
      <c r="C607" s="1">
        <v>45566</v>
      </c>
      <c r="D607">
        <v>500</v>
      </c>
      <c r="E607" t="str">
        <f>_xlfn.XLOOKUP(B607,customer_clean!A:A,customer_clean!C:C)</f>
        <v>Enterprise</v>
      </c>
      <c r="F607">
        <f>_xlfn.XLOOKUP(B607,customer_clean!A:A,customer_clean!E:E)</f>
        <v>200</v>
      </c>
    </row>
    <row r="608" spans="1:6" x14ac:dyDescent="0.35">
      <c r="A608" t="s">
        <v>684</v>
      </c>
      <c r="B608">
        <v>1510</v>
      </c>
      <c r="C608" s="1">
        <v>45597</v>
      </c>
      <c r="D608">
        <v>500</v>
      </c>
      <c r="E608" t="str">
        <f>_xlfn.XLOOKUP(B608,customer_clean!A:A,customer_clean!C:C)</f>
        <v>Enterprise</v>
      </c>
      <c r="F608">
        <f>_xlfn.XLOOKUP(B608,customer_clean!A:A,customer_clean!E:E)</f>
        <v>200</v>
      </c>
    </row>
    <row r="609" spans="1:6" x14ac:dyDescent="0.35">
      <c r="A609" t="s">
        <v>685</v>
      </c>
      <c r="B609">
        <v>1519</v>
      </c>
      <c r="C609" s="1">
        <v>45323</v>
      </c>
      <c r="D609">
        <v>500</v>
      </c>
      <c r="E609" t="str">
        <f>_xlfn.XLOOKUP(B609,customer_clean!A:A,customer_clean!C:C)</f>
        <v>Enterprise</v>
      </c>
      <c r="F609">
        <f>_xlfn.XLOOKUP(B609,customer_clean!A:A,customer_clean!E:E)</f>
        <v>200</v>
      </c>
    </row>
    <row r="610" spans="1:6" x14ac:dyDescent="0.35">
      <c r="A610" t="s">
        <v>686</v>
      </c>
      <c r="B610">
        <v>1519</v>
      </c>
      <c r="C610" s="1">
        <v>45352</v>
      </c>
      <c r="D610">
        <v>500</v>
      </c>
      <c r="E610" t="str">
        <f>_xlfn.XLOOKUP(B610,customer_clean!A:A,customer_clean!C:C)</f>
        <v>Enterprise</v>
      </c>
      <c r="F610">
        <f>_xlfn.XLOOKUP(B610,customer_clean!A:A,customer_clean!E:E)</f>
        <v>200</v>
      </c>
    </row>
    <row r="611" spans="1:6" x14ac:dyDescent="0.35">
      <c r="A611" t="s">
        <v>687</v>
      </c>
      <c r="B611">
        <v>1519</v>
      </c>
      <c r="C611" s="1">
        <v>45383</v>
      </c>
      <c r="D611">
        <v>500</v>
      </c>
      <c r="E611" t="str">
        <f>_xlfn.XLOOKUP(B611,customer_clean!A:A,customer_clean!C:C)</f>
        <v>Enterprise</v>
      </c>
      <c r="F611">
        <f>_xlfn.XLOOKUP(B611,customer_clean!A:A,customer_clean!E:E)</f>
        <v>200</v>
      </c>
    </row>
    <row r="612" spans="1:6" x14ac:dyDescent="0.35">
      <c r="A612" t="s">
        <v>688</v>
      </c>
      <c r="B612">
        <v>1519</v>
      </c>
      <c r="C612" s="1">
        <v>45413</v>
      </c>
      <c r="D612">
        <v>500</v>
      </c>
      <c r="E612" t="str">
        <f>_xlfn.XLOOKUP(B612,customer_clean!A:A,customer_clean!C:C)</f>
        <v>Enterprise</v>
      </c>
      <c r="F612">
        <f>_xlfn.XLOOKUP(B612,customer_clean!A:A,customer_clean!E:E)</f>
        <v>200</v>
      </c>
    </row>
    <row r="613" spans="1:6" x14ac:dyDescent="0.35">
      <c r="A613" t="s">
        <v>689</v>
      </c>
      <c r="B613">
        <v>1519</v>
      </c>
      <c r="C613" s="1">
        <v>45444</v>
      </c>
      <c r="D613">
        <v>500</v>
      </c>
      <c r="E613" t="str">
        <f>_xlfn.XLOOKUP(B613,customer_clean!A:A,customer_clean!C:C)</f>
        <v>Enterprise</v>
      </c>
      <c r="F613">
        <f>_xlfn.XLOOKUP(B613,customer_clean!A:A,customer_clean!E:E)</f>
        <v>200</v>
      </c>
    </row>
    <row r="614" spans="1:6" x14ac:dyDescent="0.35">
      <c r="A614" t="s">
        <v>690</v>
      </c>
      <c r="B614">
        <v>1519</v>
      </c>
      <c r="C614" s="1">
        <v>45474</v>
      </c>
      <c r="D614">
        <v>500</v>
      </c>
      <c r="E614" t="str">
        <f>_xlfn.XLOOKUP(B614,customer_clean!A:A,customer_clean!C:C)</f>
        <v>Enterprise</v>
      </c>
      <c r="F614">
        <f>_xlfn.XLOOKUP(B614,customer_clean!A:A,customer_clean!E:E)</f>
        <v>200</v>
      </c>
    </row>
    <row r="615" spans="1:6" x14ac:dyDescent="0.35">
      <c r="A615" t="s">
        <v>691</v>
      </c>
      <c r="B615">
        <v>1519</v>
      </c>
      <c r="C615" s="1">
        <v>45505</v>
      </c>
      <c r="D615">
        <v>500</v>
      </c>
      <c r="E615" t="str">
        <f>_xlfn.XLOOKUP(B615,customer_clean!A:A,customer_clean!C:C)</f>
        <v>Enterprise</v>
      </c>
      <c r="F615">
        <f>_xlfn.XLOOKUP(B615,customer_clean!A:A,customer_clean!E:E)</f>
        <v>200</v>
      </c>
    </row>
    <row r="616" spans="1:6" x14ac:dyDescent="0.35">
      <c r="A616" t="s">
        <v>692</v>
      </c>
      <c r="B616">
        <v>1519</v>
      </c>
      <c r="C616" s="1">
        <v>45536</v>
      </c>
      <c r="D616">
        <v>500</v>
      </c>
      <c r="E616" t="str">
        <f>_xlfn.XLOOKUP(B616,customer_clean!A:A,customer_clean!C:C)</f>
        <v>Enterprise</v>
      </c>
      <c r="F616">
        <f>_xlfn.XLOOKUP(B616,customer_clean!A:A,customer_clean!E:E)</f>
        <v>200</v>
      </c>
    </row>
    <row r="617" spans="1:6" x14ac:dyDescent="0.35">
      <c r="A617" t="s">
        <v>693</v>
      </c>
      <c r="B617">
        <v>1519</v>
      </c>
      <c r="C617" s="1">
        <v>45566</v>
      </c>
      <c r="D617">
        <v>500</v>
      </c>
      <c r="E617" t="str">
        <f>_xlfn.XLOOKUP(B617,customer_clean!A:A,customer_clean!C:C)</f>
        <v>Enterprise</v>
      </c>
      <c r="F617">
        <f>_xlfn.XLOOKUP(B617,customer_clean!A:A,customer_clean!E:E)</f>
        <v>200</v>
      </c>
    </row>
    <row r="618" spans="1:6" x14ac:dyDescent="0.35">
      <c r="A618" t="s">
        <v>694</v>
      </c>
      <c r="B618">
        <v>1519</v>
      </c>
      <c r="C618" s="1">
        <v>45597</v>
      </c>
      <c r="D618">
        <v>500</v>
      </c>
      <c r="E618" t="str">
        <f>_xlfn.XLOOKUP(B618,customer_clean!A:A,customer_clean!C:C)</f>
        <v>Enterprise</v>
      </c>
      <c r="F618">
        <f>_xlfn.XLOOKUP(B618,customer_clean!A:A,customer_clean!E:E)</f>
        <v>200</v>
      </c>
    </row>
    <row r="619" spans="1:6" x14ac:dyDescent="0.35">
      <c r="A619" t="s">
        <v>695</v>
      </c>
      <c r="B619">
        <v>1519</v>
      </c>
      <c r="C619" s="1">
        <v>45627</v>
      </c>
      <c r="D619">
        <v>500</v>
      </c>
      <c r="E619" t="str">
        <f>_xlfn.XLOOKUP(B619,customer_clean!A:A,customer_clean!C:C)</f>
        <v>Enterprise</v>
      </c>
      <c r="F619">
        <f>_xlfn.XLOOKUP(B619,customer_clean!A:A,customer_clean!E:E)</f>
        <v>200</v>
      </c>
    </row>
    <row r="620" spans="1:6" x14ac:dyDescent="0.35">
      <c r="A620" t="s">
        <v>696</v>
      </c>
      <c r="B620">
        <v>1519</v>
      </c>
      <c r="C620" s="1">
        <v>45658</v>
      </c>
      <c r="D620">
        <v>500</v>
      </c>
      <c r="E620" t="str">
        <f>_xlfn.XLOOKUP(B620,customer_clean!A:A,customer_clean!C:C)</f>
        <v>Enterprise</v>
      </c>
      <c r="F620">
        <f>_xlfn.XLOOKUP(B620,customer_clean!A:A,customer_clean!E:E)</f>
        <v>200</v>
      </c>
    </row>
    <row r="621" spans="1:6" x14ac:dyDescent="0.35">
      <c r="A621" t="s">
        <v>697</v>
      </c>
      <c r="B621">
        <v>1519</v>
      </c>
      <c r="C621" s="1">
        <v>45689</v>
      </c>
      <c r="D621">
        <v>500</v>
      </c>
      <c r="E621" t="str">
        <f>_xlfn.XLOOKUP(B621,customer_clean!A:A,customer_clean!C:C)</f>
        <v>Enterprise</v>
      </c>
      <c r="F621">
        <f>_xlfn.XLOOKUP(B621,customer_clean!A:A,customer_clean!E:E)</f>
        <v>200</v>
      </c>
    </row>
    <row r="622" spans="1:6" x14ac:dyDescent="0.35">
      <c r="A622" t="s">
        <v>698</v>
      </c>
      <c r="B622">
        <v>1519</v>
      </c>
      <c r="C622" s="1">
        <v>45717</v>
      </c>
      <c r="D622">
        <v>500</v>
      </c>
      <c r="E622" t="str">
        <f>_xlfn.XLOOKUP(B622,customer_clean!A:A,customer_clean!C:C)</f>
        <v>Enterprise</v>
      </c>
      <c r="F622">
        <f>_xlfn.XLOOKUP(B622,customer_clean!A:A,customer_clean!E:E)</f>
        <v>200</v>
      </c>
    </row>
    <row r="623" spans="1:6" x14ac:dyDescent="0.35">
      <c r="A623" t="s">
        <v>699</v>
      </c>
      <c r="B623">
        <v>1519</v>
      </c>
      <c r="C623" s="1">
        <v>45748</v>
      </c>
      <c r="D623">
        <v>500</v>
      </c>
      <c r="E623" t="str">
        <f>_xlfn.XLOOKUP(B623,customer_clean!A:A,customer_clean!C:C)</f>
        <v>Enterprise</v>
      </c>
      <c r="F623">
        <f>_xlfn.XLOOKUP(B623,customer_clean!A:A,customer_clean!E:E)</f>
        <v>200</v>
      </c>
    </row>
    <row r="624" spans="1:6" x14ac:dyDescent="0.35">
      <c r="A624" t="s">
        <v>700</v>
      </c>
      <c r="B624">
        <v>1519</v>
      </c>
      <c r="C624" s="1">
        <v>45778</v>
      </c>
      <c r="D624">
        <v>500</v>
      </c>
      <c r="E624" t="str">
        <f>_xlfn.XLOOKUP(B624,customer_clean!A:A,customer_clean!C:C)</f>
        <v>Enterprise</v>
      </c>
      <c r="F624">
        <f>_xlfn.XLOOKUP(B624,customer_clean!A:A,customer_clean!E:E)</f>
        <v>200</v>
      </c>
    </row>
    <row r="625" spans="1:6" x14ac:dyDescent="0.35">
      <c r="A625" t="s">
        <v>701</v>
      </c>
      <c r="B625">
        <v>1525</v>
      </c>
      <c r="C625" s="1">
        <v>45689</v>
      </c>
      <c r="D625">
        <v>500</v>
      </c>
      <c r="E625" t="str">
        <f>_xlfn.XLOOKUP(B625,customer_clean!A:A,customer_clean!C:C)</f>
        <v>Enterprise</v>
      </c>
      <c r="F625">
        <f>_xlfn.XLOOKUP(B625,customer_clean!A:A,customer_clean!E:E)</f>
        <v>200</v>
      </c>
    </row>
    <row r="626" spans="1:6" x14ac:dyDescent="0.35">
      <c r="A626" t="s">
        <v>702</v>
      </c>
      <c r="B626">
        <v>1525</v>
      </c>
      <c r="C626" s="1">
        <v>45717</v>
      </c>
      <c r="D626">
        <v>500</v>
      </c>
      <c r="E626" t="str">
        <f>_xlfn.XLOOKUP(B626,customer_clean!A:A,customer_clean!C:C)</f>
        <v>Enterprise</v>
      </c>
      <c r="F626">
        <f>_xlfn.XLOOKUP(B626,customer_clean!A:A,customer_clean!E:E)</f>
        <v>200</v>
      </c>
    </row>
    <row r="627" spans="1:6" x14ac:dyDescent="0.35">
      <c r="A627" t="s">
        <v>703</v>
      </c>
      <c r="B627">
        <v>1525</v>
      </c>
      <c r="C627" s="1">
        <v>45748</v>
      </c>
      <c r="D627">
        <v>500</v>
      </c>
      <c r="E627" t="str">
        <f>_xlfn.XLOOKUP(B627,customer_clean!A:A,customer_clean!C:C)</f>
        <v>Enterprise</v>
      </c>
      <c r="F627">
        <f>_xlfn.XLOOKUP(B627,customer_clean!A:A,customer_clean!E:E)</f>
        <v>200</v>
      </c>
    </row>
    <row r="628" spans="1:6" x14ac:dyDescent="0.35">
      <c r="A628" t="s">
        <v>704</v>
      </c>
      <c r="B628">
        <v>1544</v>
      </c>
      <c r="C628" s="1">
        <v>45597</v>
      </c>
      <c r="D628">
        <v>200</v>
      </c>
      <c r="E628" t="str">
        <f>_xlfn.XLOOKUP(B628,customer_clean!A:A,customer_clean!C:C)</f>
        <v>Pro</v>
      </c>
      <c r="F628">
        <f>_xlfn.XLOOKUP(B628,customer_clean!A:A,customer_clean!E:E)</f>
        <v>100</v>
      </c>
    </row>
    <row r="629" spans="1:6" x14ac:dyDescent="0.35">
      <c r="A629" t="s">
        <v>705</v>
      </c>
      <c r="B629">
        <v>1544</v>
      </c>
      <c r="C629" s="1">
        <v>45627</v>
      </c>
      <c r="D629">
        <v>200</v>
      </c>
      <c r="E629" t="str">
        <f>_xlfn.XLOOKUP(B629,customer_clean!A:A,customer_clean!C:C)</f>
        <v>Pro</v>
      </c>
      <c r="F629">
        <f>_xlfn.XLOOKUP(B629,customer_clean!A:A,customer_clean!E:E)</f>
        <v>100</v>
      </c>
    </row>
    <row r="630" spans="1:6" x14ac:dyDescent="0.35">
      <c r="A630" t="s">
        <v>706</v>
      </c>
      <c r="B630">
        <v>1544</v>
      </c>
      <c r="C630" s="1">
        <v>45658</v>
      </c>
      <c r="D630">
        <v>200</v>
      </c>
      <c r="E630" t="str">
        <f>_xlfn.XLOOKUP(B630,customer_clean!A:A,customer_clean!C:C)</f>
        <v>Pro</v>
      </c>
      <c r="F630">
        <f>_xlfn.XLOOKUP(B630,customer_clean!A:A,customer_clean!E:E)</f>
        <v>100</v>
      </c>
    </row>
    <row r="631" spans="1:6" x14ac:dyDescent="0.35">
      <c r="A631" t="s">
        <v>707</v>
      </c>
      <c r="B631">
        <v>1544</v>
      </c>
      <c r="C631" s="1">
        <v>45689</v>
      </c>
      <c r="D631">
        <v>200</v>
      </c>
      <c r="E631" t="str">
        <f>_xlfn.XLOOKUP(B631,customer_clean!A:A,customer_clean!C:C)</f>
        <v>Pro</v>
      </c>
      <c r="F631">
        <f>_xlfn.XLOOKUP(B631,customer_clean!A:A,customer_clean!E:E)</f>
        <v>100</v>
      </c>
    </row>
    <row r="632" spans="1:6" x14ac:dyDescent="0.35">
      <c r="A632" t="s">
        <v>708</v>
      </c>
      <c r="B632">
        <v>1544</v>
      </c>
      <c r="C632" s="1">
        <v>45717</v>
      </c>
      <c r="D632">
        <v>200</v>
      </c>
      <c r="E632" t="str">
        <f>_xlfn.XLOOKUP(B632,customer_clean!A:A,customer_clean!C:C)</f>
        <v>Pro</v>
      </c>
      <c r="F632">
        <f>_xlfn.XLOOKUP(B632,customer_clean!A:A,customer_clean!E:E)</f>
        <v>100</v>
      </c>
    </row>
    <row r="633" spans="1:6" x14ac:dyDescent="0.35">
      <c r="A633" t="s">
        <v>709</v>
      </c>
      <c r="B633">
        <v>1544</v>
      </c>
      <c r="C633" s="1">
        <v>45748</v>
      </c>
      <c r="D633">
        <v>200</v>
      </c>
      <c r="E633" t="str">
        <f>_xlfn.XLOOKUP(B633,customer_clean!A:A,customer_clean!C:C)</f>
        <v>Pro</v>
      </c>
      <c r="F633">
        <f>_xlfn.XLOOKUP(B633,customer_clean!A:A,customer_clean!E:E)</f>
        <v>100</v>
      </c>
    </row>
    <row r="634" spans="1:6" x14ac:dyDescent="0.35">
      <c r="A634" t="s">
        <v>710</v>
      </c>
      <c r="B634">
        <v>1552</v>
      </c>
      <c r="C634" s="1">
        <v>45474</v>
      </c>
      <c r="D634">
        <v>500</v>
      </c>
      <c r="E634" t="str">
        <f>_xlfn.XLOOKUP(B634,customer_clean!A:A,customer_clean!C:C)</f>
        <v>Enterprise</v>
      </c>
      <c r="F634">
        <f>_xlfn.XLOOKUP(B634,customer_clean!A:A,customer_clean!E:E)</f>
        <v>200</v>
      </c>
    </row>
    <row r="635" spans="1:6" x14ac:dyDescent="0.35">
      <c r="A635" t="s">
        <v>711</v>
      </c>
      <c r="B635">
        <v>1552</v>
      </c>
      <c r="C635" s="1">
        <v>45505</v>
      </c>
      <c r="D635">
        <v>500</v>
      </c>
      <c r="E635" t="str">
        <f>_xlfn.XLOOKUP(B635,customer_clean!A:A,customer_clean!C:C)</f>
        <v>Enterprise</v>
      </c>
      <c r="F635">
        <f>_xlfn.XLOOKUP(B635,customer_clean!A:A,customer_clean!E:E)</f>
        <v>200</v>
      </c>
    </row>
    <row r="636" spans="1:6" x14ac:dyDescent="0.35">
      <c r="A636" t="s">
        <v>712</v>
      </c>
      <c r="B636">
        <v>1552</v>
      </c>
      <c r="C636" s="1">
        <v>45536</v>
      </c>
      <c r="D636">
        <v>500</v>
      </c>
      <c r="E636" t="str">
        <f>_xlfn.XLOOKUP(B636,customer_clean!A:A,customer_clean!C:C)</f>
        <v>Enterprise</v>
      </c>
      <c r="F636">
        <f>_xlfn.XLOOKUP(B636,customer_clean!A:A,customer_clean!E:E)</f>
        <v>200</v>
      </c>
    </row>
    <row r="637" spans="1:6" x14ac:dyDescent="0.35">
      <c r="A637" t="s">
        <v>713</v>
      </c>
      <c r="B637">
        <v>1552</v>
      </c>
      <c r="C637" s="1">
        <v>45566</v>
      </c>
      <c r="D637">
        <v>500</v>
      </c>
      <c r="E637" t="str">
        <f>_xlfn.XLOOKUP(B637,customer_clean!A:A,customer_clean!C:C)</f>
        <v>Enterprise</v>
      </c>
      <c r="F637">
        <f>_xlfn.XLOOKUP(B637,customer_clean!A:A,customer_clean!E:E)</f>
        <v>200</v>
      </c>
    </row>
    <row r="638" spans="1:6" x14ac:dyDescent="0.35">
      <c r="A638" t="s">
        <v>714</v>
      </c>
      <c r="B638">
        <v>1552</v>
      </c>
      <c r="C638" s="1">
        <v>45597</v>
      </c>
      <c r="D638">
        <v>500</v>
      </c>
      <c r="E638" t="str">
        <f>_xlfn.XLOOKUP(B638,customer_clean!A:A,customer_clean!C:C)</f>
        <v>Enterprise</v>
      </c>
      <c r="F638">
        <f>_xlfn.XLOOKUP(B638,customer_clean!A:A,customer_clean!E:E)</f>
        <v>200</v>
      </c>
    </row>
    <row r="639" spans="1:6" x14ac:dyDescent="0.35">
      <c r="A639" t="s">
        <v>715</v>
      </c>
      <c r="B639">
        <v>1552</v>
      </c>
      <c r="C639" s="1">
        <v>45627</v>
      </c>
      <c r="D639">
        <v>500</v>
      </c>
      <c r="E639" t="str">
        <f>_xlfn.XLOOKUP(B639,customer_clean!A:A,customer_clean!C:C)</f>
        <v>Enterprise</v>
      </c>
      <c r="F639">
        <f>_xlfn.XLOOKUP(B639,customer_clean!A:A,customer_clean!E:E)</f>
        <v>200</v>
      </c>
    </row>
    <row r="640" spans="1:6" x14ac:dyDescent="0.35">
      <c r="A640" t="s">
        <v>716</v>
      </c>
      <c r="B640">
        <v>1552</v>
      </c>
      <c r="C640" s="1">
        <v>45658</v>
      </c>
      <c r="D640">
        <v>500</v>
      </c>
      <c r="E640" t="str">
        <f>_xlfn.XLOOKUP(B640,customer_clean!A:A,customer_clean!C:C)</f>
        <v>Enterprise</v>
      </c>
      <c r="F640">
        <f>_xlfn.XLOOKUP(B640,customer_clean!A:A,customer_clean!E:E)</f>
        <v>200</v>
      </c>
    </row>
    <row r="641" spans="1:6" x14ac:dyDescent="0.35">
      <c r="A641" t="s">
        <v>717</v>
      </c>
      <c r="B641">
        <v>1552</v>
      </c>
      <c r="C641" s="1">
        <v>45689</v>
      </c>
      <c r="D641">
        <v>500</v>
      </c>
      <c r="E641" t="str">
        <f>_xlfn.XLOOKUP(B641,customer_clean!A:A,customer_clean!C:C)</f>
        <v>Enterprise</v>
      </c>
      <c r="F641">
        <f>_xlfn.XLOOKUP(B641,customer_clean!A:A,customer_clean!E:E)</f>
        <v>200</v>
      </c>
    </row>
    <row r="642" spans="1:6" x14ac:dyDescent="0.35">
      <c r="A642" t="s">
        <v>718</v>
      </c>
      <c r="B642">
        <v>1552</v>
      </c>
      <c r="C642" s="1">
        <v>45717</v>
      </c>
      <c r="D642">
        <v>500</v>
      </c>
      <c r="E642" t="str">
        <f>_xlfn.XLOOKUP(B642,customer_clean!A:A,customer_clean!C:C)</f>
        <v>Enterprise</v>
      </c>
      <c r="F642">
        <f>_xlfn.XLOOKUP(B642,customer_clean!A:A,customer_clean!E:E)</f>
        <v>200</v>
      </c>
    </row>
    <row r="643" spans="1:6" x14ac:dyDescent="0.35">
      <c r="A643" t="s">
        <v>719</v>
      </c>
      <c r="B643">
        <v>1557</v>
      </c>
      <c r="C643" s="1">
        <v>45717</v>
      </c>
      <c r="D643">
        <v>500</v>
      </c>
      <c r="E643" t="str">
        <f>_xlfn.XLOOKUP(B643,customer_clean!A:A,customer_clean!C:C)</f>
        <v>Enterprise</v>
      </c>
      <c r="F643">
        <f>_xlfn.XLOOKUP(B643,customer_clean!A:A,customer_clean!E:E)</f>
        <v>200</v>
      </c>
    </row>
    <row r="644" spans="1:6" x14ac:dyDescent="0.35">
      <c r="A644" t="s">
        <v>720</v>
      </c>
      <c r="B644">
        <v>1557</v>
      </c>
      <c r="C644" s="1">
        <v>45748</v>
      </c>
      <c r="D644">
        <v>500</v>
      </c>
      <c r="E644" t="str">
        <f>_xlfn.XLOOKUP(B644,customer_clean!A:A,customer_clean!C:C)</f>
        <v>Enterprise</v>
      </c>
      <c r="F644">
        <f>_xlfn.XLOOKUP(B644,customer_clean!A:A,customer_clean!E:E)</f>
        <v>200</v>
      </c>
    </row>
    <row r="645" spans="1:6" x14ac:dyDescent="0.35">
      <c r="A645" t="s">
        <v>721</v>
      </c>
      <c r="B645">
        <v>1558</v>
      </c>
      <c r="C645" s="1">
        <v>45323</v>
      </c>
      <c r="D645">
        <v>500</v>
      </c>
      <c r="E645" t="str">
        <f>_xlfn.XLOOKUP(B645,customer_clean!A:A,customer_clean!C:C)</f>
        <v>Enterprise</v>
      </c>
      <c r="F645">
        <f>_xlfn.XLOOKUP(B645,customer_clean!A:A,customer_clean!E:E)</f>
        <v>200</v>
      </c>
    </row>
    <row r="646" spans="1:6" x14ac:dyDescent="0.35">
      <c r="A646" t="s">
        <v>722</v>
      </c>
      <c r="B646">
        <v>1558</v>
      </c>
      <c r="C646" s="1">
        <v>45352</v>
      </c>
      <c r="D646">
        <v>500</v>
      </c>
      <c r="E646" t="str">
        <f>_xlfn.XLOOKUP(B646,customer_clean!A:A,customer_clean!C:C)</f>
        <v>Enterprise</v>
      </c>
      <c r="F646">
        <f>_xlfn.XLOOKUP(B646,customer_clean!A:A,customer_clean!E:E)</f>
        <v>200</v>
      </c>
    </row>
    <row r="647" spans="1:6" x14ac:dyDescent="0.35">
      <c r="A647" t="s">
        <v>723</v>
      </c>
      <c r="B647">
        <v>1565</v>
      </c>
      <c r="C647" s="1">
        <v>45352</v>
      </c>
      <c r="D647">
        <v>200</v>
      </c>
      <c r="E647" t="str">
        <f>_xlfn.XLOOKUP(B647,customer_clean!A:A,customer_clean!C:C)</f>
        <v>Pro</v>
      </c>
      <c r="F647">
        <f>_xlfn.XLOOKUP(B647,customer_clean!A:A,customer_clean!E:E)</f>
        <v>100</v>
      </c>
    </row>
    <row r="648" spans="1:6" x14ac:dyDescent="0.35">
      <c r="A648" t="s">
        <v>724</v>
      </c>
      <c r="B648">
        <v>1565</v>
      </c>
      <c r="C648" s="1">
        <v>45383</v>
      </c>
      <c r="D648">
        <v>200</v>
      </c>
      <c r="E648" t="str">
        <f>_xlfn.XLOOKUP(B648,customer_clean!A:A,customer_clean!C:C)</f>
        <v>Pro</v>
      </c>
      <c r="F648">
        <f>_xlfn.XLOOKUP(B648,customer_clean!A:A,customer_clean!E:E)</f>
        <v>100</v>
      </c>
    </row>
    <row r="649" spans="1:6" x14ac:dyDescent="0.35">
      <c r="A649" t="s">
        <v>725</v>
      </c>
      <c r="B649">
        <v>1565</v>
      </c>
      <c r="C649" s="1">
        <v>45413</v>
      </c>
      <c r="D649">
        <v>200</v>
      </c>
      <c r="E649" t="str">
        <f>_xlfn.XLOOKUP(B649,customer_clean!A:A,customer_clean!C:C)</f>
        <v>Pro</v>
      </c>
      <c r="F649">
        <f>_xlfn.XLOOKUP(B649,customer_clean!A:A,customer_clean!E:E)</f>
        <v>100</v>
      </c>
    </row>
    <row r="650" spans="1:6" x14ac:dyDescent="0.35">
      <c r="A650" t="s">
        <v>726</v>
      </c>
      <c r="B650">
        <v>1570</v>
      </c>
      <c r="C650" s="1">
        <v>45323</v>
      </c>
      <c r="D650">
        <v>500</v>
      </c>
      <c r="E650" t="str">
        <f>_xlfn.XLOOKUP(B650,customer_clean!A:A,customer_clean!C:C)</f>
        <v>Enterprise</v>
      </c>
      <c r="F650">
        <f>_xlfn.XLOOKUP(B650,customer_clean!A:A,customer_clean!E:E)</f>
        <v>200</v>
      </c>
    </row>
    <row r="651" spans="1:6" x14ac:dyDescent="0.35">
      <c r="A651" t="s">
        <v>727</v>
      </c>
      <c r="B651">
        <v>1570</v>
      </c>
      <c r="C651" s="1">
        <v>45352</v>
      </c>
      <c r="D651">
        <v>500</v>
      </c>
      <c r="E651" t="str">
        <f>_xlfn.XLOOKUP(B651,customer_clean!A:A,customer_clean!C:C)</f>
        <v>Enterprise</v>
      </c>
      <c r="F651">
        <f>_xlfn.XLOOKUP(B651,customer_clean!A:A,customer_clean!E:E)</f>
        <v>200</v>
      </c>
    </row>
    <row r="652" spans="1:6" x14ac:dyDescent="0.35">
      <c r="A652" t="s">
        <v>728</v>
      </c>
      <c r="B652">
        <v>1570</v>
      </c>
      <c r="C652" s="1">
        <v>45383</v>
      </c>
      <c r="D652">
        <v>500</v>
      </c>
      <c r="E652" t="str">
        <f>_xlfn.XLOOKUP(B652,customer_clean!A:A,customer_clean!C:C)</f>
        <v>Enterprise</v>
      </c>
      <c r="F652">
        <f>_xlfn.XLOOKUP(B652,customer_clean!A:A,customer_clean!E:E)</f>
        <v>200</v>
      </c>
    </row>
    <row r="653" spans="1:6" x14ac:dyDescent="0.35">
      <c r="A653" t="s">
        <v>729</v>
      </c>
      <c r="B653">
        <v>1570</v>
      </c>
      <c r="C653" s="1">
        <v>45413</v>
      </c>
      <c r="D653">
        <v>500</v>
      </c>
      <c r="E653" t="str">
        <f>_xlfn.XLOOKUP(B653,customer_clean!A:A,customer_clean!C:C)</f>
        <v>Enterprise</v>
      </c>
      <c r="F653">
        <f>_xlfn.XLOOKUP(B653,customer_clean!A:A,customer_clean!E:E)</f>
        <v>200</v>
      </c>
    </row>
    <row r="654" spans="1:6" x14ac:dyDescent="0.35">
      <c r="A654" t="s">
        <v>730</v>
      </c>
      <c r="B654">
        <v>1570</v>
      </c>
      <c r="C654" s="1">
        <v>45444</v>
      </c>
      <c r="D654">
        <v>500</v>
      </c>
      <c r="E654" t="str">
        <f>_xlfn.XLOOKUP(B654,customer_clean!A:A,customer_clean!C:C)</f>
        <v>Enterprise</v>
      </c>
      <c r="F654">
        <f>_xlfn.XLOOKUP(B654,customer_clean!A:A,customer_clean!E:E)</f>
        <v>200</v>
      </c>
    </row>
    <row r="655" spans="1:6" x14ac:dyDescent="0.35">
      <c r="A655" t="s">
        <v>731</v>
      </c>
      <c r="B655">
        <v>1570</v>
      </c>
      <c r="C655" s="1">
        <v>45474</v>
      </c>
      <c r="D655">
        <v>500</v>
      </c>
      <c r="E655" t="str">
        <f>_xlfn.XLOOKUP(B655,customer_clean!A:A,customer_clean!C:C)</f>
        <v>Enterprise</v>
      </c>
      <c r="F655">
        <f>_xlfn.XLOOKUP(B655,customer_clean!A:A,customer_clean!E:E)</f>
        <v>200</v>
      </c>
    </row>
    <row r="656" spans="1:6" x14ac:dyDescent="0.35">
      <c r="A656" t="s">
        <v>732</v>
      </c>
      <c r="B656">
        <v>1570</v>
      </c>
      <c r="C656" s="1">
        <v>45505</v>
      </c>
      <c r="D656">
        <v>500</v>
      </c>
      <c r="E656" t="str">
        <f>_xlfn.XLOOKUP(B656,customer_clean!A:A,customer_clean!C:C)</f>
        <v>Enterprise</v>
      </c>
      <c r="F656">
        <f>_xlfn.XLOOKUP(B656,customer_clean!A:A,customer_clean!E:E)</f>
        <v>200</v>
      </c>
    </row>
    <row r="657" spans="1:6" x14ac:dyDescent="0.35">
      <c r="A657" t="s">
        <v>733</v>
      </c>
      <c r="B657">
        <v>1570</v>
      </c>
      <c r="C657" s="1">
        <v>45536</v>
      </c>
      <c r="D657">
        <v>500</v>
      </c>
      <c r="E657" t="str">
        <f>_xlfn.XLOOKUP(B657,customer_clean!A:A,customer_clean!C:C)</f>
        <v>Enterprise</v>
      </c>
      <c r="F657">
        <f>_xlfn.XLOOKUP(B657,customer_clean!A:A,customer_clean!E:E)</f>
        <v>200</v>
      </c>
    </row>
    <row r="658" spans="1:6" x14ac:dyDescent="0.35">
      <c r="A658" t="s">
        <v>734</v>
      </c>
      <c r="B658">
        <v>1570</v>
      </c>
      <c r="C658" s="1">
        <v>45566</v>
      </c>
      <c r="D658">
        <v>500</v>
      </c>
      <c r="E658" t="str">
        <f>_xlfn.XLOOKUP(B658,customer_clean!A:A,customer_clean!C:C)</f>
        <v>Enterprise</v>
      </c>
      <c r="F658">
        <f>_xlfn.XLOOKUP(B658,customer_clean!A:A,customer_clean!E:E)</f>
        <v>200</v>
      </c>
    </row>
    <row r="659" spans="1:6" x14ac:dyDescent="0.35">
      <c r="A659" t="s">
        <v>735</v>
      </c>
      <c r="B659">
        <v>1570</v>
      </c>
      <c r="C659" s="1">
        <v>45597</v>
      </c>
      <c r="D659">
        <v>500</v>
      </c>
      <c r="E659" t="str">
        <f>_xlfn.XLOOKUP(B659,customer_clean!A:A,customer_clean!C:C)</f>
        <v>Enterprise</v>
      </c>
      <c r="F659">
        <f>_xlfn.XLOOKUP(B659,customer_clean!A:A,customer_clean!E:E)</f>
        <v>200</v>
      </c>
    </row>
    <row r="660" spans="1:6" x14ac:dyDescent="0.35">
      <c r="A660" t="s">
        <v>736</v>
      </c>
      <c r="B660">
        <v>1570</v>
      </c>
      <c r="C660" s="1">
        <v>45627</v>
      </c>
      <c r="D660">
        <v>500</v>
      </c>
      <c r="E660" t="str">
        <f>_xlfn.XLOOKUP(B660,customer_clean!A:A,customer_clean!C:C)</f>
        <v>Enterprise</v>
      </c>
      <c r="F660">
        <f>_xlfn.XLOOKUP(B660,customer_clean!A:A,customer_clean!E:E)</f>
        <v>200</v>
      </c>
    </row>
    <row r="661" spans="1:6" x14ac:dyDescent="0.35">
      <c r="A661" t="s">
        <v>737</v>
      </c>
      <c r="B661">
        <v>1570</v>
      </c>
      <c r="C661" s="1">
        <v>45658</v>
      </c>
      <c r="D661">
        <v>500</v>
      </c>
      <c r="E661" t="str">
        <f>_xlfn.XLOOKUP(B661,customer_clean!A:A,customer_clean!C:C)</f>
        <v>Enterprise</v>
      </c>
      <c r="F661">
        <f>_xlfn.XLOOKUP(B661,customer_clean!A:A,customer_clean!E:E)</f>
        <v>200</v>
      </c>
    </row>
    <row r="662" spans="1:6" x14ac:dyDescent="0.35">
      <c r="A662" t="s">
        <v>738</v>
      </c>
      <c r="B662">
        <v>1570</v>
      </c>
      <c r="C662" s="1">
        <v>45689</v>
      </c>
      <c r="D662">
        <v>500</v>
      </c>
      <c r="E662" t="str">
        <f>_xlfn.XLOOKUP(B662,customer_clean!A:A,customer_clean!C:C)</f>
        <v>Enterprise</v>
      </c>
      <c r="F662">
        <f>_xlfn.XLOOKUP(B662,customer_clean!A:A,customer_clean!E:E)</f>
        <v>200</v>
      </c>
    </row>
    <row r="663" spans="1:6" x14ac:dyDescent="0.35">
      <c r="A663" t="s">
        <v>739</v>
      </c>
      <c r="B663">
        <v>1570</v>
      </c>
      <c r="C663" s="1">
        <v>45717</v>
      </c>
      <c r="D663">
        <v>500</v>
      </c>
      <c r="E663" t="str">
        <f>_xlfn.XLOOKUP(B663,customer_clean!A:A,customer_clean!C:C)</f>
        <v>Enterprise</v>
      </c>
      <c r="F663">
        <f>_xlfn.XLOOKUP(B663,customer_clean!A:A,customer_clean!E:E)</f>
        <v>200</v>
      </c>
    </row>
    <row r="664" spans="1:6" x14ac:dyDescent="0.35">
      <c r="A664" t="s">
        <v>740</v>
      </c>
      <c r="B664">
        <v>1576</v>
      </c>
      <c r="C664" s="1">
        <v>45444</v>
      </c>
      <c r="D664">
        <v>200</v>
      </c>
      <c r="E664" t="str">
        <f>_xlfn.XLOOKUP(B664,customer_clean!A:A,customer_clean!C:C)</f>
        <v>Pro</v>
      </c>
      <c r="F664">
        <f>_xlfn.XLOOKUP(B664,customer_clean!A:A,customer_clean!E:E)</f>
        <v>100</v>
      </c>
    </row>
    <row r="665" spans="1:6" x14ac:dyDescent="0.35">
      <c r="A665" t="s">
        <v>741</v>
      </c>
      <c r="B665">
        <v>1576</v>
      </c>
      <c r="C665" s="1">
        <v>45474</v>
      </c>
      <c r="D665">
        <v>200</v>
      </c>
      <c r="E665" t="str">
        <f>_xlfn.XLOOKUP(B665,customer_clean!A:A,customer_clean!C:C)</f>
        <v>Pro</v>
      </c>
      <c r="F665">
        <f>_xlfn.XLOOKUP(B665,customer_clean!A:A,customer_clean!E:E)</f>
        <v>100</v>
      </c>
    </row>
    <row r="666" spans="1:6" x14ac:dyDescent="0.35">
      <c r="A666" t="s">
        <v>742</v>
      </c>
      <c r="B666">
        <v>1576</v>
      </c>
      <c r="C666" s="1">
        <v>45505</v>
      </c>
      <c r="D666">
        <v>200</v>
      </c>
      <c r="E666" t="str">
        <f>_xlfn.XLOOKUP(B666,customer_clean!A:A,customer_clean!C:C)</f>
        <v>Pro</v>
      </c>
      <c r="F666">
        <f>_xlfn.XLOOKUP(B666,customer_clean!A:A,customer_clean!E:E)</f>
        <v>100</v>
      </c>
    </row>
    <row r="667" spans="1:6" x14ac:dyDescent="0.35">
      <c r="A667" t="s">
        <v>743</v>
      </c>
      <c r="B667">
        <v>1576</v>
      </c>
      <c r="C667" s="1">
        <v>45536</v>
      </c>
      <c r="D667">
        <v>200</v>
      </c>
      <c r="E667" t="str">
        <f>_xlfn.XLOOKUP(B667,customer_clean!A:A,customer_clean!C:C)</f>
        <v>Pro</v>
      </c>
      <c r="F667">
        <f>_xlfn.XLOOKUP(B667,customer_clean!A:A,customer_clean!E:E)</f>
        <v>100</v>
      </c>
    </row>
    <row r="668" spans="1:6" x14ac:dyDescent="0.35">
      <c r="A668" t="s">
        <v>744</v>
      </c>
      <c r="B668">
        <v>1576</v>
      </c>
      <c r="C668" s="1">
        <v>45566</v>
      </c>
      <c r="D668">
        <v>200</v>
      </c>
      <c r="E668" t="str">
        <f>_xlfn.XLOOKUP(B668,customer_clean!A:A,customer_clean!C:C)</f>
        <v>Pro</v>
      </c>
      <c r="F668">
        <f>_xlfn.XLOOKUP(B668,customer_clean!A:A,customer_clean!E:E)</f>
        <v>100</v>
      </c>
    </row>
    <row r="669" spans="1:6" x14ac:dyDescent="0.35">
      <c r="A669" t="s">
        <v>745</v>
      </c>
      <c r="B669">
        <v>1576</v>
      </c>
      <c r="C669" s="1">
        <v>45597</v>
      </c>
      <c r="D669">
        <v>200</v>
      </c>
      <c r="E669" t="str">
        <f>_xlfn.XLOOKUP(B669,customer_clean!A:A,customer_clean!C:C)</f>
        <v>Pro</v>
      </c>
      <c r="F669">
        <f>_xlfn.XLOOKUP(B669,customer_clean!A:A,customer_clean!E:E)</f>
        <v>100</v>
      </c>
    </row>
    <row r="670" spans="1:6" x14ac:dyDescent="0.35">
      <c r="A670" t="s">
        <v>746</v>
      </c>
      <c r="B670">
        <v>1576</v>
      </c>
      <c r="C670" s="1">
        <v>45627</v>
      </c>
      <c r="D670">
        <v>200</v>
      </c>
      <c r="E670" t="str">
        <f>_xlfn.XLOOKUP(B670,customer_clean!A:A,customer_clean!C:C)</f>
        <v>Pro</v>
      </c>
      <c r="F670">
        <f>_xlfn.XLOOKUP(B670,customer_clean!A:A,customer_clean!E:E)</f>
        <v>100</v>
      </c>
    </row>
    <row r="671" spans="1:6" x14ac:dyDescent="0.35">
      <c r="A671" t="s">
        <v>747</v>
      </c>
      <c r="B671">
        <v>1576</v>
      </c>
      <c r="C671" s="1">
        <v>45658</v>
      </c>
      <c r="D671">
        <v>200</v>
      </c>
      <c r="E671" t="str">
        <f>_xlfn.XLOOKUP(B671,customer_clean!A:A,customer_clean!C:C)</f>
        <v>Pro</v>
      </c>
      <c r="F671">
        <f>_xlfn.XLOOKUP(B671,customer_clean!A:A,customer_clean!E:E)</f>
        <v>100</v>
      </c>
    </row>
    <row r="672" spans="1:6" x14ac:dyDescent="0.35">
      <c r="A672" t="s">
        <v>748</v>
      </c>
      <c r="B672">
        <v>1576</v>
      </c>
      <c r="C672" s="1">
        <v>45689</v>
      </c>
      <c r="D672">
        <v>200</v>
      </c>
      <c r="E672" t="str">
        <f>_xlfn.XLOOKUP(B672,customer_clean!A:A,customer_clean!C:C)</f>
        <v>Pro</v>
      </c>
      <c r="F672">
        <f>_xlfn.XLOOKUP(B672,customer_clean!A:A,customer_clean!E:E)</f>
        <v>100</v>
      </c>
    </row>
    <row r="673" spans="1:6" x14ac:dyDescent="0.35">
      <c r="A673" t="s">
        <v>749</v>
      </c>
      <c r="B673">
        <v>1576</v>
      </c>
      <c r="C673" s="1">
        <v>45717</v>
      </c>
      <c r="D673">
        <v>200</v>
      </c>
      <c r="E673" t="str">
        <f>_xlfn.XLOOKUP(B673,customer_clean!A:A,customer_clean!C:C)</f>
        <v>Pro</v>
      </c>
      <c r="F673">
        <f>_xlfn.XLOOKUP(B673,customer_clean!A:A,customer_clean!E:E)</f>
        <v>100</v>
      </c>
    </row>
    <row r="674" spans="1:6" x14ac:dyDescent="0.35">
      <c r="A674" t="s">
        <v>750</v>
      </c>
      <c r="B674">
        <v>1579</v>
      </c>
      <c r="C674" s="1">
        <v>45689</v>
      </c>
      <c r="D674">
        <v>50</v>
      </c>
      <c r="E674" t="str">
        <f>_xlfn.XLOOKUP(B674,customer_clean!A:A,customer_clean!C:C)</f>
        <v>Basic</v>
      </c>
      <c r="F674">
        <f>_xlfn.XLOOKUP(B674,customer_clean!A:A,customer_clean!E:E)</f>
        <v>30</v>
      </c>
    </row>
    <row r="675" spans="1:6" x14ac:dyDescent="0.35">
      <c r="A675" t="s">
        <v>751</v>
      </c>
      <c r="B675">
        <v>1579</v>
      </c>
      <c r="C675" s="1">
        <v>45717</v>
      </c>
      <c r="D675">
        <v>50</v>
      </c>
      <c r="E675" t="str">
        <f>_xlfn.XLOOKUP(B675,customer_clean!A:A,customer_clean!C:C)</f>
        <v>Basic</v>
      </c>
      <c r="F675">
        <f>_xlfn.XLOOKUP(B675,customer_clean!A:A,customer_clean!E:E)</f>
        <v>30</v>
      </c>
    </row>
    <row r="676" spans="1:6" x14ac:dyDescent="0.35">
      <c r="A676" t="s">
        <v>752</v>
      </c>
      <c r="B676">
        <v>1579</v>
      </c>
      <c r="C676" s="1">
        <v>45748</v>
      </c>
      <c r="D676">
        <v>50</v>
      </c>
      <c r="E676" t="str">
        <f>_xlfn.XLOOKUP(B676,customer_clean!A:A,customer_clean!C:C)</f>
        <v>Basic</v>
      </c>
      <c r="F676">
        <f>_xlfn.XLOOKUP(B676,customer_clean!A:A,customer_clean!E:E)</f>
        <v>30</v>
      </c>
    </row>
    <row r="677" spans="1:6" x14ac:dyDescent="0.35">
      <c r="A677" t="s">
        <v>753</v>
      </c>
      <c r="B677">
        <v>1586</v>
      </c>
      <c r="C677" s="1">
        <v>45689</v>
      </c>
      <c r="D677">
        <v>200</v>
      </c>
      <c r="E677" t="str">
        <f>_xlfn.XLOOKUP(B677,customer_clean!A:A,customer_clean!C:C)</f>
        <v>Pro</v>
      </c>
      <c r="F677">
        <f>_xlfn.XLOOKUP(B677,customer_clean!A:A,customer_clean!E:E)</f>
        <v>100</v>
      </c>
    </row>
    <row r="678" spans="1:6" x14ac:dyDescent="0.35">
      <c r="A678" t="s">
        <v>754</v>
      </c>
      <c r="B678">
        <v>1586</v>
      </c>
      <c r="C678" s="1">
        <v>45717</v>
      </c>
      <c r="D678">
        <v>200</v>
      </c>
      <c r="E678" t="str">
        <f>_xlfn.XLOOKUP(B678,customer_clean!A:A,customer_clean!C:C)</f>
        <v>Pro</v>
      </c>
      <c r="F678">
        <f>_xlfn.XLOOKUP(B678,customer_clean!A:A,customer_clean!E:E)</f>
        <v>100</v>
      </c>
    </row>
    <row r="679" spans="1:6" x14ac:dyDescent="0.35">
      <c r="A679" t="s">
        <v>755</v>
      </c>
      <c r="B679">
        <v>1586</v>
      </c>
      <c r="C679" s="1">
        <v>45748</v>
      </c>
      <c r="D679">
        <v>200</v>
      </c>
      <c r="E679" t="str">
        <f>_xlfn.XLOOKUP(B679,customer_clean!A:A,customer_clean!C:C)</f>
        <v>Pro</v>
      </c>
      <c r="F679">
        <f>_xlfn.XLOOKUP(B679,customer_clean!A:A,customer_clean!E:E)</f>
        <v>100</v>
      </c>
    </row>
    <row r="680" spans="1:6" x14ac:dyDescent="0.35">
      <c r="A680" t="s">
        <v>756</v>
      </c>
      <c r="B680">
        <v>1586</v>
      </c>
      <c r="C680" s="1">
        <v>45778</v>
      </c>
      <c r="D680">
        <v>200</v>
      </c>
      <c r="E680" t="str">
        <f>_xlfn.XLOOKUP(B680,customer_clean!A:A,customer_clean!C:C)</f>
        <v>Pro</v>
      </c>
      <c r="F680">
        <f>_xlfn.XLOOKUP(B680,customer_clean!A:A,customer_clean!E:E)</f>
        <v>100</v>
      </c>
    </row>
    <row r="681" spans="1:6" x14ac:dyDescent="0.35">
      <c r="A681" t="s">
        <v>757</v>
      </c>
      <c r="B681">
        <v>1586</v>
      </c>
      <c r="C681" s="1">
        <v>45809</v>
      </c>
      <c r="D681">
        <v>200</v>
      </c>
      <c r="E681" t="str">
        <f>_xlfn.XLOOKUP(B681,customer_clean!A:A,customer_clean!C:C)</f>
        <v>Pro</v>
      </c>
      <c r="F681">
        <f>_xlfn.XLOOKUP(B681,customer_clean!A:A,customer_clean!E:E)</f>
        <v>100</v>
      </c>
    </row>
    <row r="682" spans="1:6" x14ac:dyDescent="0.35">
      <c r="A682" t="s">
        <v>758</v>
      </c>
      <c r="B682">
        <v>1593</v>
      </c>
      <c r="C682" s="1">
        <v>45778</v>
      </c>
      <c r="D682">
        <v>50</v>
      </c>
      <c r="E682" t="str">
        <f>_xlfn.XLOOKUP(B682,customer_clean!A:A,customer_clean!C:C)</f>
        <v>Basic</v>
      </c>
      <c r="F682">
        <f>_xlfn.XLOOKUP(B682,customer_clean!A:A,customer_clean!E:E)</f>
        <v>30</v>
      </c>
    </row>
    <row r="683" spans="1:6" x14ac:dyDescent="0.35">
      <c r="A683" t="s">
        <v>759</v>
      </c>
      <c r="B683">
        <v>1595</v>
      </c>
      <c r="C683" s="1">
        <v>45413</v>
      </c>
      <c r="D683">
        <v>200</v>
      </c>
      <c r="E683" t="str">
        <f>_xlfn.XLOOKUP(B683,customer_clean!A:A,customer_clean!C:C)</f>
        <v>Pro</v>
      </c>
      <c r="F683">
        <f>_xlfn.XLOOKUP(B683,customer_clean!A:A,customer_clean!E:E)</f>
        <v>100</v>
      </c>
    </row>
    <row r="684" spans="1:6" x14ac:dyDescent="0.35">
      <c r="A684" t="s">
        <v>760</v>
      </c>
      <c r="B684">
        <v>1595</v>
      </c>
      <c r="C684" s="1">
        <v>45444</v>
      </c>
      <c r="D684">
        <v>200</v>
      </c>
      <c r="E684" t="str">
        <f>_xlfn.XLOOKUP(B684,customer_clean!A:A,customer_clean!C:C)</f>
        <v>Pro</v>
      </c>
      <c r="F684">
        <f>_xlfn.XLOOKUP(B684,customer_clean!A:A,customer_clean!E:E)</f>
        <v>100</v>
      </c>
    </row>
    <row r="685" spans="1:6" x14ac:dyDescent="0.35">
      <c r="A685" t="s">
        <v>761</v>
      </c>
      <c r="B685">
        <v>1595</v>
      </c>
      <c r="C685" s="1">
        <v>45474</v>
      </c>
      <c r="D685">
        <v>200</v>
      </c>
      <c r="E685" t="str">
        <f>_xlfn.XLOOKUP(B685,customer_clean!A:A,customer_clean!C:C)</f>
        <v>Pro</v>
      </c>
      <c r="F685">
        <f>_xlfn.XLOOKUP(B685,customer_clean!A:A,customer_clean!E:E)</f>
        <v>100</v>
      </c>
    </row>
    <row r="686" spans="1:6" x14ac:dyDescent="0.35">
      <c r="A686" t="s">
        <v>762</v>
      </c>
      <c r="B686">
        <v>1595</v>
      </c>
      <c r="C686" s="1">
        <v>45505</v>
      </c>
      <c r="D686">
        <v>200</v>
      </c>
      <c r="E686" t="str">
        <f>_xlfn.XLOOKUP(B686,customer_clean!A:A,customer_clean!C:C)</f>
        <v>Pro</v>
      </c>
      <c r="F686">
        <f>_xlfn.XLOOKUP(B686,customer_clean!A:A,customer_clean!E:E)</f>
        <v>100</v>
      </c>
    </row>
    <row r="687" spans="1:6" x14ac:dyDescent="0.35">
      <c r="A687" t="s">
        <v>763</v>
      </c>
      <c r="B687">
        <v>1599</v>
      </c>
      <c r="C687" s="1">
        <v>45444</v>
      </c>
      <c r="D687">
        <v>200</v>
      </c>
      <c r="E687" t="str">
        <f>_xlfn.XLOOKUP(B687,customer_clean!A:A,customer_clean!C:C)</f>
        <v>Pro</v>
      </c>
      <c r="F687">
        <f>_xlfn.XLOOKUP(B687,customer_clean!A:A,customer_clean!E:E)</f>
        <v>100</v>
      </c>
    </row>
    <row r="688" spans="1:6" x14ac:dyDescent="0.35">
      <c r="A688" t="s">
        <v>764</v>
      </c>
      <c r="B688">
        <v>1599</v>
      </c>
      <c r="C688" s="1">
        <v>45474</v>
      </c>
      <c r="D688">
        <v>200</v>
      </c>
      <c r="E688" t="str">
        <f>_xlfn.XLOOKUP(B688,customer_clean!A:A,customer_clean!C:C)</f>
        <v>Pro</v>
      </c>
      <c r="F688">
        <f>_xlfn.XLOOKUP(B688,customer_clean!A:A,customer_clean!E:E)</f>
        <v>100</v>
      </c>
    </row>
    <row r="689" spans="1:6" x14ac:dyDescent="0.35">
      <c r="A689" t="s">
        <v>765</v>
      </c>
      <c r="B689">
        <v>1599</v>
      </c>
      <c r="C689" s="1">
        <v>45505</v>
      </c>
      <c r="D689">
        <v>200</v>
      </c>
      <c r="E689" t="str">
        <f>_xlfn.XLOOKUP(B689,customer_clean!A:A,customer_clean!C:C)</f>
        <v>Pro</v>
      </c>
      <c r="F689">
        <f>_xlfn.XLOOKUP(B689,customer_clean!A:A,customer_clean!E:E)</f>
        <v>100</v>
      </c>
    </row>
    <row r="690" spans="1:6" x14ac:dyDescent="0.35">
      <c r="A690" t="s">
        <v>766</v>
      </c>
      <c r="B690">
        <v>1599</v>
      </c>
      <c r="C690" s="1">
        <v>45536</v>
      </c>
      <c r="D690">
        <v>200</v>
      </c>
      <c r="E690" t="str">
        <f>_xlfn.XLOOKUP(B690,customer_clean!A:A,customer_clean!C:C)</f>
        <v>Pro</v>
      </c>
      <c r="F690">
        <f>_xlfn.XLOOKUP(B690,customer_clean!A:A,customer_clean!E:E)</f>
        <v>100</v>
      </c>
    </row>
    <row r="691" spans="1:6" x14ac:dyDescent="0.35">
      <c r="A691" t="s">
        <v>767</v>
      </c>
      <c r="B691">
        <v>1599</v>
      </c>
      <c r="C691" s="1">
        <v>45566</v>
      </c>
      <c r="D691">
        <v>200</v>
      </c>
      <c r="E691" t="str">
        <f>_xlfn.XLOOKUP(B691,customer_clean!A:A,customer_clean!C:C)</f>
        <v>Pro</v>
      </c>
      <c r="F691">
        <f>_xlfn.XLOOKUP(B691,customer_clean!A:A,customer_clean!E:E)</f>
        <v>100</v>
      </c>
    </row>
    <row r="692" spans="1:6" x14ac:dyDescent="0.35">
      <c r="A692" t="s">
        <v>768</v>
      </c>
      <c r="B692">
        <v>1599</v>
      </c>
      <c r="C692" s="1">
        <v>45597</v>
      </c>
      <c r="D692">
        <v>200</v>
      </c>
      <c r="E692" t="str">
        <f>_xlfn.XLOOKUP(B692,customer_clean!A:A,customer_clean!C:C)</f>
        <v>Pro</v>
      </c>
      <c r="F692">
        <f>_xlfn.XLOOKUP(B692,customer_clean!A:A,customer_clean!E:E)</f>
        <v>100</v>
      </c>
    </row>
    <row r="693" spans="1:6" x14ac:dyDescent="0.35">
      <c r="A693" t="s">
        <v>769</v>
      </c>
      <c r="B693">
        <v>1599</v>
      </c>
      <c r="C693" s="1">
        <v>45627</v>
      </c>
      <c r="D693">
        <v>200</v>
      </c>
      <c r="E693" t="str">
        <f>_xlfn.XLOOKUP(B693,customer_clean!A:A,customer_clean!C:C)</f>
        <v>Pro</v>
      </c>
      <c r="F693">
        <f>_xlfn.XLOOKUP(B693,customer_clean!A:A,customer_clean!E:E)</f>
        <v>100</v>
      </c>
    </row>
    <row r="694" spans="1:6" x14ac:dyDescent="0.35">
      <c r="A694" t="s">
        <v>770</v>
      </c>
      <c r="B694">
        <v>1599</v>
      </c>
      <c r="C694" s="1">
        <v>45658</v>
      </c>
      <c r="D694">
        <v>200</v>
      </c>
      <c r="E694" t="str">
        <f>_xlfn.XLOOKUP(B694,customer_clean!A:A,customer_clean!C:C)</f>
        <v>Pro</v>
      </c>
      <c r="F694">
        <f>_xlfn.XLOOKUP(B694,customer_clean!A:A,customer_clean!E:E)</f>
        <v>100</v>
      </c>
    </row>
    <row r="695" spans="1:6" x14ac:dyDescent="0.35">
      <c r="A695" t="s">
        <v>771</v>
      </c>
      <c r="B695">
        <v>1599</v>
      </c>
      <c r="C695" s="1">
        <v>45689</v>
      </c>
      <c r="D695">
        <v>200</v>
      </c>
      <c r="E695" t="str">
        <f>_xlfn.XLOOKUP(B695,customer_clean!A:A,customer_clean!C:C)</f>
        <v>Pro</v>
      </c>
      <c r="F695">
        <f>_xlfn.XLOOKUP(B695,customer_clean!A:A,customer_clean!E:E)</f>
        <v>100</v>
      </c>
    </row>
    <row r="696" spans="1:6" x14ac:dyDescent="0.35">
      <c r="A696" t="s">
        <v>772</v>
      </c>
      <c r="B696">
        <v>1602</v>
      </c>
      <c r="C696" s="1">
        <v>45809</v>
      </c>
      <c r="D696">
        <v>50</v>
      </c>
      <c r="E696" t="str">
        <f>_xlfn.XLOOKUP(B696,customer_clean!A:A,customer_clean!C:C)</f>
        <v>Basic</v>
      </c>
      <c r="F696">
        <f>_xlfn.XLOOKUP(B696,customer_clean!A:A,customer_clean!E:E)</f>
        <v>30</v>
      </c>
    </row>
    <row r="697" spans="1:6" x14ac:dyDescent="0.35">
      <c r="A697" t="s">
        <v>773</v>
      </c>
      <c r="B697">
        <v>1607</v>
      </c>
      <c r="C697" s="1">
        <v>45717</v>
      </c>
      <c r="D697">
        <v>200</v>
      </c>
      <c r="E697" t="str">
        <f>_xlfn.XLOOKUP(B697,customer_clean!A:A,customer_clean!C:C)</f>
        <v>Pro</v>
      </c>
      <c r="F697">
        <f>_xlfn.XLOOKUP(B697,customer_clean!A:A,customer_clean!E:E)</f>
        <v>100</v>
      </c>
    </row>
    <row r="698" spans="1:6" x14ac:dyDescent="0.35">
      <c r="A698" t="s">
        <v>774</v>
      </c>
      <c r="B698">
        <v>1607</v>
      </c>
      <c r="C698" s="1">
        <v>45748</v>
      </c>
      <c r="D698">
        <v>200</v>
      </c>
      <c r="E698" t="str">
        <f>_xlfn.XLOOKUP(B698,customer_clean!A:A,customer_clean!C:C)</f>
        <v>Pro</v>
      </c>
      <c r="F698">
        <f>_xlfn.XLOOKUP(B698,customer_clean!A:A,customer_clean!E:E)</f>
        <v>100</v>
      </c>
    </row>
    <row r="699" spans="1:6" x14ac:dyDescent="0.35">
      <c r="A699" t="s">
        <v>775</v>
      </c>
      <c r="B699">
        <v>1607</v>
      </c>
      <c r="C699" s="1">
        <v>45778</v>
      </c>
      <c r="D699">
        <v>200</v>
      </c>
      <c r="E699" t="str">
        <f>_xlfn.XLOOKUP(B699,customer_clean!A:A,customer_clean!C:C)</f>
        <v>Pro</v>
      </c>
      <c r="F699">
        <f>_xlfn.XLOOKUP(B699,customer_clean!A:A,customer_clean!E:E)</f>
        <v>100</v>
      </c>
    </row>
    <row r="700" spans="1:6" x14ac:dyDescent="0.35">
      <c r="A700" t="s">
        <v>776</v>
      </c>
      <c r="B700">
        <v>1616</v>
      </c>
      <c r="C700" s="1">
        <v>45383</v>
      </c>
      <c r="D700">
        <v>500</v>
      </c>
      <c r="E700" t="str">
        <f>_xlfn.XLOOKUP(B700,customer_clean!A:A,customer_clean!C:C)</f>
        <v>Enterprise</v>
      </c>
      <c r="F700">
        <f>_xlfn.XLOOKUP(B700,customer_clean!A:A,customer_clean!E:E)</f>
        <v>200</v>
      </c>
    </row>
    <row r="701" spans="1:6" x14ac:dyDescent="0.35">
      <c r="A701" t="s">
        <v>777</v>
      </c>
      <c r="B701">
        <v>1616</v>
      </c>
      <c r="C701" s="1">
        <v>45413</v>
      </c>
      <c r="D701">
        <v>500</v>
      </c>
      <c r="E701" t="str">
        <f>_xlfn.XLOOKUP(B701,customer_clean!A:A,customer_clean!C:C)</f>
        <v>Enterprise</v>
      </c>
      <c r="F701">
        <f>_xlfn.XLOOKUP(B701,customer_clean!A:A,customer_clean!E:E)</f>
        <v>200</v>
      </c>
    </row>
    <row r="702" spans="1:6" x14ac:dyDescent="0.35">
      <c r="A702" t="s">
        <v>778</v>
      </c>
      <c r="B702">
        <v>1616</v>
      </c>
      <c r="C702" s="1">
        <v>45444</v>
      </c>
      <c r="D702">
        <v>500</v>
      </c>
      <c r="E702" t="str">
        <f>_xlfn.XLOOKUP(B702,customer_clean!A:A,customer_clean!C:C)</f>
        <v>Enterprise</v>
      </c>
      <c r="F702">
        <f>_xlfn.XLOOKUP(B702,customer_clean!A:A,customer_clean!E:E)</f>
        <v>200</v>
      </c>
    </row>
    <row r="703" spans="1:6" x14ac:dyDescent="0.35">
      <c r="A703" t="s">
        <v>779</v>
      </c>
      <c r="B703">
        <v>1616</v>
      </c>
      <c r="C703" s="1">
        <v>45474</v>
      </c>
      <c r="D703">
        <v>500</v>
      </c>
      <c r="E703" t="str">
        <f>_xlfn.XLOOKUP(B703,customer_clean!A:A,customer_clean!C:C)</f>
        <v>Enterprise</v>
      </c>
      <c r="F703">
        <f>_xlfn.XLOOKUP(B703,customer_clean!A:A,customer_clean!E:E)</f>
        <v>200</v>
      </c>
    </row>
    <row r="704" spans="1:6" x14ac:dyDescent="0.35">
      <c r="A704" t="s">
        <v>780</v>
      </c>
      <c r="B704">
        <v>1616</v>
      </c>
      <c r="C704" s="1">
        <v>45505</v>
      </c>
      <c r="D704">
        <v>500</v>
      </c>
      <c r="E704" t="str">
        <f>_xlfn.XLOOKUP(B704,customer_clean!A:A,customer_clean!C:C)</f>
        <v>Enterprise</v>
      </c>
      <c r="F704">
        <f>_xlfn.XLOOKUP(B704,customer_clean!A:A,customer_clean!E:E)</f>
        <v>200</v>
      </c>
    </row>
    <row r="705" spans="1:6" x14ac:dyDescent="0.35">
      <c r="A705" t="s">
        <v>781</v>
      </c>
      <c r="B705">
        <v>1616</v>
      </c>
      <c r="C705" s="1">
        <v>45536</v>
      </c>
      <c r="D705">
        <v>500</v>
      </c>
      <c r="E705" t="str">
        <f>_xlfn.XLOOKUP(B705,customer_clean!A:A,customer_clean!C:C)</f>
        <v>Enterprise</v>
      </c>
      <c r="F705">
        <f>_xlfn.XLOOKUP(B705,customer_clean!A:A,customer_clean!E:E)</f>
        <v>200</v>
      </c>
    </row>
    <row r="706" spans="1:6" x14ac:dyDescent="0.35">
      <c r="A706" t="s">
        <v>782</v>
      </c>
      <c r="B706">
        <v>1616</v>
      </c>
      <c r="C706" s="1">
        <v>45566</v>
      </c>
      <c r="D706">
        <v>500</v>
      </c>
      <c r="E706" t="str">
        <f>_xlfn.XLOOKUP(B706,customer_clean!A:A,customer_clean!C:C)</f>
        <v>Enterprise</v>
      </c>
      <c r="F706">
        <f>_xlfn.XLOOKUP(B706,customer_clean!A:A,customer_clean!E:E)</f>
        <v>200</v>
      </c>
    </row>
    <row r="707" spans="1:6" x14ac:dyDescent="0.35">
      <c r="A707" t="s">
        <v>783</v>
      </c>
      <c r="B707">
        <v>1616</v>
      </c>
      <c r="C707" s="1">
        <v>45597</v>
      </c>
      <c r="D707">
        <v>500</v>
      </c>
      <c r="E707" t="str">
        <f>_xlfn.XLOOKUP(B707,customer_clean!A:A,customer_clean!C:C)</f>
        <v>Enterprise</v>
      </c>
      <c r="F707">
        <f>_xlfn.XLOOKUP(B707,customer_clean!A:A,customer_clean!E:E)</f>
        <v>200</v>
      </c>
    </row>
    <row r="708" spans="1:6" x14ac:dyDescent="0.35">
      <c r="A708" t="s">
        <v>784</v>
      </c>
      <c r="B708">
        <v>1616</v>
      </c>
      <c r="C708" s="1">
        <v>45627</v>
      </c>
      <c r="D708">
        <v>500</v>
      </c>
      <c r="E708" t="str">
        <f>_xlfn.XLOOKUP(B708,customer_clean!A:A,customer_clean!C:C)</f>
        <v>Enterprise</v>
      </c>
      <c r="F708">
        <f>_xlfn.XLOOKUP(B708,customer_clean!A:A,customer_clean!E:E)</f>
        <v>200</v>
      </c>
    </row>
    <row r="709" spans="1:6" x14ac:dyDescent="0.35">
      <c r="A709" t="s">
        <v>785</v>
      </c>
      <c r="B709">
        <v>1616</v>
      </c>
      <c r="C709" s="1">
        <v>45658</v>
      </c>
      <c r="D709">
        <v>500</v>
      </c>
      <c r="E709" t="str">
        <f>_xlfn.XLOOKUP(B709,customer_clean!A:A,customer_clean!C:C)</f>
        <v>Enterprise</v>
      </c>
      <c r="F709">
        <f>_xlfn.XLOOKUP(B709,customer_clean!A:A,customer_clean!E:E)</f>
        <v>200</v>
      </c>
    </row>
    <row r="710" spans="1:6" x14ac:dyDescent="0.35">
      <c r="A710" t="s">
        <v>786</v>
      </c>
      <c r="B710">
        <v>1616</v>
      </c>
      <c r="C710" s="1">
        <v>45689</v>
      </c>
      <c r="D710">
        <v>500</v>
      </c>
      <c r="E710" t="str">
        <f>_xlfn.XLOOKUP(B710,customer_clean!A:A,customer_clean!C:C)</f>
        <v>Enterprise</v>
      </c>
      <c r="F710">
        <f>_xlfn.XLOOKUP(B710,customer_clean!A:A,customer_clean!E:E)</f>
        <v>200</v>
      </c>
    </row>
    <row r="711" spans="1:6" x14ac:dyDescent="0.35">
      <c r="A711" t="s">
        <v>787</v>
      </c>
      <c r="B711">
        <v>1616</v>
      </c>
      <c r="C711" s="1">
        <v>45717</v>
      </c>
      <c r="D711">
        <v>500</v>
      </c>
      <c r="E711" t="str">
        <f>_xlfn.XLOOKUP(B711,customer_clean!A:A,customer_clean!C:C)</f>
        <v>Enterprise</v>
      </c>
      <c r="F711">
        <f>_xlfn.XLOOKUP(B711,customer_clean!A:A,customer_clean!E:E)</f>
        <v>200</v>
      </c>
    </row>
    <row r="712" spans="1:6" x14ac:dyDescent="0.35">
      <c r="A712" t="s">
        <v>788</v>
      </c>
      <c r="B712">
        <v>1617</v>
      </c>
      <c r="C712" s="1">
        <v>45292</v>
      </c>
      <c r="D712">
        <v>50</v>
      </c>
      <c r="E712" t="str">
        <f>_xlfn.XLOOKUP(B712,customer_clean!A:A,customer_clean!C:C)</f>
        <v>Basic</v>
      </c>
      <c r="F712">
        <f>_xlfn.XLOOKUP(B712,customer_clean!A:A,customer_clean!E:E)</f>
        <v>30</v>
      </c>
    </row>
    <row r="713" spans="1:6" x14ac:dyDescent="0.35">
      <c r="A713" t="s">
        <v>789</v>
      </c>
      <c r="B713">
        <v>1617</v>
      </c>
      <c r="C713" s="1">
        <v>45323</v>
      </c>
      <c r="D713">
        <v>50</v>
      </c>
      <c r="E713" t="str">
        <f>_xlfn.XLOOKUP(B713,customer_clean!A:A,customer_clean!C:C)</f>
        <v>Basic</v>
      </c>
      <c r="F713">
        <f>_xlfn.XLOOKUP(B713,customer_clean!A:A,customer_clean!E:E)</f>
        <v>30</v>
      </c>
    </row>
    <row r="714" spans="1:6" x14ac:dyDescent="0.35">
      <c r="A714" t="s">
        <v>790</v>
      </c>
      <c r="B714">
        <v>1617</v>
      </c>
      <c r="C714" s="1">
        <v>45352</v>
      </c>
      <c r="D714">
        <v>50</v>
      </c>
      <c r="E714" t="str">
        <f>_xlfn.XLOOKUP(B714,customer_clean!A:A,customer_clean!C:C)</f>
        <v>Basic</v>
      </c>
      <c r="F714">
        <f>_xlfn.XLOOKUP(B714,customer_clean!A:A,customer_clean!E:E)</f>
        <v>30</v>
      </c>
    </row>
    <row r="715" spans="1:6" x14ac:dyDescent="0.35">
      <c r="A715" t="s">
        <v>791</v>
      </c>
      <c r="B715">
        <v>1617</v>
      </c>
      <c r="C715" s="1">
        <v>45383</v>
      </c>
      <c r="D715">
        <v>50</v>
      </c>
      <c r="E715" t="str">
        <f>_xlfn.XLOOKUP(B715,customer_clean!A:A,customer_clean!C:C)</f>
        <v>Basic</v>
      </c>
      <c r="F715">
        <f>_xlfn.XLOOKUP(B715,customer_clean!A:A,customer_clean!E:E)</f>
        <v>30</v>
      </c>
    </row>
    <row r="716" spans="1:6" x14ac:dyDescent="0.35">
      <c r="A716" t="s">
        <v>792</v>
      </c>
      <c r="B716">
        <v>1617</v>
      </c>
      <c r="C716" s="1">
        <v>45413</v>
      </c>
      <c r="D716">
        <v>50</v>
      </c>
      <c r="E716" t="str">
        <f>_xlfn.XLOOKUP(B716,customer_clean!A:A,customer_clean!C:C)</f>
        <v>Basic</v>
      </c>
      <c r="F716">
        <f>_xlfn.XLOOKUP(B716,customer_clean!A:A,customer_clean!E:E)</f>
        <v>30</v>
      </c>
    </row>
    <row r="717" spans="1:6" x14ac:dyDescent="0.35">
      <c r="A717" t="s">
        <v>793</v>
      </c>
      <c r="B717">
        <v>1617</v>
      </c>
      <c r="C717" s="1">
        <v>45444</v>
      </c>
      <c r="D717">
        <v>50</v>
      </c>
      <c r="E717" t="str">
        <f>_xlfn.XLOOKUP(B717,customer_clean!A:A,customer_clean!C:C)</f>
        <v>Basic</v>
      </c>
      <c r="F717">
        <f>_xlfn.XLOOKUP(B717,customer_clean!A:A,customer_clean!E:E)</f>
        <v>30</v>
      </c>
    </row>
    <row r="718" spans="1:6" x14ac:dyDescent="0.35">
      <c r="A718" t="s">
        <v>794</v>
      </c>
      <c r="B718">
        <v>1617</v>
      </c>
      <c r="C718" s="1">
        <v>45474</v>
      </c>
      <c r="D718">
        <v>50</v>
      </c>
      <c r="E718" t="str">
        <f>_xlfn.XLOOKUP(B718,customer_clean!A:A,customer_clean!C:C)</f>
        <v>Basic</v>
      </c>
      <c r="F718">
        <f>_xlfn.XLOOKUP(B718,customer_clean!A:A,customer_clean!E:E)</f>
        <v>30</v>
      </c>
    </row>
    <row r="719" spans="1:6" x14ac:dyDescent="0.35">
      <c r="A719" t="s">
        <v>795</v>
      </c>
      <c r="B719">
        <v>1617</v>
      </c>
      <c r="C719" s="1">
        <v>45505</v>
      </c>
      <c r="D719">
        <v>50</v>
      </c>
      <c r="E719" t="str">
        <f>_xlfn.XLOOKUP(B719,customer_clean!A:A,customer_clean!C:C)</f>
        <v>Basic</v>
      </c>
      <c r="F719">
        <f>_xlfn.XLOOKUP(B719,customer_clean!A:A,customer_clean!E:E)</f>
        <v>30</v>
      </c>
    </row>
    <row r="720" spans="1:6" x14ac:dyDescent="0.35">
      <c r="A720" t="s">
        <v>796</v>
      </c>
      <c r="B720">
        <v>1617</v>
      </c>
      <c r="C720" s="1">
        <v>45536</v>
      </c>
      <c r="D720">
        <v>50</v>
      </c>
      <c r="E720" t="str">
        <f>_xlfn.XLOOKUP(B720,customer_clean!A:A,customer_clean!C:C)</f>
        <v>Basic</v>
      </c>
      <c r="F720">
        <f>_xlfn.XLOOKUP(B720,customer_clean!A:A,customer_clean!E:E)</f>
        <v>30</v>
      </c>
    </row>
    <row r="721" spans="1:6" x14ac:dyDescent="0.35">
      <c r="A721" t="s">
        <v>797</v>
      </c>
      <c r="B721">
        <v>1617</v>
      </c>
      <c r="C721" s="1">
        <v>45566</v>
      </c>
      <c r="D721">
        <v>50</v>
      </c>
      <c r="E721" t="str">
        <f>_xlfn.XLOOKUP(B721,customer_clean!A:A,customer_clean!C:C)</f>
        <v>Basic</v>
      </c>
      <c r="F721">
        <f>_xlfn.XLOOKUP(B721,customer_clean!A:A,customer_clean!E:E)</f>
        <v>30</v>
      </c>
    </row>
    <row r="722" spans="1:6" x14ac:dyDescent="0.35">
      <c r="A722" t="s">
        <v>798</v>
      </c>
      <c r="B722">
        <v>1617</v>
      </c>
      <c r="C722" s="1">
        <v>45597</v>
      </c>
      <c r="D722">
        <v>50</v>
      </c>
      <c r="E722" t="str">
        <f>_xlfn.XLOOKUP(B722,customer_clean!A:A,customer_clean!C:C)</f>
        <v>Basic</v>
      </c>
      <c r="F722">
        <f>_xlfn.XLOOKUP(B722,customer_clean!A:A,customer_clean!E:E)</f>
        <v>30</v>
      </c>
    </row>
    <row r="723" spans="1:6" x14ac:dyDescent="0.35">
      <c r="A723" t="s">
        <v>799</v>
      </c>
      <c r="B723">
        <v>1617</v>
      </c>
      <c r="C723" s="1">
        <v>45627</v>
      </c>
      <c r="D723">
        <v>50</v>
      </c>
      <c r="E723" t="str">
        <f>_xlfn.XLOOKUP(B723,customer_clean!A:A,customer_clean!C:C)</f>
        <v>Basic</v>
      </c>
      <c r="F723">
        <f>_xlfn.XLOOKUP(B723,customer_clean!A:A,customer_clean!E:E)</f>
        <v>30</v>
      </c>
    </row>
    <row r="724" spans="1:6" x14ac:dyDescent="0.35">
      <c r="A724" t="s">
        <v>800</v>
      </c>
      <c r="B724">
        <v>1617</v>
      </c>
      <c r="C724" s="1">
        <v>45658</v>
      </c>
      <c r="D724">
        <v>50</v>
      </c>
      <c r="E724" t="str">
        <f>_xlfn.XLOOKUP(B724,customer_clean!A:A,customer_clean!C:C)</f>
        <v>Basic</v>
      </c>
      <c r="F724">
        <f>_xlfn.XLOOKUP(B724,customer_clean!A:A,customer_clean!E:E)</f>
        <v>30</v>
      </c>
    </row>
    <row r="725" spans="1:6" x14ac:dyDescent="0.35">
      <c r="A725" t="s">
        <v>801</v>
      </c>
      <c r="B725">
        <v>1617</v>
      </c>
      <c r="C725" s="1">
        <v>45689</v>
      </c>
      <c r="D725">
        <v>50</v>
      </c>
      <c r="E725" t="str">
        <f>_xlfn.XLOOKUP(B725,customer_clean!A:A,customer_clean!C:C)</f>
        <v>Basic</v>
      </c>
      <c r="F725">
        <f>_xlfn.XLOOKUP(B725,customer_clean!A:A,customer_clean!E:E)</f>
        <v>30</v>
      </c>
    </row>
    <row r="726" spans="1:6" x14ac:dyDescent="0.35">
      <c r="A726" t="s">
        <v>802</v>
      </c>
      <c r="B726">
        <v>1624</v>
      </c>
      <c r="C726" s="1">
        <v>45474</v>
      </c>
      <c r="D726">
        <v>500</v>
      </c>
      <c r="E726" t="str">
        <f>_xlfn.XLOOKUP(B726,customer_clean!A:A,customer_clean!C:C)</f>
        <v>Enterprise</v>
      </c>
      <c r="F726">
        <f>_xlfn.XLOOKUP(B726,customer_clean!A:A,customer_clean!E:E)</f>
        <v>200</v>
      </c>
    </row>
    <row r="727" spans="1:6" x14ac:dyDescent="0.35">
      <c r="A727" t="s">
        <v>803</v>
      </c>
      <c r="B727">
        <v>1624</v>
      </c>
      <c r="C727" s="1">
        <v>45505</v>
      </c>
      <c r="D727">
        <v>500</v>
      </c>
      <c r="E727" t="str">
        <f>_xlfn.XLOOKUP(B727,customer_clean!A:A,customer_clean!C:C)</f>
        <v>Enterprise</v>
      </c>
      <c r="F727">
        <f>_xlfn.XLOOKUP(B727,customer_clean!A:A,customer_clean!E:E)</f>
        <v>200</v>
      </c>
    </row>
    <row r="728" spans="1:6" x14ac:dyDescent="0.35">
      <c r="A728" t="s">
        <v>804</v>
      </c>
      <c r="B728">
        <v>1629</v>
      </c>
      <c r="C728" s="1">
        <v>45597</v>
      </c>
      <c r="D728">
        <v>200</v>
      </c>
      <c r="E728" t="str">
        <f>_xlfn.XLOOKUP(B728,customer_clean!A:A,customer_clean!C:C)</f>
        <v>Pro</v>
      </c>
      <c r="F728">
        <f>_xlfn.XLOOKUP(B728,customer_clean!A:A,customer_clean!E:E)</f>
        <v>100</v>
      </c>
    </row>
    <row r="729" spans="1:6" x14ac:dyDescent="0.35">
      <c r="A729" t="s">
        <v>805</v>
      </c>
      <c r="B729">
        <v>1629</v>
      </c>
      <c r="C729" s="1">
        <v>45627</v>
      </c>
      <c r="D729">
        <v>200</v>
      </c>
      <c r="E729" t="str">
        <f>_xlfn.XLOOKUP(B729,customer_clean!A:A,customer_clean!C:C)</f>
        <v>Pro</v>
      </c>
      <c r="F729">
        <f>_xlfn.XLOOKUP(B729,customer_clean!A:A,customer_clean!E:E)</f>
        <v>100</v>
      </c>
    </row>
    <row r="730" spans="1:6" x14ac:dyDescent="0.35">
      <c r="A730" t="s">
        <v>806</v>
      </c>
      <c r="B730">
        <v>1629</v>
      </c>
      <c r="C730" s="1">
        <v>45658</v>
      </c>
      <c r="D730">
        <v>200</v>
      </c>
      <c r="E730" t="str">
        <f>_xlfn.XLOOKUP(B730,customer_clean!A:A,customer_clean!C:C)</f>
        <v>Pro</v>
      </c>
      <c r="F730">
        <f>_xlfn.XLOOKUP(B730,customer_clean!A:A,customer_clean!E:E)</f>
        <v>100</v>
      </c>
    </row>
    <row r="731" spans="1:6" x14ac:dyDescent="0.35">
      <c r="A731" t="s">
        <v>807</v>
      </c>
      <c r="B731">
        <v>1629</v>
      </c>
      <c r="C731" s="1">
        <v>45689</v>
      </c>
      <c r="D731">
        <v>200</v>
      </c>
      <c r="E731" t="str">
        <f>_xlfn.XLOOKUP(B731,customer_clean!A:A,customer_clean!C:C)</f>
        <v>Pro</v>
      </c>
      <c r="F731">
        <f>_xlfn.XLOOKUP(B731,customer_clean!A:A,customer_clean!E:E)</f>
        <v>100</v>
      </c>
    </row>
    <row r="732" spans="1:6" x14ac:dyDescent="0.35">
      <c r="A732" t="s">
        <v>808</v>
      </c>
      <c r="B732">
        <v>1629</v>
      </c>
      <c r="C732" s="1">
        <v>45717</v>
      </c>
      <c r="D732">
        <v>200</v>
      </c>
      <c r="E732" t="str">
        <f>_xlfn.XLOOKUP(B732,customer_clean!A:A,customer_clean!C:C)</f>
        <v>Pro</v>
      </c>
      <c r="F732">
        <f>_xlfn.XLOOKUP(B732,customer_clean!A:A,customer_clean!E:E)</f>
        <v>100</v>
      </c>
    </row>
    <row r="733" spans="1:6" x14ac:dyDescent="0.35">
      <c r="A733" t="s">
        <v>809</v>
      </c>
      <c r="B733">
        <v>1629</v>
      </c>
      <c r="C733" s="1">
        <v>45748</v>
      </c>
      <c r="D733">
        <v>200</v>
      </c>
      <c r="E733" t="str">
        <f>_xlfn.XLOOKUP(B733,customer_clean!A:A,customer_clean!C:C)</f>
        <v>Pro</v>
      </c>
      <c r="F733">
        <f>_xlfn.XLOOKUP(B733,customer_clean!A:A,customer_clean!E:E)</f>
        <v>100</v>
      </c>
    </row>
    <row r="734" spans="1:6" x14ac:dyDescent="0.35">
      <c r="A734" t="s">
        <v>810</v>
      </c>
      <c r="B734">
        <v>1656</v>
      </c>
      <c r="C734" s="1">
        <v>45566</v>
      </c>
      <c r="D734">
        <v>200</v>
      </c>
      <c r="E734" t="str">
        <f>_xlfn.XLOOKUP(B734,customer_clean!A:A,customer_clean!C:C)</f>
        <v>Pro</v>
      </c>
      <c r="F734">
        <f>_xlfn.XLOOKUP(B734,customer_clean!A:A,customer_clean!E:E)</f>
        <v>100</v>
      </c>
    </row>
    <row r="735" spans="1:6" x14ac:dyDescent="0.35">
      <c r="A735" t="s">
        <v>811</v>
      </c>
      <c r="B735">
        <v>1656</v>
      </c>
      <c r="C735" s="1">
        <v>45597</v>
      </c>
      <c r="D735">
        <v>200</v>
      </c>
      <c r="E735" t="str">
        <f>_xlfn.XLOOKUP(B735,customer_clean!A:A,customer_clean!C:C)</f>
        <v>Pro</v>
      </c>
      <c r="F735">
        <f>_xlfn.XLOOKUP(B735,customer_clean!A:A,customer_clean!E:E)</f>
        <v>100</v>
      </c>
    </row>
    <row r="736" spans="1:6" x14ac:dyDescent="0.35">
      <c r="A736" t="s">
        <v>812</v>
      </c>
      <c r="B736">
        <v>1656</v>
      </c>
      <c r="C736" s="1">
        <v>45627</v>
      </c>
      <c r="D736">
        <v>200</v>
      </c>
      <c r="E736" t="str">
        <f>_xlfn.XLOOKUP(B736,customer_clean!A:A,customer_clean!C:C)</f>
        <v>Pro</v>
      </c>
      <c r="F736">
        <f>_xlfn.XLOOKUP(B736,customer_clean!A:A,customer_clean!E:E)</f>
        <v>100</v>
      </c>
    </row>
    <row r="737" spans="1:6" x14ac:dyDescent="0.35">
      <c r="A737" t="s">
        <v>813</v>
      </c>
      <c r="B737">
        <v>1656</v>
      </c>
      <c r="C737" s="1">
        <v>45658</v>
      </c>
      <c r="D737">
        <v>200</v>
      </c>
      <c r="E737" t="str">
        <f>_xlfn.XLOOKUP(B737,customer_clean!A:A,customer_clean!C:C)</f>
        <v>Pro</v>
      </c>
      <c r="F737">
        <f>_xlfn.XLOOKUP(B737,customer_clean!A:A,customer_clean!E:E)</f>
        <v>100</v>
      </c>
    </row>
    <row r="738" spans="1:6" x14ac:dyDescent="0.35">
      <c r="A738" t="s">
        <v>814</v>
      </c>
      <c r="B738">
        <v>1672</v>
      </c>
      <c r="C738" s="1">
        <v>45505</v>
      </c>
      <c r="D738">
        <v>50</v>
      </c>
      <c r="E738" t="str">
        <f>_xlfn.XLOOKUP(B738,customer_clean!A:A,customer_clean!C:C)</f>
        <v>Basic</v>
      </c>
      <c r="F738">
        <f>_xlfn.XLOOKUP(B738,customer_clean!A:A,customer_clean!E:E)</f>
        <v>30</v>
      </c>
    </row>
    <row r="739" spans="1:6" x14ac:dyDescent="0.35">
      <c r="A739" t="s">
        <v>815</v>
      </c>
      <c r="B739">
        <v>1672</v>
      </c>
      <c r="C739" s="1">
        <v>45536</v>
      </c>
      <c r="D739">
        <v>50</v>
      </c>
      <c r="E739" t="str">
        <f>_xlfn.XLOOKUP(B739,customer_clean!A:A,customer_clean!C:C)</f>
        <v>Basic</v>
      </c>
      <c r="F739">
        <f>_xlfn.XLOOKUP(B739,customer_clean!A:A,customer_clean!E:E)</f>
        <v>30</v>
      </c>
    </row>
    <row r="740" spans="1:6" x14ac:dyDescent="0.35">
      <c r="A740" t="s">
        <v>816</v>
      </c>
      <c r="B740">
        <v>1683</v>
      </c>
      <c r="C740" s="1">
        <v>45352</v>
      </c>
      <c r="D740">
        <v>200</v>
      </c>
      <c r="E740" t="str">
        <f>_xlfn.XLOOKUP(B740,customer_clean!A:A,customer_clean!C:C)</f>
        <v>Pro</v>
      </c>
      <c r="F740">
        <f>_xlfn.XLOOKUP(B740,customer_clean!A:A,customer_clean!E:E)</f>
        <v>100</v>
      </c>
    </row>
    <row r="741" spans="1:6" x14ac:dyDescent="0.35">
      <c r="A741" t="s">
        <v>817</v>
      </c>
      <c r="B741">
        <v>1683</v>
      </c>
      <c r="C741" s="1">
        <v>45383</v>
      </c>
      <c r="D741">
        <v>200</v>
      </c>
      <c r="E741" t="str">
        <f>_xlfn.XLOOKUP(B741,customer_clean!A:A,customer_clean!C:C)</f>
        <v>Pro</v>
      </c>
      <c r="F741">
        <f>_xlfn.XLOOKUP(B741,customer_clean!A:A,customer_clean!E:E)</f>
        <v>100</v>
      </c>
    </row>
    <row r="742" spans="1:6" x14ac:dyDescent="0.35">
      <c r="A742" t="s">
        <v>818</v>
      </c>
      <c r="B742">
        <v>1683</v>
      </c>
      <c r="C742" s="1">
        <v>45413</v>
      </c>
      <c r="D742">
        <v>200</v>
      </c>
      <c r="E742" t="str">
        <f>_xlfn.XLOOKUP(B742,customer_clean!A:A,customer_clean!C:C)</f>
        <v>Pro</v>
      </c>
      <c r="F742">
        <f>_xlfn.XLOOKUP(B742,customer_clean!A:A,customer_clean!E:E)</f>
        <v>100</v>
      </c>
    </row>
    <row r="743" spans="1:6" x14ac:dyDescent="0.35">
      <c r="A743" t="s">
        <v>819</v>
      </c>
      <c r="B743">
        <v>1683</v>
      </c>
      <c r="C743" s="1">
        <v>45444</v>
      </c>
      <c r="D743">
        <v>200</v>
      </c>
      <c r="E743" t="str">
        <f>_xlfn.XLOOKUP(B743,customer_clean!A:A,customer_clean!C:C)</f>
        <v>Pro</v>
      </c>
      <c r="F743">
        <f>_xlfn.XLOOKUP(B743,customer_clean!A:A,customer_clean!E:E)</f>
        <v>100</v>
      </c>
    </row>
    <row r="744" spans="1:6" x14ac:dyDescent="0.35">
      <c r="A744" t="s">
        <v>820</v>
      </c>
      <c r="B744">
        <v>1683</v>
      </c>
      <c r="C744" s="1">
        <v>45474</v>
      </c>
      <c r="D744">
        <v>200</v>
      </c>
      <c r="E744" t="str">
        <f>_xlfn.XLOOKUP(B744,customer_clean!A:A,customer_clean!C:C)</f>
        <v>Pro</v>
      </c>
      <c r="F744">
        <f>_xlfn.XLOOKUP(B744,customer_clean!A:A,customer_clean!E:E)</f>
        <v>100</v>
      </c>
    </row>
    <row r="745" spans="1:6" x14ac:dyDescent="0.35">
      <c r="A745" t="s">
        <v>821</v>
      </c>
      <c r="B745">
        <v>1683</v>
      </c>
      <c r="C745" s="1">
        <v>45505</v>
      </c>
      <c r="D745">
        <v>200</v>
      </c>
      <c r="E745" t="str">
        <f>_xlfn.XLOOKUP(B745,customer_clean!A:A,customer_clean!C:C)</f>
        <v>Pro</v>
      </c>
      <c r="F745">
        <f>_xlfn.XLOOKUP(B745,customer_clean!A:A,customer_clean!E:E)</f>
        <v>100</v>
      </c>
    </row>
    <row r="746" spans="1:6" x14ac:dyDescent="0.35">
      <c r="A746" t="s">
        <v>822</v>
      </c>
      <c r="B746">
        <v>1683</v>
      </c>
      <c r="C746" s="1">
        <v>45536</v>
      </c>
      <c r="D746">
        <v>200</v>
      </c>
      <c r="E746" t="str">
        <f>_xlfn.XLOOKUP(B746,customer_clean!A:A,customer_clean!C:C)</f>
        <v>Pro</v>
      </c>
      <c r="F746">
        <f>_xlfn.XLOOKUP(B746,customer_clean!A:A,customer_clean!E:E)</f>
        <v>100</v>
      </c>
    </row>
    <row r="747" spans="1:6" x14ac:dyDescent="0.35">
      <c r="A747" t="s">
        <v>823</v>
      </c>
      <c r="B747">
        <v>1683</v>
      </c>
      <c r="C747" s="1">
        <v>45566</v>
      </c>
      <c r="D747">
        <v>200</v>
      </c>
      <c r="E747" t="str">
        <f>_xlfn.XLOOKUP(B747,customer_clean!A:A,customer_clean!C:C)</f>
        <v>Pro</v>
      </c>
      <c r="F747">
        <f>_xlfn.XLOOKUP(B747,customer_clean!A:A,customer_clean!E:E)</f>
        <v>100</v>
      </c>
    </row>
    <row r="748" spans="1:6" x14ac:dyDescent="0.35">
      <c r="A748" t="s">
        <v>824</v>
      </c>
      <c r="B748">
        <v>1683</v>
      </c>
      <c r="C748" s="1">
        <v>45597</v>
      </c>
      <c r="D748">
        <v>200</v>
      </c>
      <c r="E748" t="str">
        <f>_xlfn.XLOOKUP(B748,customer_clean!A:A,customer_clean!C:C)</f>
        <v>Pro</v>
      </c>
      <c r="F748">
        <f>_xlfn.XLOOKUP(B748,customer_clean!A:A,customer_clean!E:E)</f>
        <v>100</v>
      </c>
    </row>
    <row r="749" spans="1:6" x14ac:dyDescent="0.35">
      <c r="A749" t="s">
        <v>825</v>
      </c>
      <c r="B749">
        <v>1683</v>
      </c>
      <c r="C749" s="1">
        <v>45627</v>
      </c>
      <c r="D749">
        <v>200</v>
      </c>
      <c r="E749" t="str">
        <f>_xlfn.XLOOKUP(B749,customer_clean!A:A,customer_clean!C:C)</f>
        <v>Pro</v>
      </c>
      <c r="F749">
        <f>_xlfn.XLOOKUP(B749,customer_clean!A:A,customer_clean!E:E)</f>
        <v>100</v>
      </c>
    </row>
    <row r="750" spans="1:6" x14ac:dyDescent="0.35">
      <c r="A750" t="s">
        <v>826</v>
      </c>
      <c r="B750">
        <v>1683</v>
      </c>
      <c r="C750" s="1">
        <v>45658</v>
      </c>
      <c r="D750">
        <v>200</v>
      </c>
      <c r="E750" t="str">
        <f>_xlfn.XLOOKUP(B750,customer_clean!A:A,customer_clean!C:C)</f>
        <v>Pro</v>
      </c>
      <c r="F750">
        <f>_xlfn.XLOOKUP(B750,customer_clean!A:A,customer_clean!E:E)</f>
        <v>100</v>
      </c>
    </row>
    <row r="751" spans="1:6" x14ac:dyDescent="0.35">
      <c r="A751" t="s">
        <v>827</v>
      </c>
      <c r="B751">
        <v>1683</v>
      </c>
      <c r="C751" s="1">
        <v>45689</v>
      </c>
      <c r="D751">
        <v>200</v>
      </c>
      <c r="E751" t="str">
        <f>_xlfn.XLOOKUP(B751,customer_clean!A:A,customer_clean!C:C)</f>
        <v>Pro</v>
      </c>
      <c r="F751">
        <f>_xlfn.XLOOKUP(B751,customer_clean!A:A,customer_clean!E:E)</f>
        <v>100</v>
      </c>
    </row>
    <row r="752" spans="1:6" x14ac:dyDescent="0.35">
      <c r="A752" t="s">
        <v>828</v>
      </c>
      <c r="B752">
        <v>1683</v>
      </c>
      <c r="C752" s="1">
        <v>45717</v>
      </c>
      <c r="D752">
        <v>200</v>
      </c>
      <c r="E752" t="str">
        <f>_xlfn.XLOOKUP(B752,customer_clean!A:A,customer_clean!C:C)</f>
        <v>Pro</v>
      </c>
      <c r="F752">
        <f>_xlfn.XLOOKUP(B752,customer_clean!A:A,customer_clean!E:E)</f>
        <v>100</v>
      </c>
    </row>
    <row r="753" spans="1:6" x14ac:dyDescent="0.35">
      <c r="A753" t="s">
        <v>829</v>
      </c>
      <c r="B753">
        <v>1683</v>
      </c>
      <c r="C753" s="1">
        <v>45748</v>
      </c>
      <c r="D753">
        <v>200</v>
      </c>
      <c r="E753" t="str">
        <f>_xlfn.XLOOKUP(B753,customer_clean!A:A,customer_clean!C:C)</f>
        <v>Pro</v>
      </c>
      <c r="F753">
        <f>_xlfn.XLOOKUP(B753,customer_clean!A:A,customer_clean!E:E)</f>
        <v>100</v>
      </c>
    </row>
    <row r="754" spans="1:6" x14ac:dyDescent="0.35">
      <c r="A754" t="s">
        <v>830</v>
      </c>
      <c r="B754">
        <v>1683</v>
      </c>
      <c r="C754" s="1">
        <v>45778</v>
      </c>
      <c r="D754">
        <v>200</v>
      </c>
      <c r="E754" t="str">
        <f>_xlfn.XLOOKUP(B754,customer_clean!A:A,customer_clean!C:C)</f>
        <v>Pro</v>
      </c>
      <c r="F754">
        <f>_xlfn.XLOOKUP(B754,customer_clean!A:A,customer_clean!E:E)</f>
        <v>100</v>
      </c>
    </row>
    <row r="755" spans="1:6" x14ac:dyDescent="0.35">
      <c r="A755" t="s">
        <v>831</v>
      </c>
      <c r="B755">
        <v>1683</v>
      </c>
      <c r="C755" s="1">
        <v>45809</v>
      </c>
      <c r="D755">
        <v>200</v>
      </c>
      <c r="E755" t="str">
        <f>_xlfn.XLOOKUP(B755,customer_clean!A:A,customer_clean!C:C)</f>
        <v>Pro</v>
      </c>
      <c r="F755">
        <f>_xlfn.XLOOKUP(B755,customer_clean!A:A,customer_clean!E:E)</f>
        <v>100</v>
      </c>
    </row>
    <row r="756" spans="1:6" x14ac:dyDescent="0.35">
      <c r="A756" t="s">
        <v>832</v>
      </c>
      <c r="B756">
        <v>1686</v>
      </c>
      <c r="C756" s="1">
        <v>45383</v>
      </c>
      <c r="D756">
        <v>50</v>
      </c>
      <c r="E756" t="str">
        <f>_xlfn.XLOOKUP(B756,customer_clean!A:A,customer_clean!C:C)</f>
        <v>Basic</v>
      </c>
      <c r="F756">
        <f>_xlfn.XLOOKUP(B756,customer_clean!A:A,customer_clean!E:E)</f>
        <v>30</v>
      </c>
    </row>
    <row r="757" spans="1:6" x14ac:dyDescent="0.35">
      <c r="A757" t="s">
        <v>833</v>
      </c>
      <c r="B757">
        <v>1686</v>
      </c>
      <c r="C757" s="1">
        <v>45413</v>
      </c>
      <c r="D757">
        <v>50</v>
      </c>
      <c r="E757" t="str">
        <f>_xlfn.XLOOKUP(B757,customer_clean!A:A,customer_clean!C:C)</f>
        <v>Basic</v>
      </c>
      <c r="F757">
        <f>_xlfn.XLOOKUP(B757,customer_clean!A:A,customer_clean!E:E)</f>
        <v>30</v>
      </c>
    </row>
    <row r="758" spans="1:6" x14ac:dyDescent="0.35">
      <c r="A758" t="s">
        <v>834</v>
      </c>
      <c r="B758">
        <v>1686</v>
      </c>
      <c r="C758" s="1">
        <v>45444</v>
      </c>
      <c r="D758">
        <v>50</v>
      </c>
      <c r="E758" t="str">
        <f>_xlfn.XLOOKUP(B758,customer_clean!A:A,customer_clean!C:C)</f>
        <v>Basic</v>
      </c>
      <c r="F758">
        <f>_xlfn.XLOOKUP(B758,customer_clean!A:A,customer_clean!E:E)</f>
        <v>30</v>
      </c>
    </row>
    <row r="759" spans="1:6" x14ac:dyDescent="0.35">
      <c r="A759" t="s">
        <v>835</v>
      </c>
      <c r="B759">
        <v>1686</v>
      </c>
      <c r="C759" s="1">
        <v>45474</v>
      </c>
      <c r="D759">
        <v>50</v>
      </c>
      <c r="E759" t="str">
        <f>_xlfn.XLOOKUP(B759,customer_clean!A:A,customer_clean!C:C)</f>
        <v>Basic</v>
      </c>
      <c r="F759">
        <f>_xlfn.XLOOKUP(B759,customer_clean!A:A,customer_clean!E:E)</f>
        <v>30</v>
      </c>
    </row>
    <row r="760" spans="1:6" x14ac:dyDescent="0.35">
      <c r="A760" t="s">
        <v>836</v>
      </c>
      <c r="B760">
        <v>1686</v>
      </c>
      <c r="C760" s="1">
        <v>45505</v>
      </c>
      <c r="D760">
        <v>50</v>
      </c>
      <c r="E760" t="str">
        <f>_xlfn.XLOOKUP(B760,customer_clean!A:A,customer_clean!C:C)</f>
        <v>Basic</v>
      </c>
      <c r="F760">
        <f>_xlfn.XLOOKUP(B760,customer_clean!A:A,customer_clean!E:E)</f>
        <v>30</v>
      </c>
    </row>
    <row r="761" spans="1:6" x14ac:dyDescent="0.35">
      <c r="A761" t="s">
        <v>837</v>
      </c>
      <c r="B761">
        <v>1686</v>
      </c>
      <c r="C761" s="1">
        <v>45536</v>
      </c>
      <c r="D761">
        <v>50</v>
      </c>
      <c r="E761" t="str">
        <f>_xlfn.XLOOKUP(B761,customer_clean!A:A,customer_clean!C:C)</f>
        <v>Basic</v>
      </c>
      <c r="F761">
        <f>_xlfn.XLOOKUP(B761,customer_clean!A:A,customer_clean!E:E)</f>
        <v>30</v>
      </c>
    </row>
    <row r="762" spans="1:6" x14ac:dyDescent="0.35">
      <c r="A762" t="s">
        <v>838</v>
      </c>
      <c r="B762">
        <v>1686</v>
      </c>
      <c r="C762" s="1">
        <v>45566</v>
      </c>
      <c r="D762">
        <v>50</v>
      </c>
      <c r="E762" t="str">
        <f>_xlfn.XLOOKUP(B762,customer_clean!A:A,customer_clean!C:C)</f>
        <v>Basic</v>
      </c>
      <c r="F762">
        <f>_xlfn.XLOOKUP(B762,customer_clean!A:A,customer_clean!E:E)</f>
        <v>30</v>
      </c>
    </row>
    <row r="763" spans="1:6" x14ac:dyDescent="0.35">
      <c r="A763" t="s">
        <v>839</v>
      </c>
      <c r="B763">
        <v>1686</v>
      </c>
      <c r="C763" s="1">
        <v>45597</v>
      </c>
      <c r="D763">
        <v>50</v>
      </c>
      <c r="E763" t="str">
        <f>_xlfn.XLOOKUP(B763,customer_clean!A:A,customer_clean!C:C)</f>
        <v>Basic</v>
      </c>
      <c r="F763">
        <f>_xlfn.XLOOKUP(B763,customer_clean!A:A,customer_clean!E:E)</f>
        <v>30</v>
      </c>
    </row>
    <row r="764" spans="1:6" x14ac:dyDescent="0.35">
      <c r="A764" t="s">
        <v>840</v>
      </c>
      <c r="B764">
        <v>1686</v>
      </c>
      <c r="C764" s="1">
        <v>45627</v>
      </c>
      <c r="D764">
        <v>50</v>
      </c>
      <c r="E764" t="str">
        <f>_xlfn.XLOOKUP(B764,customer_clean!A:A,customer_clean!C:C)</f>
        <v>Basic</v>
      </c>
      <c r="F764">
        <f>_xlfn.XLOOKUP(B764,customer_clean!A:A,customer_clean!E:E)</f>
        <v>30</v>
      </c>
    </row>
    <row r="765" spans="1:6" x14ac:dyDescent="0.35">
      <c r="A765" t="s">
        <v>841</v>
      </c>
      <c r="B765">
        <v>1686</v>
      </c>
      <c r="C765" s="1">
        <v>45658</v>
      </c>
      <c r="D765">
        <v>50</v>
      </c>
      <c r="E765" t="str">
        <f>_xlfn.XLOOKUP(B765,customer_clean!A:A,customer_clean!C:C)</f>
        <v>Basic</v>
      </c>
      <c r="F765">
        <f>_xlfn.XLOOKUP(B765,customer_clean!A:A,customer_clean!E:E)</f>
        <v>30</v>
      </c>
    </row>
    <row r="766" spans="1:6" x14ac:dyDescent="0.35">
      <c r="A766" t="s">
        <v>842</v>
      </c>
      <c r="B766">
        <v>1686</v>
      </c>
      <c r="C766" s="1">
        <v>45689</v>
      </c>
      <c r="D766">
        <v>50</v>
      </c>
      <c r="E766" t="str">
        <f>_xlfn.XLOOKUP(B766,customer_clean!A:A,customer_clean!C:C)</f>
        <v>Basic</v>
      </c>
      <c r="F766">
        <f>_xlfn.XLOOKUP(B766,customer_clean!A:A,customer_clean!E:E)</f>
        <v>30</v>
      </c>
    </row>
    <row r="767" spans="1:6" x14ac:dyDescent="0.35">
      <c r="A767" t="s">
        <v>843</v>
      </c>
      <c r="B767">
        <v>1686</v>
      </c>
      <c r="C767" s="1">
        <v>45717</v>
      </c>
      <c r="D767">
        <v>50</v>
      </c>
      <c r="E767" t="str">
        <f>_xlfn.XLOOKUP(B767,customer_clean!A:A,customer_clean!C:C)</f>
        <v>Basic</v>
      </c>
      <c r="F767">
        <f>_xlfn.XLOOKUP(B767,customer_clean!A:A,customer_clean!E:E)</f>
        <v>30</v>
      </c>
    </row>
    <row r="768" spans="1:6" x14ac:dyDescent="0.35">
      <c r="A768" t="s">
        <v>844</v>
      </c>
      <c r="B768">
        <v>1686</v>
      </c>
      <c r="C768" s="1">
        <v>45748</v>
      </c>
      <c r="D768">
        <v>50</v>
      </c>
      <c r="E768" t="str">
        <f>_xlfn.XLOOKUP(B768,customer_clean!A:A,customer_clean!C:C)</f>
        <v>Basic</v>
      </c>
      <c r="F768">
        <f>_xlfn.XLOOKUP(B768,customer_clean!A:A,customer_clean!E:E)</f>
        <v>30</v>
      </c>
    </row>
    <row r="769" spans="1:6" x14ac:dyDescent="0.35">
      <c r="A769" t="s">
        <v>845</v>
      </c>
      <c r="B769">
        <v>1697</v>
      </c>
      <c r="C769" s="1">
        <v>45748</v>
      </c>
      <c r="D769">
        <v>50</v>
      </c>
      <c r="E769" t="str">
        <f>_xlfn.XLOOKUP(B769,customer_clean!A:A,customer_clean!C:C)</f>
        <v>Basic</v>
      </c>
      <c r="F769">
        <f>_xlfn.XLOOKUP(B769,customer_clean!A:A,customer_clean!E:E)</f>
        <v>30</v>
      </c>
    </row>
    <row r="770" spans="1:6" x14ac:dyDescent="0.35">
      <c r="A770" t="s">
        <v>846</v>
      </c>
      <c r="B770">
        <v>1697</v>
      </c>
      <c r="C770" s="1">
        <v>45778</v>
      </c>
      <c r="D770">
        <v>50</v>
      </c>
      <c r="E770" t="str">
        <f>_xlfn.XLOOKUP(B770,customer_clean!A:A,customer_clean!C:C)</f>
        <v>Basic</v>
      </c>
      <c r="F770">
        <f>_xlfn.XLOOKUP(B770,customer_clean!A:A,customer_clean!E:E)</f>
        <v>30</v>
      </c>
    </row>
    <row r="771" spans="1:6" x14ac:dyDescent="0.35">
      <c r="A771" t="s">
        <v>847</v>
      </c>
      <c r="B771">
        <v>1709</v>
      </c>
      <c r="C771" s="1">
        <v>45474</v>
      </c>
      <c r="D771">
        <v>200</v>
      </c>
      <c r="E771" t="str">
        <f>_xlfn.XLOOKUP(B771,customer_clean!A:A,customer_clean!C:C)</f>
        <v>Pro</v>
      </c>
      <c r="F771">
        <f>_xlfn.XLOOKUP(B771,customer_clean!A:A,customer_clean!E:E)</f>
        <v>100</v>
      </c>
    </row>
    <row r="772" spans="1:6" x14ac:dyDescent="0.35">
      <c r="A772" t="s">
        <v>848</v>
      </c>
      <c r="B772">
        <v>1709</v>
      </c>
      <c r="C772" s="1">
        <v>45505</v>
      </c>
      <c r="D772">
        <v>200</v>
      </c>
      <c r="E772" t="str">
        <f>_xlfn.XLOOKUP(B772,customer_clean!A:A,customer_clean!C:C)</f>
        <v>Pro</v>
      </c>
      <c r="F772">
        <f>_xlfn.XLOOKUP(B772,customer_clean!A:A,customer_clean!E:E)</f>
        <v>100</v>
      </c>
    </row>
    <row r="773" spans="1:6" x14ac:dyDescent="0.35">
      <c r="A773" t="s">
        <v>849</v>
      </c>
      <c r="B773">
        <v>1709</v>
      </c>
      <c r="C773" s="1">
        <v>45536</v>
      </c>
      <c r="D773">
        <v>200</v>
      </c>
      <c r="E773" t="str">
        <f>_xlfn.XLOOKUP(B773,customer_clean!A:A,customer_clean!C:C)</f>
        <v>Pro</v>
      </c>
      <c r="F773">
        <f>_xlfn.XLOOKUP(B773,customer_clean!A:A,customer_clean!E:E)</f>
        <v>100</v>
      </c>
    </row>
    <row r="774" spans="1:6" x14ac:dyDescent="0.35">
      <c r="A774" t="s">
        <v>850</v>
      </c>
      <c r="B774">
        <v>1709</v>
      </c>
      <c r="C774" s="1">
        <v>45566</v>
      </c>
      <c r="D774">
        <v>200</v>
      </c>
      <c r="E774" t="str">
        <f>_xlfn.XLOOKUP(B774,customer_clean!A:A,customer_clean!C:C)</f>
        <v>Pro</v>
      </c>
      <c r="F774">
        <f>_xlfn.XLOOKUP(B774,customer_clean!A:A,customer_clean!E:E)</f>
        <v>100</v>
      </c>
    </row>
    <row r="775" spans="1:6" x14ac:dyDescent="0.35">
      <c r="A775" t="s">
        <v>851</v>
      </c>
      <c r="B775">
        <v>1709</v>
      </c>
      <c r="C775" s="1">
        <v>45597</v>
      </c>
      <c r="D775">
        <v>200</v>
      </c>
      <c r="E775" t="str">
        <f>_xlfn.XLOOKUP(B775,customer_clean!A:A,customer_clean!C:C)</f>
        <v>Pro</v>
      </c>
      <c r="F775">
        <f>_xlfn.XLOOKUP(B775,customer_clean!A:A,customer_clean!E:E)</f>
        <v>100</v>
      </c>
    </row>
    <row r="776" spans="1:6" x14ac:dyDescent="0.35">
      <c r="A776" t="s">
        <v>852</v>
      </c>
      <c r="B776">
        <v>1709</v>
      </c>
      <c r="C776" s="1">
        <v>45627</v>
      </c>
      <c r="D776">
        <v>200</v>
      </c>
      <c r="E776" t="str">
        <f>_xlfn.XLOOKUP(B776,customer_clean!A:A,customer_clean!C:C)</f>
        <v>Pro</v>
      </c>
      <c r="F776">
        <f>_xlfn.XLOOKUP(B776,customer_clean!A:A,customer_clean!E:E)</f>
        <v>100</v>
      </c>
    </row>
    <row r="777" spans="1:6" x14ac:dyDescent="0.35">
      <c r="A777" t="s">
        <v>853</v>
      </c>
      <c r="B777">
        <v>1709</v>
      </c>
      <c r="C777" s="1">
        <v>45658</v>
      </c>
      <c r="D777">
        <v>200</v>
      </c>
      <c r="E777" t="str">
        <f>_xlfn.XLOOKUP(B777,customer_clean!A:A,customer_clean!C:C)</f>
        <v>Pro</v>
      </c>
      <c r="F777">
        <f>_xlfn.XLOOKUP(B777,customer_clean!A:A,customer_clean!E:E)</f>
        <v>100</v>
      </c>
    </row>
    <row r="778" spans="1:6" x14ac:dyDescent="0.35">
      <c r="A778" t="s">
        <v>854</v>
      </c>
      <c r="B778">
        <v>1709</v>
      </c>
      <c r="C778" s="1">
        <v>45689</v>
      </c>
      <c r="D778">
        <v>200</v>
      </c>
      <c r="E778" t="str">
        <f>_xlfn.XLOOKUP(B778,customer_clean!A:A,customer_clean!C:C)</f>
        <v>Pro</v>
      </c>
      <c r="F778">
        <f>_xlfn.XLOOKUP(B778,customer_clean!A:A,customer_clean!E:E)</f>
        <v>100</v>
      </c>
    </row>
    <row r="779" spans="1:6" x14ac:dyDescent="0.35">
      <c r="A779" t="s">
        <v>855</v>
      </c>
      <c r="B779">
        <v>1713</v>
      </c>
      <c r="C779" s="1">
        <v>45536</v>
      </c>
      <c r="D779">
        <v>500</v>
      </c>
      <c r="E779" t="str">
        <f>_xlfn.XLOOKUP(B779,customer_clean!A:A,customer_clean!C:C)</f>
        <v>Enterprise</v>
      </c>
      <c r="F779">
        <f>_xlfn.XLOOKUP(B779,customer_clean!A:A,customer_clean!E:E)</f>
        <v>200</v>
      </c>
    </row>
    <row r="780" spans="1:6" x14ac:dyDescent="0.35">
      <c r="A780" t="s">
        <v>856</v>
      </c>
      <c r="B780">
        <v>1713</v>
      </c>
      <c r="C780" s="1">
        <v>45566</v>
      </c>
      <c r="D780">
        <v>500</v>
      </c>
      <c r="E780" t="str">
        <f>_xlfn.XLOOKUP(B780,customer_clean!A:A,customer_clean!C:C)</f>
        <v>Enterprise</v>
      </c>
      <c r="F780">
        <f>_xlfn.XLOOKUP(B780,customer_clean!A:A,customer_clean!E:E)</f>
        <v>200</v>
      </c>
    </row>
    <row r="781" spans="1:6" x14ac:dyDescent="0.35">
      <c r="A781" t="s">
        <v>857</v>
      </c>
      <c r="B781">
        <v>1714</v>
      </c>
      <c r="C781" s="1">
        <v>45474</v>
      </c>
      <c r="D781">
        <v>500</v>
      </c>
      <c r="E781" t="str">
        <f>_xlfn.XLOOKUP(B781,customer_clean!A:A,customer_clean!C:C)</f>
        <v>Enterprise</v>
      </c>
      <c r="F781">
        <f>_xlfn.XLOOKUP(B781,customer_clean!A:A,customer_clean!E:E)</f>
        <v>200</v>
      </c>
    </row>
    <row r="782" spans="1:6" x14ac:dyDescent="0.35">
      <c r="A782" t="s">
        <v>858</v>
      </c>
      <c r="B782">
        <v>1714</v>
      </c>
      <c r="C782" s="1">
        <v>45505</v>
      </c>
      <c r="D782">
        <v>500</v>
      </c>
      <c r="E782" t="str">
        <f>_xlfn.XLOOKUP(B782,customer_clean!A:A,customer_clean!C:C)</f>
        <v>Enterprise</v>
      </c>
      <c r="F782">
        <f>_xlfn.XLOOKUP(B782,customer_clean!A:A,customer_clean!E:E)</f>
        <v>200</v>
      </c>
    </row>
    <row r="783" spans="1:6" x14ac:dyDescent="0.35">
      <c r="A783" t="s">
        <v>859</v>
      </c>
      <c r="B783">
        <v>1717</v>
      </c>
      <c r="C783" s="1">
        <v>45809</v>
      </c>
      <c r="D783">
        <v>50</v>
      </c>
      <c r="E783" t="str">
        <f>_xlfn.XLOOKUP(B783,customer_clean!A:A,customer_clean!C:C)</f>
        <v>Basic</v>
      </c>
      <c r="F783">
        <f>_xlfn.XLOOKUP(B783,customer_clean!A:A,customer_clean!E:E)</f>
        <v>30</v>
      </c>
    </row>
    <row r="784" spans="1:6" x14ac:dyDescent="0.35">
      <c r="A784" t="s">
        <v>860</v>
      </c>
      <c r="B784">
        <v>1721</v>
      </c>
      <c r="C784" s="1">
        <v>45566</v>
      </c>
      <c r="D784">
        <v>50</v>
      </c>
      <c r="E784" t="str">
        <f>_xlfn.XLOOKUP(B784,customer_clean!A:A,customer_clean!C:C)</f>
        <v>Basic</v>
      </c>
      <c r="F784">
        <f>_xlfn.XLOOKUP(B784,customer_clean!A:A,customer_clean!E:E)</f>
        <v>30</v>
      </c>
    </row>
    <row r="785" spans="1:6" x14ac:dyDescent="0.35">
      <c r="A785" t="s">
        <v>861</v>
      </c>
      <c r="B785">
        <v>1721</v>
      </c>
      <c r="C785" s="1">
        <v>45597</v>
      </c>
      <c r="D785">
        <v>50</v>
      </c>
      <c r="E785" t="str">
        <f>_xlfn.XLOOKUP(B785,customer_clean!A:A,customer_clean!C:C)</f>
        <v>Basic</v>
      </c>
      <c r="F785">
        <f>_xlfn.XLOOKUP(B785,customer_clean!A:A,customer_clean!E:E)</f>
        <v>30</v>
      </c>
    </row>
    <row r="786" spans="1:6" x14ac:dyDescent="0.35">
      <c r="A786" t="s">
        <v>862</v>
      </c>
      <c r="B786">
        <v>1721</v>
      </c>
      <c r="C786" s="1">
        <v>45627</v>
      </c>
      <c r="D786">
        <v>50</v>
      </c>
      <c r="E786" t="str">
        <f>_xlfn.XLOOKUP(B786,customer_clean!A:A,customer_clean!C:C)</f>
        <v>Basic</v>
      </c>
      <c r="F786">
        <f>_xlfn.XLOOKUP(B786,customer_clean!A:A,customer_clean!E:E)</f>
        <v>30</v>
      </c>
    </row>
    <row r="787" spans="1:6" x14ac:dyDescent="0.35">
      <c r="A787" t="s">
        <v>863</v>
      </c>
      <c r="B787">
        <v>1721</v>
      </c>
      <c r="C787" s="1">
        <v>45658</v>
      </c>
      <c r="D787">
        <v>50</v>
      </c>
      <c r="E787" t="str">
        <f>_xlfn.XLOOKUP(B787,customer_clean!A:A,customer_clean!C:C)</f>
        <v>Basic</v>
      </c>
      <c r="F787">
        <f>_xlfn.XLOOKUP(B787,customer_clean!A:A,customer_clean!E:E)</f>
        <v>30</v>
      </c>
    </row>
    <row r="788" spans="1:6" x14ac:dyDescent="0.35">
      <c r="A788" t="s">
        <v>864</v>
      </c>
      <c r="B788">
        <v>1721</v>
      </c>
      <c r="C788" s="1">
        <v>45689</v>
      </c>
      <c r="D788">
        <v>50</v>
      </c>
      <c r="E788" t="str">
        <f>_xlfn.XLOOKUP(B788,customer_clean!A:A,customer_clean!C:C)</f>
        <v>Basic</v>
      </c>
      <c r="F788">
        <f>_xlfn.XLOOKUP(B788,customer_clean!A:A,customer_clean!E:E)</f>
        <v>30</v>
      </c>
    </row>
    <row r="789" spans="1:6" x14ac:dyDescent="0.35">
      <c r="A789" t="s">
        <v>865</v>
      </c>
      <c r="B789">
        <v>1721</v>
      </c>
      <c r="C789" s="1">
        <v>45717</v>
      </c>
      <c r="D789">
        <v>50</v>
      </c>
      <c r="E789" t="str">
        <f>_xlfn.XLOOKUP(B789,customer_clean!A:A,customer_clean!C:C)</f>
        <v>Basic</v>
      </c>
      <c r="F789">
        <f>_xlfn.XLOOKUP(B789,customer_clean!A:A,customer_clean!E:E)</f>
        <v>30</v>
      </c>
    </row>
    <row r="790" spans="1:6" x14ac:dyDescent="0.35">
      <c r="A790" t="s">
        <v>866</v>
      </c>
      <c r="B790">
        <v>1724</v>
      </c>
      <c r="C790" s="1">
        <v>45597</v>
      </c>
      <c r="D790">
        <v>500</v>
      </c>
      <c r="E790" t="str">
        <f>_xlfn.XLOOKUP(B790,customer_clean!A:A,customer_clean!C:C)</f>
        <v>Enterprise</v>
      </c>
      <c r="F790">
        <f>_xlfn.XLOOKUP(B790,customer_clean!A:A,customer_clean!E:E)</f>
        <v>200</v>
      </c>
    </row>
    <row r="791" spans="1:6" x14ac:dyDescent="0.35">
      <c r="A791" t="s">
        <v>867</v>
      </c>
      <c r="B791">
        <v>1724</v>
      </c>
      <c r="C791" s="1">
        <v>45627</v>
      </c>
      <c r="D791">
        <v>500</v>
      </c>
      <c r="E791" t="str">
        <f>_xlfn.XLOOKUP(B791,customer_clean!A:A,customer_clean!C:C)</f>
        <v>Enterprise</v>
      </c>
      <c r="F791">
        <f>_xlfn.XLOOKUP(B791,customer_clean!A:A,customer_clean!E:E)</f>
        <v>200</v>
      </c>
    </row>
    <row r="792" spans="1:6" x14ac:dyDescent="0.35">
      <c r="A792" t="s">
        <v>868</v>
      </c>
      <c r="B792">
        <v>1724</v>
      </c>
      <c r="C792" s="1">
        <v>45658</v>
      </c>
      <c r="D792">
        <v>500</v>
      </c>
      <c r="E792" t="str">
        <f>_xlfn.XLOOKUP(B792,customer_clean!A:A,customer_clean!C:C)</f>
        <v>Enterprise</v>
      </c>
      <c r="F792">
        <f>_xlfn.XLOOKUP(B792,customer_clean!A:A,customer_clean!E:E)</f>
        <v>200</v>
      </c>
    </row>
    <row r="793" spans="1:6" x14ac:dyDescent="0.35">
      <c r="A793" t="s">
        <v>869</v>
      </c>
      <c r="B793">
        <v>1724</v>
      </c>
      <c r="C793" s="1">
        <v>45689</v>
      </c>
      <c r="D793">
        <v>500</v>
      </c>
      <c r="E793" t="str">
        <f>_xlfn.XLOOKUP(B793,customer_clean!A:A,customer_clean!C:C)</f>
        <v>Enterprise</v>
      </c>
      <c r="F793">
        <f>_xlfn.XLOOKUP(B793,customer_clean!A:A,customer_clean!E:E)</f>
        <v>200</v>
      </c>
    </row>
    <row r="794" spans="1:6" x14ac:dyDescent="0.35">
      <c r="A794" t="s">
        <v>870</v>
      </c>
      <c r="B794">
        <v>1724</v>
      </c>
      <c r="C794" s="1">
        <v>45717</v>
      </c>
      <c r="D794">
        <v>500</v>
      </c>
      <c r="E794" t="str">
        <f>_xlfn.XLOOKUP(B794,customer_clean!A:A,customer_clean!C:C)</f>
        <v>Enterprise</v>
      </c>
      <c r="F794">
        <f>_xlfn.XLOOKUP(B794,customer_clean!A:A,customer_clean!E:E)</f>
        <v>200</v>
      </c>
    </row>
    <row r="795" spans="1:6" x14ac:dyDescent="0.35">
      <c r="A795" t="s">
        <v>871</v>
      </c>
      <c r="B795">
        <v>1726</v>
      </c>
      <c r="C795" s="1">
        <v>45717</v>
      </c>
      <c r="D795">
        <v>50</v>
      </c>
      <c r="E795" t="str">
        <f>_xlfn.XLOOKUP(B795,customer_clean!A:A,customer_clean!C:C)</f>
        <v>Basic</v>
      </c>
      <c r="F795">
        <f>_xlfn.XLOOKUP(B795,customer_clean!A:A,customer_clean!E:E)</f>
        <v>30</v>
      </c>
    </row>
    <row r="796" spans="1:6" x14ac:dyDescent="0.35">
      <c r="A796" t="s">
        <v>872</v>
      </c>
      <c r="B796">
        <v>1726</v>
      </c>
      <c r="C796" s="1">
        <v>45748</v>
      </c>
      <c r="D796">
        <v>50</v>
      </c>
      <c r="E796" t="str">
        <f>_xlfn.XLOOKUP(B796,customer_clean!A:A,customer_clean!C:C)</f>
        <v>Basic</v>
      </c>
      <c r="F796">
        <f>_xlfn.XLOOKUP(B796,customer_clean!A:A,customer_clean!E:E)</f>
        <v>30</v>
      </c>
    </row>
    <row r="797" spans="1:6" x14ac:dyDescent="0.35">
      <c r="A797" t="s">
        <v>873</v>
      </c>
      <c r="B797">
        <v>1727</v>
      </c>
      <c r="C797" s="1">
        <v>45658</v>
      </c>
      <c r="D797">
        <v>200</v>
      </c>
      <c r="E797" t="str">
        <f>_xlfn.XLOOKUP(B797,customer_clean!A:A,customer_clean!C:C)</f>
        <v>Pro</v>
      </c>
      <c r="F797">
        <f>_xlfn.XLOOKUP(B797,customer_clean!A:A,customer_clean!E:E)</f>
        <v>100</v>
      </c>
    </row>
    <row r="798" spans="1:6" x14ac:dyDescent="0.35">
      <c r="A798" t="s">
        <v>874</v>
      </c>
      <c r="B798">
        <v>1727</v>
      </c>
      <c r="C798" s="1">
        <v>45689</v>
      </c>
      <c r="D798">
        <v>200</v>
      </c>
      <c r="E798" t="str">
        <f>_xlfn.XLOOKUP(B798,customer_clean!A:A,customer_clean!C:C)</f>
        <v>Pro</v>
      </c>
      <c r="F798">
        <f>_xlfn.XLOOKUP(B798,customer_clean!A:A,customer_clean!E:E)</f>
        <v>100</v>
      </c>
    </row>
    <row r="799" spans="1:6" x14ac:dyDescent="0.35">
      <c r="A799" t="s">
        <v>875</v>
      </c>
      <c r="B799">
        <v>1727</v>
      </c>
      <c r="C799" s="1">
        <v>45717</v>
      </c>
      <c r="D799">
        <v>200</v>
      </c>
      <c r="E799" t="str">
        <f>_xlfn.XLOOKUP(B799,customer_clean!A:A,customer_clean!C:C)</f>
        <v>Pro</v>
      </c>
      <c r="F799">
        <f>_xlfn.XLOOKUP(B799,customer_clean!A:A,customer_clean!E:E)</f>
        <v>100</v>
      </c>
    </row>
    <row r="800" spans="1:6" x14ac:dyDescent="0.35">
      <c r="A800" t="s">
        <v>876</v>
      </c>
      <c r="B800">
        <v>1727</v>
      </c>
      <c r="C800" s="1">
        <v>45748</v>
      </c>
      <c r="D800">
        <v>200</v>
      </c>
      <c r="E800" t="str">
        <f>_xlfn.XLOOKUP(B800,customer_clean!A:A,customer_clean!C:C)</f>
        <v>Pro</v>
      </c>
      <c r="F800">
        <f>_xlfn.XLOOKUP(B800,customer_clean!A:A,customer_clean!E:E)</f>
        <v>100</v>
      </c>
    </row>
    <row r="801" spans="1:6" x14ac:dyDescent="0.35">
      <c r="A801" t="s">
        <v>877</v>
      </c>
      <c r="B801">
        <v>1727</v>
      </c>
      <c r="C801" s="1">
        <v>45778</v>
      </c>
      <c r="D801">
        <v>200</v>
      </c>
      <c r="E801" t="str">
        <f>_xlfn.XLOOKUP(B801,customer_clean!A:A,customer_clean!C:C)</f>
        <v>Pro</v>
      </c>
      <c r="F801">
        <f>_xlfn.XLOOKUP(B801,customer_clean!A:A,customer_clean!E:E)</f>
        <v>100</v>
      </c>
    </row>
    <row r="802" spans="1:6" x14ac:dyDescent="0.35">
      <c r="A802" t="s">
        <v>878</v>
      </c>
      <c r="B802">
        <v>1727</v>
      </c>
      <c r="C802" s="1">
        <v>45809</v>
      </c>
      <c r="D802">
        <v>200</v>
      </c>
      <c r="E802" t="str">
        <f>_xlfn.XLOOKUP(B802,customer_clean!A:A,customer_clean!C:C)</f>
        <v>Pro</v>
      </c>
      <c r="F802">
        <f>_xlfn.XLOOKUP(B802,customer_clean!A:A,customer_clean!E:E)</f>
        <v>100</v>
      </c>
    </row>
    <row r="803" spans="1:6" x14ac:dyDescent="0.35">
      <c r="A803" t="s">
        <v>879</v>
      </c>
      <c r="B803">
        <v>1736</v>
      </c>
      <c r="C803" s="1">
        <v>45627</v>
      </c>
      <c r="D803">
        <v>500</v>
      </c>
      <c r="E803" t="str">
        <f>_xlfn.XLOOKUP(B803,customer_clean!A:A,customer_clean!C:C)</f>
        <v>Enterprise</v>
      </c>
      <c r="F803">
        <f>_xlfn.XLOOKUP(B803,customer_clean!A:A,customer_clean!E:E)</f>
        <v>200</v>
      </c>
    </row>
    <row r="804" spans="1:6" x14ac:dyDescent="0.35">
      <c r="A804" t="s">
        <v>880</v>
      </c>
      <c r="B804">
        <v>1736</v>
      </c>
      <c r="C804" s="1">
        <v>45658</v>
      </c>
      <c r="D804">
        <v>500</v>
      </c>
      <c r="E804" t="str">
        <f>_xlfn.XLOOKUP(B804,customer_clean!A:A,customer_clean!C:C)</f>
        <v>Enterprise</v>
      </c>
      <c r="F804">
        <f>_xlfn.XLOOKUP(B804,customer_clean!A:A,customer_clean!E:E)</f>
        <v>200</v>
      </c>
    </row>
    <row r="805" spans="1:6" x14ac:dyDescent="0.35">
      <c r="A805" t="s">
        <v>881</v>
      </c>
      <c r="B805">
        <v>1736</v>
      </c>
      <c r="C805" s="1">
        <v>45689</v>
      </c>
      <c r="D805">
        <v>500</v>
      </c>
      <c r="E805" t="str">
        <f>_xlfn.XLOOKUP(B805,customer_clean!A:A,customer_clean!C:C)</f>
        <v>Enterprise</v>
      </c>
      <c r="F805">
        <f>_xlfn.XLOOKUP(B805,customer_clean!A:A,customer_clean!E:E)</f>
        <v>200</v>
      </c>
    </row>
    <row r="806" spans="1:6" x14ac:dyDescent="0.35">
      <c r="A806" t="s">
        <v>882</v>
      </c>
      <c r="B806">
        <v>1737</v>
      </c>
      <c r="C806" s="1">
        <v>45444</v>
      </c>
      <c r="D806">
        <v>200</v>
      </c>
      <c r="E806" t="str">
        <f>_xlfn.XLOOKUP(B806,customer_clean!A:A,customer_clean!C:C)</f>
        <v>Pro</v>
      </c>
      <c r="F806">
        <f>_xlfn.XLOOKUP(B806,customer_clean!A:A,customer_clean!E:E)</f>
        <v>100</v>
      </c>
    </row>
    <row r="807" spans="1:6" x14ac:dyDescent="0.35">
      <c r="A807" t="s">
        <v>883</v>
      </c>
      <c r="B807">
        <v>1737</v>
      </c>
      <c r="C807" s="1">
        <v>45474</v>
      </c>
      <c r="D807">
        <v>200</v>
      </c>
      <c r="E807" t="str">
        <f>_xlfn.XLOOKUP(B807,customer_clean!A:A,customer_clean!C:C)</f>
        <v>Pro</v>
      </c>
      <c r="F807">
        <f>_xlfn.XLOOKUP(B807,customer_clean!A:A,customer_clean!E:E)</f>
        <v>100</v>
      </c>
    </row>
    <row r="808" spans="1:6" x14ac:dyDescent="0.35">
      <c r="A808" t="s">
        <v>884</v>
      </c>
      <c r="B808">
        <v>1737</v>
      </c>
      <c r="C808" s="1">
        <v>45505</v>
      </c>
      <c r="D808">
        <v>200</v>
      </c>
      <c r="E808" t="str">
        <f>_xlfn.XLOOKUP(B808,customer_clean!A:A,customer_clean!C:C)</f>
        <v>Pro</v>
      </c>
      <c r="F808">
        <f>_xlfn.XLOOKUP(B808,customer_clean!A:A,customer_clean!E:E)</f>
        <v>100</v>
      </c>
    </row>
    <row r="809" spans="1:6" x14ac:dyDescent="0.35">
      <c r="A809" t="s">
        <v>885</v>
      </c>
      <c r="B809">
        <v>1737</v>
      </c>
      <c r="C809" s="1">
        <v>45536</v>
      </c>
      <c r="D809">
        <v>200</v>
      </c>
      <c r="E809" t="str">
        <f>_xlfn.XLOOKUP(B809,customer_clean!A:A,customer_clean!C:C)</f>
        <v>Pro</v>
      </c>
      <c r="F809">
        <f>_xlfn.XLOOKUP(B809,customer_clean!A:A,customer_clean!E:E)</f>
        <v>100</v>
      </c>
    </row>
    <row r="810" spans="1:6" x14ac:dyDescent="0.35">
      <c r="A810" t="s">
        <v>886</v>
      </c>
      <c r="B810">
        <v>1737</v>
      </c>
      <c r="C810" s="1">
        <v>45566</v>
      </c>
      <c r="D810">
        <v>200</v>
      </c>
      <c r="E810" t="str">
        <f>_xlfn.XLOOKUP(B810,customer_clean!A:A,customer_clean!C:C)</f>
        <v>Pro</v>
      </c>
      <c r="F810">
        <f>_xlfn.XLOOKUP(B810,customer_clean!A:A,customer_clean!E:E)</f>
        <v>100</v>
      </c>
    </row>
    <row r="811" spans="1:6" x14ac:dyDescent="0.35">
      <c r="A811" t="s">
        <v>887</v>
      </c>
      <c r="B811">
        <v>1747</v>
      </c>
      <c r="C811" s="1">
        <v>45413</v>
      </c>
      <c r="D811">
        <v>200</v>
      </c>
      <c r="E811" t="str">
        <f>_xlfn.XLOOKUP(B811,customer_clean!A:A,customer_clean!C:C)</f>
        <v>Pro</v>
      </c>
      <c r="F811">
        <f>_xlfn.XLOOKUP(B811,customer_clean!A:A,customer_clean!E:E)</f>
        <v>100</v>
      </c>
    </row>
    <row r="812" spans="1:6" x14ac:dyDescent="0.35">
      <c r="A812" t="s">
        <v>888</v>
      </c>
      <c r="B812">
        <v>1747</v>
      </c>
      <c r="C812" s="1">
        <v>45444</v>
      </c>
      <c r="D812">
        <v>200</v>
      </c>
      <c r="E812" t="str">
        <f>_xlfn.XLOOKUP(B812,customer_clean!A:A,customer_clean!C:C)</f>
        <v>Pro</v>
      </c>
      <c r="F812">
        <f>_xlfn.XLOOKUP(B812,customer_clean!A:A,customer_clean!E:E)</f>
        <v>100</v>
      </c>
    </row>
    <row r="813" spans="1:6" x14ac:dyDescent="0.35">
      <c r="A813" t="s">
        <v>889</v>
      </c>
      <c r="B813">
        <v>1747</v>
      </c>
      <c r="C813" s="1">
        <v>45474</v>
      </c>
      <c r="D813">
        <v>200</v>
      </c>
      <c r="E813" t="str">
        <f>_xlfn.XLOOKUP(B813,customer_clean!A:A,customer_clean!C:C)</f>
        <v>Pro</v>
      </c>
      <c r="F813">
        <f>_xlfn.XLOOKUP(B813,customer_clean!A:A,customer_clean!E:E)</f>
        <v>100</v>
      </c>
    </row>
    <row r="814" spans="1:6" x14ac:dyDescent="0.35">
      <c r="A814" t="s">
        <v>890</v>
      </c>
      <c r="B814">
        <v>1750</v>
      </c>
      <c r="C814" s="1">
        <v>45566</v>
      </c>
      <c r="D814">
        <v>500</v>
      </c>
      <c r="E814" t="str">
        <f>_xlfn.XLOOKUP(B814,customer_clean!A:A,customer_clean!C:C)</f>
        <v>Enterprise</v>
      </c>
      <c r="F814">
        <f>_xlfn.XLOOKUP(B814,customer_clean!A:A,customer_clean!E:E)</f>
        <v>200</v>
      </c>
    </row>
    <row r="815" spans="1:6" x14ac:dyDescent="0.35">
      <c r="A815" t="s">
        <v>891</v>
      </c>
      <c r="B815">
        <v>1750</v>
      </c>
      <c r="C815" s="1">
        <v>45597</v>
      </c>
      <c r="D815">
        <v>500</v>
      </c>
      <c r="E815" t="str">
        <f>_xlfn.XLOOKUP(B815,customer_clean!A:A,customer_clean!C:C)</f>
        <v>Enterprise</v>
      </c>
      <c r="F815">
        <f>_xlfn.XLOOKUP(B815,customer_clean!A:A,customer_clean!E:E)</f>
        <v>200</v>
      </c>
    </row>
    <row r="816" spans="1:6" x14ac:dyDescent="0.35">
      <c r="A816" t="s">
        <v>892</v>
      </c>
      <c r="B816">
        <v>1750</v>
      </c>
      <c r="C816" s="1">
        <v>45627</v>
      </c>
      <c r="D816">
        <v>500</v>
      </c>
      <c r="E816" t="str">
        <f>_xlfn.XLOOKUP(B816,customer_clean!A:A,customer_clean!C:C)</f>
        <v>Enterprise</v>
      </c>
      <c r="F816">
        <f>_xlfn.XLOOKUP(B816,customer_clean!A:A,customer_clean!E:E)</f>
        <v>200</v>
      </c>
    </row>
    <row r="817" spans="1:6" x14ac:dyDescent="0.35">
      <c r="A817" t="s">
        <v>893</v>
      </c>
      <c r="B817">
        <v>1750</v>
      </c>
      <c r="C817" s="1">
        <v>45658</v>
      </c>
      <c r="D817">
        <v>500</v>
      </c>
      <c r="E817" t="str">
        <f>_xlfn.XLOOKUP(B817,customer_clean!A:A,customer_clean!C:C)</f>
        <v>Enterprise</v>
      </c>
      <c r="F817">
        <f>_xlfn.XLOOKUP(B817,customer_clean!A:A,customer_clean!E:E)</f>
        <v>200</v>
      </c>
    </row>
    <row r="818" spans="1:6" x14ac:dyDescent="0.35">
      <c r="A818" t="s">
        <v>894</v>
      </c>
      <c r="B818">
        <v>1750</v>
      </c>
      <c r="C818" s="1">
        <v>45689</v>
      </c>
      <c r="D818">
        <v>500</v>
      </c>
      <c r="E818" t="str">
        <f>_xlfn.XLOOKUP(B818,customer_clean!A:A,customer_clean!C:C)</f>
        <v>Enterprise</v>
      </c>
      <c r="F818">
        <f>_xlfn.XLOOKUP(B818,customer_clean!A:A,customer_clean!E:E)</f>
        <v>200</v>
      </c>
    </row>
    <row r="819" spans="1:6" x14ac:dyDescent="0.35">
      <c r="A819" t="s">
        <v>895</v>
      </c>
      <c r="B819">
        <v>1750</v>
      </c>
      <c r="C819" s="1">
        <v>45717</v>
      </c>
      <c r="D819">
        <v>500</v>
      </c>
      <c r="E819" t="str">
        <f>_xlfn.XLOOKUP(B819,customer_clean!A:A,customer_clean!C:C)</f>
        <v>Enterprise</v>
      </c>
      <c r="F819">
        <f>_xlfn.XLOOKUP(B819,customer_clean!A:A,customer_clean!E:E)</f>
        <v>200</v>
      </c>
    </row>
    <row r="820" spans="1:6" x14ac:dyDescent="0.35">
      <c r="A820" t="s">
        <v>896</v>
      </c>
      <c r="B820">
        <v>1750</v>
      </c>
      <c r="C820" s="1">
        <v>45748</v>
      </c>
      <c r="D820">
        <v>500</v>
      </c>
      <c r="E820" t="str">
        <f>_xlfn.XLOOKUP(B820,customer_clean!A:A,customer_clean!C:C)</f>
        <v>Enterprise</v>
      </c>
      <c r="F820">
        <f>_xlfn.XLOOKUP(B820,customer_clean!A:A,customer_clean!E:E)</f>
        <v>200</v>
      </c>
    </row>
    <row r="821" spans="1:6" x14ac:dyDescent="0.35">
      <c r="A821" t="s">
        <v>897</v>
      </c>
      <c r="B821">
        <v>1759</v>
      </c>
      <c r="C821" s="1">
        <v>45413</v>
      </c>
      <c r="D821">
        <v>200</v>
      </c>
      <c r="E821" t="str">
        <f>_xlfn.XLOOKUP(B821,customer_clean!A:A,customer_clean!C:C)</f>
        <v>Pro</v>
      </c>
      <c r="F821">
        <f>_xlfn.XLOOKUP(B821,customer_clean!A:A,customer_clean!E:E)</f>
        <v>100</v>
      </c>
    </row>
    <row r="822" spans="1:6" x14ac:dyDescent="0.35">
      <c r="A822" t="s">
        <v>898</v>
      </c>
      <c r="B822">
        <v>1759</v>
      </c>
      <c r="C822" s="1">
        <v>45444</v>
      </c>
      <c r="D822">
        <v>200</v>
      </c>
      <c r="E822" t="str">
        <f>_xlfn.XLOOKUP(B822,customer_clean!A:A,customer_clean!C:C)</f>
        <v>Pro</v>
      </c>
      <c r="F822">
        <f>_xlfn.XLOOKUP(B822,customer_clean!A:A,customer_clean!E:E)</f>
        <v>100</v>
      </c>
    </row>
    <row r="823" spans="1:6" x14ac:dyDescent="0.35">
      <c r="A823" t="s">
        <v>899</v>
      </c>
      <c r="B823">
        <v>1759</v>
      </c>
      <c r="C823" s="1">
        <v>45474</v>
      </c>
      <c r="D823">
        <v>200</v>
      </c>
      <c r="E823" t="str">
        <f>_xlfn.XLOOKUP(B823,customer_clean!A:A,customer_clean!C:C)</f>
        <v>Pro</v>
      </c>
      <c r="F823">
        <f>_xlfn.XLOOKUP(B823,customer_clean!A:A,customer_clean!E:E)</f>
        <v>100</v>
      </c>
    </row>
    <row r="824" spans="1:6" x14ac:dyDescent="0.35">
      <c r="A824" t="s">
        <v>900</v>
      </c>
      <c r="B824">
        <v>1759</v>
      </c>
      <c r="C824" s="1">
        <v>45505</v>
      </c>
      <c r="D824">
        <v>200</v>
      </c>
      <c r="E824" t="str">
        <f>_xlfn.XLOOKUP(B824,customer_clean!A:A,customer_clean!C:C)</f>
        <v>Pro</v>
      </c>
      <c r="F824">
        <f>_xlfn.XLOOKUP(B824,customer_clean!A:A,customer_clean!E:E)</f>
        <v>100</v>
      </c>
    </row>
    <row r="825" spans="1:6" x14ac:dyDescent="0.35">
      <c r="A825" t="s">
        <v>901</v>
      </c>
      <c r="B825">
        <v>1759</v>
      </c>
      <c r="C825" s="1">
        <v>45536</v>
      </c>
      <c r="D825">
        <v>200</v>
      </c>
      <c r="E825" t="str">
        <f>_xlfn.XLOOKUP(B825,customer_clean!A:A,customer_clean!C:C)</f>
        <v>Pro</v>
      </c>
      <c r="F825">
        <f>_xlfn.XLOOKUP(B825,customer_clean!A:A,customer_clean!E:E)</f>
        <v>100</v>
      </c>
    </row>
    <row r="826" spans="1:6" x14ac:dyDescent="0.35">
      <c r="A826" t="s">
        <v>902</v>
      </c>
      <c r="B826">
        <v>1759</v>
      </c>
      <c r="C826" s="1">
        <v>45566</v>
      </c>
      <c r="D826">
        <v>200</v>
      </c>
      <c r="E826" t="str">
        <f>_xlfn.XLOOKUP(B826,customer_clean!A:A,customer_clean!C:C)</f>
        <v>Pro</v>
      </c>
      <c r="F826">
        <f>_xlfn.XLOOKUP(B826,customer_clean!A:A,customer_clean!E:E)</f>
        <v>100</v>
      </c>
    </row>
    <row r="827" spans="1:6" x14ac:dyDescent="0.35">
      <c r="A827" t="s">
        <v>903</v>
      </c>
      <c r="B827">
        <v>1759</v>
      </c>
      <c r="C827" s="1">
        <v>45597</v>
      </c>
      <c r="D827">
        <v>200</v>
      </c>
      <c r="E827" t="str">
        <f>_xlfn.XLOOKUP(B827,customer_clean!A:A,customer_clean!C:C)</f>
        <v>Pro</v>
      </c>
      <c r="F827">
        <f>_xlfn.XLOOKUP(B827,customer_clean!A:A,customer_clean!E:E)</f>
        <v>100</v>
      </c>
    </row>
    <row r="828" spans="1:6" x14ac:dyDescent="0.35">
      <c r="A828" t="s">
        <v>904</v>
      </c>
      <c r="B828">
        <v>1759</v>
      </c>
      <c r="C828" s="1">
        <v>45627</v>
      </c>
      <c r="D828">
        <v>200</v>
      </c>
      <c r="E828" t="str">
        <f>_xlfn.XLOOKUP(B828,customer_clean!A:A,customer_clean!C:C)</f>
        <v>Pro</v>
      </c>
      <c r="F828">
        <f>_xlfn.XLOOKUP(B828,customer_clean!A:A,customer_clean!E:E)</f>
        <v>100</v>
      </c>
    </row>
    <row r="829" spans="1:6" x14ac:dyDescent="0.35">
      <c r="A829" t="s">
        <v>905</v>
      </c>
      <c r="B829">
        <v>1764</v>
      </c>
      <c r="C829" s="1">
        <v>45627</v>
      </c>
      <c r="D829">
        <v>500</v>
      </c>
      <c r="E829" t="str">
        <f>_xlfn.XLOOKUP(B829,customer_clean!A:A,customer_clean!C:C)</f>
        <v>Enterprise</v>
      </c>
      <c r="F829">
        <f>_xlfn.XLOOKUP(B829,customer_clean!A:A,customer_clean!E:E)</f>
        <v>200</v>
      </c>
    </row>
    <row r="830" spans="1:6" x14ac:dyDescent="0.35">
      <c r="A830" t="s">
        <v>906</v>
      </c>
      <c r="B830">
        <v>1764</v>
      </c>
      <c r="C830" s="1">
        <v>45658</v>
      </c>
      <c r="D830">
        <v>500</v>
      </c>
      <c r="E830" t="str">
        <f>_xlfn.XLOOKUP(B830,customer_clean!A:A,customer_clean!C:C)</f>
        <v>Enterprise</v>
      </c>
      <c r="F830">
        <f>_xlfn.XLOOKUP(B830,customer_clean!A:A,customer_clean!E:E)</f>
        <v>200</v>
      </c>
    </row>
    <row r="831" spans="1:6" x14ac:dyDescent="0.35">
      <c r="A831" t="s">
        <v>907</v>
      </c>
      <c r="B831">
        <v>1765</v>
      </c>
      <c r="C831" s="1">
        <v>45444</v>
      </c>
      <c r="D831">
        <v>50</v>
      </c>
      <c r="E831" t="str">
        <f>_xlfn.XLOOKUP(B831,customer_clean!A:A,customer_clean!C:C)</f>
        <v>Basic</v>
      </c>
      <c r="F831">
        <f>_xlfn.XLOOKUP(B831,customer_clean!A:A,customer_clean!E:E)</f>
        <v>30</v>
      </c>
    </row>
    <row r="832" spans="1:6" x14ac:dyDescent="0.35">
      <c r="A832" t="s">
        <v>908</v>
      </c>
      <c r="B832">
        <v>1765</v>
      </c>
      <c r="C832" s="1">
        <v>45474</v>
      </c>
      <c r="D832">
        <v>50</v>
      </c>
      <c r="E832" t="str">
        <f>_xlfn.XLOOKUP(B832,customer_clean!A:A,customer_clean!C:C)</f>
        <v>Basic</v>
      </c>
      <c r="F832">
        <f>_xlfn.XLOOKUP(B832,customer_clean!A:A,customer_clean!E:E)</f>
        <v>30</v>
      </c>
    </row>
    <row r="833" spans="1:6" x14ac:dyDescent="0.35">
      <c r="A833" t="s">
        <v>909</v>
      </c>
      <c r="B833">
        <v>1765</v>
      </c>
      <c r="C833" s="1">
        <v>45505</v>
      </c>
      <c r="D833">
        <v>50</v>
      </c>
      <c r="E833" t="str">
        <f>_xlfn.XLOOKUP(B833,customer_clean!A:A,customer_clean!C:C)</f>
        <v>Basic</v>
      </c>
      <c r="F833">
        <f>_xlfn.XLOOKUP(B833,customer_clean!A:A,customer_clean!E:E)</f>
        <v>30</v>
      </c>
    </row>
    <row r="834" spans="1:6" x14ac:dyDescent="0.35">
      <c r="A834" t="s">
        <v>910</v>
      </c>
      <c r="B834">
        <v>1765</v>
      </c>
      <c r="C834" s="1">
        <v>45536</v>
      </c>
      <c r="D834">
        <v>50</v>
      </c>
      <c r="E834" t="str">
        <f>_xlfn.XLOOKUP(B834,customer_clean!A:A,customer_clean!C:C)</f>
        <v>Basic</v>
      </c>
      <c r="F834">
        <f>_xlfn.XLOOKUP(B834,customer_clean!A:A,customer_clean!E:E)</f>
        <v>30</v>
      </c>
    </row>
    <row r="835" spans="1:6" x14ac:dyDescent="0.35">
      <c r="A835" t="s">
        <v>911</v>
      </c>
      <c r="B835">
        <v>1765</v>
      </c>
      <c r="C835" s="1">
        <v>45566</v>
      </c>
      <c r="D835">
        <v>50</v>
      </c>
      <c r="E835" t="str">
        <f>_xlfn.XLOOKUP(B835,customer_clean!A:A,customer_clean!C:C)</f>
        <v>Basic</v>
      </c>
      <c r="F835">
        <f>_xlfn.XLOOKUP(B835,customer_clean!A:A,customer_clean!E:E)</f>
        <v>30</v>
      </c>
    </row>
    <row r="836" spans="1:6" x14ac:dyDescent="0.35">
      <c r="A836" t="s">
        <v>912</v>
      </c>
      <c r="B836">
        <v>1765</v>
      </c>
      <c r="C836" s="1">
        <v>45597</v>
      </c>
      <c r="D836">
        <v>50</v>
      </c>
      <c r="E836" t="str">
        <f>_xlfn.XLOOKUP(B836,customer_clean!A:A,customer_clean!C:C)</f>
        <v>Basic</v>
      </c>
      <c r="F836">
        <f>_xlfn.XLOOKUP(B836,customer_clean!A:A,customer_clean!E:E)</f>
        <v>30</v>
      </c>
    </row>
    <row r="837" spans="1:6" x14ac:dyDescent="0.35">
      <c r="A837" t="s">
        <v>913</v>
      </c>
      <c r="B837">
        <v>1767</v>
      </c>
      <c r="C837" s="1">
        <v>45627</v>
      </c>
      <c r="D837">
        <v>200</v>
      </c>
      <c r="E837" t="str">
        <f>_xlfn.XLOOKUP(B837,customer_clean!A:A,customer_clean!C:C)</f>
        <v>Pro</v>
      </c>
      <c r="F837">
        <f>_xlfn.XLOOKUP(B837,customer_clean!A:A,customer_clean!E:E)</f>
        <v>100</v>
      </c>
    </row>
    <row r="838" spans="1:6" x14ac:dyDescent="0.35">
      <c r="A838" t="s">
        <v>914</v>
      </c>
      <c r="B838">
        <v>1767</v>
      </c>
      <c r="C838" s="1">
        <v>45658</v>
      </c>
      <c r="D838">
        <v>200</v>
      </c>
      <c r="E838" t="str">
        <f>_xlfn.XLOOKUP(B838,customer_clean!A:A,customer_clean!C:C)</f>
        <v>Pro</v>
      </c>
      <c r="F838">
        <f>_xlfn.XLOOKUP(B838,customer_clean!A:A,customer_clean!E:E)</f>
        <v>100</v>
      </c>
    </row>
    <row r="839" spans="1:6" x14ac:dyDescent="0.35">
      <c r="A839" t="s">
        <v>915</v>
      </c>
      <c r="B839">
        <v>1767</v>
      </c>
      <c r="C839" s="1">
        <v>45689</v>
      </c>
      <c r="D839">
        <v>200</v>
      </c>
      <c r="E839" t="str">
        <f>_xlfn.XLOOKUP(B839,customer_clean!A:A,customer_clean!C:C)</f>
        <v>Pro</v>
      </c>
      <c r="F839">
        <f>_xlfn.XLOOKUP(B839,customer_clean!A:A,customer_clean!E:E)</f>
        <v>100</v>
      </c>
    </row>
    <row r="840" spans="1:6" x14ac:dyDescent="0.35">
      <c r="A840" t="s">
        <v>916</v>
      </c>
      <c r="B840">
        <v>1767</v>
      </c>
      <c r="C840" s="1">
        <v>45717</v>
      </c>
      <c r="D840">
        <v>200</v>
      </c>
      <c r="E840" t="str">
        <f>_xlfn.XLOOKUP(B840,customer_clean!A:A,customer_clean!C:C)</f>
        <v>Pro</v>
      </c>
      <c r="F840">
        <f>_xlfn.XLOOKUP(B840,customer_clean!A:A,customer_clean!E:E)</f>
        <v>100</v>
      </c>
    </row>
    <row r="841" spans="1:6" x14ac:dyDescent="0.35">
      <c r="A841" t="s">
        <v>917</v>
      </c>
      <c r="B841">
        <v>1768</v>
      </c>
      <c r="C841" s="1">
        <v>45809</v>
      </c>
      <c r="D841">
        <v>200</v>
      </c>
      <c r="E841" t="str">
        <f>_xlfn.XLOOKUP(B841,customer_clean!A:A,customer_clean!C:C)</f>
        <v>Pro</v>
      </c>
      <c r="F841">
        <f>_xlfn.XLOOKUP(B841,customer_clean!A:A,customer_clean!E:E)</f>
        <v>100</v>
      </c>
    </row>
    <row r="842" spans="1:6" x14ac:dyDescent="0.35">
      <c r="A842" t="s">
        <v>918</v>
      </c>
      <c r="B842">
        <v>1791</v>
      </c>
      <c r="C842" s="1">
        <v>45778</v>
      </c>
      <c r="D842">
        <v>200</v>
      </c>
      <c r="E842" t="str">
        <f>_xlfn.XLOOKUP(B842,customer_clean!A:A,customer_clean!C:C)</f>
        <v>Pro</v>
      </c>
      <c r="F842">
        <f>_xlfn.XLOOKUP(B842,customer_clean!A:A,customer_clean!E:E)</f>
        <v>100</v>
      </c>
    </row>
    <row r="843" spans="1:6" x14ac:dyDescent="0.35">
      <c r="A843" t="s">
        <v>919</v>
      </c>
      <c r="B843">
        <v>1806</v>
      </c>
      <c r="C843" s="1">
        <v>45627</v>
      </c>
      <c r="D843">
        <v>500</v>
      </c>
      <c r="E843" t="str">
        <f>_xlfn.XLOOKUP(B843,customer_clean!A:A,customer_clean!C:C)</f>
        <v>Enterprise</v>
      </c>
      <c r="F843">
        <f>_xlfn.XLOOKUP(B843,customer_clean!A:A,customer_clean!E:E)</f>
        <v>200</v>
      </c>
    </row>
    <row r="844" spans="1:6" x14ac:dyDescent="0.35">
      <c r="A844" t="s">
        <v>920</v>
      </c>
      <c r="B844">
        <v>1806</v>
      </c>
      <c r="C844" s="1">
        <v>45658</v>
      </c>
      <c r="D844">
        <v>500</v>
      </c>
      <c r="E844" t="str">
        <f>_xlfn.XLOOKUP(B844,customer_clean!A:A,customer_clean!C:C)</f>
        <v>Enterprise</v>
      </c>
      <c r="F844">
        <f>_xlfn.XLOOKUP(B844,customer_clean!A:A,customer_clean!E:E)</f>
        <v>200</v>
      </c>
    </row>
    <row r="845" spans="1:6" x14ac:dyDescent="0.35">
      <c r="A845" t="s">
        <v>921</v>
      </c>
      <c r="B845">
        <v>1806</v>
      </c>
      <c r="C845" s="1">
        <v>45689</v>
      </c>
      <c r="D845">
        <v>500</v>
      </c>
      <c r="E845" t="str">
        <f>_xlfn.XLOOKUP(B845,customer_clean!A:A,customer_clean!C:C)</f>
        <v>Enterprise</v>
      </c>
      <c r="F845">
        <f>_xlfn.XLOOKUP(B845,customer_clean!A:A,customer_clean!E:E)</f>
        <v>200</v>
      </c>
    </row>
    <row r="846" spans="1:6" x14ac:dyDescent="0.35">
      <c r="A846" t="s">
        <v>922</v>
      </c>
      <c r="B846">
        <v>1806</v>
      </c>
      <c r="C846" s="1">
        <v>45717</v>
      </c>
      <c r="D846">
        <v>500</v>
      </c>
      <c r="E846" t="str">
        <f>_xlfn.XLOOKUP(B846,customer_clean!A:A,customer_clean!C:C)</f>
        <v>Enterprise</v>
      </c>
      <c r="F846">
        <f>_xlfn.XLOOKUP(B846,customer_clean!A:A,customer_clean!E:E)</f>
        <v>200</v>
      </c>
    </row>
    <row r="847" spans="1:6" x14ac:dyDescent="0.35">
      <c r="A847" t="s">
        <v>923</v>
      </c>
      <c r="B847">
        <v>1807</v>
      </c>
      <c r="C847" s="1">
        <v>45627</v>
      </c>
      <c r="D847">
        <v>50</v>
      </c>
      <c r="E847" t="str">
        <f>_xlfn.XLOOKUP(B847,customer_clean!A:A,customer_clean!C:C)</f>
        <v>Basic</v>
      </c>
      <c r="F847">
        <f>_xlfn.XLOOKUP(B847,customer_clean!A:A,customer_clean!E:E)</f>
        <v>30</v>
      </c>
    </row>
    <row r="848" spans="1:6" x14ac:dyDescent="0.35">
      <c r="A848" t="s">
        <v>924</v>
      </c>
      <c r="B848">
        <v>1807</v>
      </c>
      <c r="C848" s="1">
        <v>45658</v>
      </c>
      <c r="D848">
        <v>50</v>
      </c>
      <c r="E848" t="str">
        <f>_xlfn.XLOOKUP(B848,customer_clean!A:A,customer_clean!C:C)</f>
        <v>Basic</v>
      </c>
      <c r="F848">
        <f>_xlfn.XLOOKUP(B848,customer_clean!A:A,customer_clean!E:E)</f>
        <v>30</v>
      </c>
    </row>
    <row r="849" spans="1:6" x14ac:dyDescent="0.35">
      <c r="A849" t="s">
        <v>925</v>
      </c>
      <c r="B849">
        <v>1807</v>
      </c>
      <c r="C849" s="1">
        <v>45689</v>
      </c>
      <c r="D849">
        <v>50</v>
      </c>
      <c r="E849" t="str">
        <f>_xlfn.XLOOKUP(B849,customer_clean!A:A,customer_clean!C:C)</f>
        <v>Basic</v>
      </c>
      <c r="F849">
        <f>_xlfn.XLOOKUP(B849,customer_clean!A:A,customer_clean!E:E)</f>
        <v>30</v>
      </c>
    </row>
    <row r="850" spans="1:6" x14ac:dyDescent="0.35">
      <c r="A850" t="s">
        <v>926</v>
      </c>
      <c r="B850">
        <v>1807</v>
      </c>
      <c r="C850" s="1">
        <v>45717</v>
      </c>
      <c r="D850">
        <v>50</v>
      </c>
      <c r="E850" t="str">
        <f>_xlfn.XLOOKUP(B850,customer_clean!A:A,customer_clean!C:C)</f>
        <v>Basic</v>
      </c>
      <c r="F850">
        <f>_xlfn.XLOOKUP(B850,customer_clean!A:A,customer_clean!E:E)</f>
        <v>30</v>
      </c>
    </row>
    <row r="851" spans="1:6" x14ac:dyDescent="0.35">
      <c r="A851" t="s">
        <v>927</v>
      </c>
      <c r="B851">
        <v>1810</v>
      </c>
      <c r="C851" s="1">
        <v>45627</v>
      </c>
      <c r="D851">
        <v>500</v>
      </c>
      <c r="E851" t="str">
        <f>_xlfn.XLOOKUP(B851,customer_clean!A:A,customer_clean!C:C)</f>
        <v>Enterprise</v>
      </c>
      <c r="F851">
        <f>_xlfn.XLOOKUP(B851,customer_clean!A:A,customer_clean!E:E)</f>
        <v>200</v>
      </c>
    </row>
    <row r="852" spans="1:6" x14ac:dyDescent="0.35">
      <c r="A852" t="s">
        <v>928</v>
      </c>
      <c r="B852">
        <v>1810</v>
      </c>
      <c r="C852" s="1">
        <v>45658</v>
      </c>
      <c r="D852">
        <v>500</v>
      </c>
      <c r="E852" t="str">
        <f>_xlfn.XLOOKUP(B852,customer_clean!A:A,customer_clean!C:C)</f>
        <v>Enterprise</v>
      </c>
      <c r="F852">
        <f>_xlfn.XLOOKUP(B852,customer_clean!A:A,customer_clean!E:E)</f>
        <v>200</v>
      </c>
    </row>
    <row r="853" spans="1:6" x14ac:dyDescent="0.35">
      <c r="A853" t="s">
        <v>929</v>
      </c>
      <c r="B853">
        <v>1810</v>
      </c>
      <c r="C853" s="1">
        <v>45689</v>
      </c>
      <c r="D853">
        <v>500</v>
      </c>
      <c r="E853" t="str">
        <f>_xlfn.XLOOKUP(B853,customer_clean!A:A,customer_clean!C:C)</f>
        <v>Enterprise</v>
      </c>
      <c r="F853">
        <f>_xlfn.XLOOKUP(B853,customer_clean!A:A,customer_clean!E:E)</f>
        <v>200</v>
      </c>
    </row>
    <row r="854" spans="1:6" x14ac:dyDescent="0.35">
      <c r="A854" t="s">
        <v>930</v>
      </c>
      <c r="B854">
        <v>1810</v>
      </c>
      <c r="C854" s="1">
        <v>45717</v>
      </c>
      <c r="D854">
        <v>500</v>
      </c>
      <c r="E854" t="str">
        <f>_xlfn.XLOOKUP(B854,customer_clean!A:A,customer_clean!C:C)</f>
        <v>Enterprise</v>
      </c>
      <c r="F854">
        <f>_xlfn.XLOOKUP(B854,customer_clean!A:A,customer_clean!E:E)</f>
        <v>200</v>
      </c>
    </row>
    <row r="855" spans="1:6" x14ac:dyDescent="0.35">
      <c r="A855" t="s">
        <v>931</v>
      </c>
      <c r="B855">
        <v>1817</v>
      </c>
      <c r="C855" s="1">
        <v>45383</v>
      </c>
      <c r="D855">
        <v>500</v>
      </c>
      <c r="E855" t="str">
        <f>_xlfn.XLOOKUP(B855,customer_clean!A:A,customer_clean!C:C)</f>
        <v>Enterprise</v>
      </c>
      <c r="F855">
        <f>_xlfn.XLOOKUP(B855,customer_clean!A:A,customer_clean!E:E)</f>
        <v>200</v>
      </c>
    </row>
    <row r="856" spans="1:6" x14ac:dyDescent="0.35">
      <c r="A856" t="s">
        <v>932</v>
      </c>
      <c r="B856">
        <v>1817</v>
      </c>
      <c r="C856" s="1">
        <v>45413</v>
      </c>
      <c r="D856">
        <v>500</v>
      </c>
      <c r="E856" t="str">
        <f>_xlfn.XLOOKUP(B856,customer_clean!A:A,customer_clean!C:C)</f>
        <v>Enterprise</v>
      </c>
      <c r="F856">
        <f>_xlfn.XLOOKUP(B856,customer_clean!A:A,customer_clean!E:E)</f>
        <v>200</v>
      </c>
    </row>
    <row r="857" spans="1:6" x14ac:dyDescent="0.35">
      <c r="A857" t="s">
        <v>933</v>
      </c>
      <c r="B857">
        <v>1822</v>
      </c>
      <c r="C857" s="1">
        <v>45689</v>
      </c>
      <c r="D857">
        <v>50</v>
      </c>
      <c r="E857" t="str">
        <f>_xlfn.XLOOKUP(B857,customer_clean!A:A,customer_clean!C:C)</f>
        <v>Basic</v>
      </c>
      <c r="F857">
        <f>_xlfn.XLOOKUP(B857,customer_clean!A:A,customer_clean!E:E)</f>
        <v>30</v>
      </c>
    </row>
    <row r="858" spans="1:6" x14ac:dyDescent="0.35">
      <c r="A858" t="s">
        <v>934</v>
      </c>
      <c r="B858">
        <v>1822</v>
      </c>
      <c r="C858" s="1">
        <v>45717</v>
      </c>
      <c r="D858">
        <v>50</v>
      </c>
      <c r="E858" t="str">
        <f>_xlfn.XLOOKUP(B858,customer_clean!A:A,customer_clean!C:C)</f>
        <v>Basic</v>
      </c>
      <c r="F858">
        <f>_xlfn.XLOOKUP(B858,customer_clean!A:A,customer_clean!E:E)</f>
        <v>30</v>
      </c>
    </row>
    <row r="859" spans="1:6" x14ac:dyDescent="0.35">
      <c r="A859" t="s">
        <v>935</v>
      </c>
      <c r="B859">
        <v>1824</v>
      </c>
      <c r="C859" s="1">
        <v>45778</v>
      </c>
      <c r="D859">
        <v>200</v>
      </c>
      <c r="E859" t="str">
        <f>_xlfn.XLOOKUP(B859,customer_clean!A:A,customer_clean!C:C)</f>
        <v>Pro</v>
      </c>
      <c r="F859">
        <f>_xlfn.XLOOKUP(B859,customer_clean!A:A,customer_clean!E:E)</f>
        <v>100</v>
      </c>
    </row>
    <row r="860" spans="1:6" x14ac:dyDescent="0.35">
      <c r="A860" t="s">
        <v>936</v>
      </c>
      <c r="B860">
        <v>1834</v>
      </c>
      <c r="C860" s="1">
        <v>45717</v>
      </c>
      <c r="D860">
        <v>200</v>
      </c>
      <c r="E860" t="str">
        <f>_xlfn.XLOOKUP(B860,customer_clean!A:A,customer_clean!C:C)</f>
        <v>Pro</v>
      </c>
      <c r="F860">
        <f>_xlfn.XLOOKUP(B860,customer_clean!A:A,customer_clean!E:E)</f>
        <v>100</v>
      </c>
    </row>
    <row r="861" spans="1:6" x14ac:dyDescent="0.35">
      <c r="A861" t="s">
        <v>937</v>
      </c>
      <c r="B861">
        <v>1834</v>
      </c>
      <c r="C861" s="1">
        <v>45748</v>
      </c>
      <c r="D861">
        <v>200</v>
      </c>
      <c r="E861" t="str">
        <f>_xlfn.XLOOKUP(B861,customer_clean!A:A,customer_clean!C:C)</f>
        <v>Pro</v>
      </c>
      <c r="F861">
        <f>_xlfn.XLOOKUP(B861,customer_clean!A:A,customer_clean!E:E)</f>
        <v>100</v>
      </c>
    </row>
    <row r="862" spans="1:6" x14ac:dyDescent="0.35">
      <c r="A862" t="s">
        <v>938</v>
      </c>
      <c r="B862">
        <v>1834</v>
      </c>
      <c r="C862" s="1">
        <v>45778</v>
      </c>
      <c r="D862">
        <v>200</v>
      </c>
      <c r="E862" t="str">
        <f>_xlfn.XLOOKUP(B862,customer_clean!A:A,customer_clean!C:C)</f>
        <v>Pro</v>
      </c>
      <c r="F862">
        <f>_xlfn.XLOOKUP(B862,customer_clean!A:A,customer_clean!E:E)</f>
        <v>100</v>
      </c>
    </row>
    <row r="863" spans="1:6" x14ac:dyDescent="0.35">
      <c r="A863" t="s">
        <v>939</v>
      </c>
      <c r="B863">
        <v>1844</v>
      </c>
      <c r="C863" s="1">
        <v>45323</v>
      </c>
      <c r="D863">
        <v>50</v>
      </c>
      <c r="E863" t="str">
        <f>_xlfn.XLOOKUP(B863,customer_clean!A:A,customer_clean!C:C)</f>
        <v>Basic</v>
      </c>
      <c r="F863">
        <f>_xlfn.XLOOKUP(B863,customer_clean!A:A,customer_clean!E:E)</f>
        <v>30</v>
      </c>
    </row>
    <row r="864" spans="1:6" x14ac:dyDescent="0.35">
      <c r="A864" t="s">
        <v>940</v>
      </c>
      <c r="B864">
        <v>1844</v>
      </c>
      <c r="C864" s="1">
        <v>45352</v>
      </c>
      <c r="D864">
        <v>50</v>
      </c>
      <c r="E864" t="str">
        <f>_xlfn.XLOOKUP(B864,customer_clean!A:A,customer_clean!C:C)</f>
        <v>Basic</v>
      </c>
      <c r="F864">
        <f>_xlfn.XLOOKUP(B864,customer_clean!A:A,customer_clean!E:E)</f>
        <v>30</v>
      </c>
    </row>
    <row r="865" spans="1:6" x14ac:dyDescent="0.35">
      <c r="A865" t="s">
        <v>941</v>
      </c>
      <c r="B865">
        <v>1844</v>
      </c>
      <c r="C865" s="1">
        <v>45383</v>
      </c>
      <c r="D865">
        <v>50</v>
      </c>
      <c r="E865" t="str">
        <f>_xlfn.XLOOKUP(B865,customer_clean!A:A,customer_clean!C:C)</f>
        <v>Basic</v>
      </c>
      <c r="F865">
        <f>_xlfn.XLOOKUP(B865,customer_clean!A:A,customer_clean!E:E)</f>
        <v>30</v>
      </c>
    </row>
    <row r="866" spans="1:6" x14ac:dyDescent="0.35">
      <c r="A866" t="s">
        <v>942</v>
      </c>
      <c r="B866">
        <v>1844</v>
      </c>
      <c r="C866" s="1">
        <v>45413</v>
      </c>
      <c r="D866">
        <v>50</v>
      </c>
      <c r="E866" t="str">
        <f>_xlfn.XLOOKUP(B866,customer_clean!A:A,customer_clean!C:C)</f>
        <v>Basic</v>
      </c>
      <c r="F866">
        <f>_xlfn.XLOOKUP(B866,customer_clean!A:A,customer_clean!E:E)</f>
        <v>30</v>
      </c>
    </row>
    <row r="867" spans="1:6" x14ac:dyDescent="0.35">
      <c r="A867" t="s">
        <v>943</v>
      </c>
      <c r="B867">
        <v>1844</v>
      </c>
      <c r="C867" s="1">
        <v>45444</v>
      </c>
      <c r="D867">
        <v>50</v>
      </c>
      <c r="E867" t="str">
        <f>_xlfn.XLOOKUP(B867,customer_clean!A:A,customer_clean!C:C)</f>
        <v>Basic</v>
      </c>
      <c r="F867">
        <f>_xlfn.XLOOKUP(B867,customer_clean!A:A,customer_clean!E:E)</f>
        <v>30</v>
      </c>
    </row>
    <row r="868" spans="1:6" x14ac:dyDescent="0.35">
      <c r="A868" t="s">
        <v>944</v>
      </c>
      <c r="B868">
        <v>1844</v>
      </c>
      <c r="C868" s="1">
        <v>45474</v>
      </c>
      <c r="D868">
        <v>50</v>
      </c>
      <c r="E868" t="str">
        <f>_xlfn.XLOOKUP(B868,customer_clean!A:A,customer_clean!C:C)</f>
        <v>Basic</v>
      </c>
      <c r="F868">
        <f>_xlfn.XLOOKUP(B868,customer_clean!A:A,customer_clean!E:E)</f>
        <v>30</v>
      </c>
    </row>
    <row r="869" spans="1:6" x14ac:dyDescent="0.35">
      <c r="A869" t="s">
        <v>945</v>
      </c>
      <c r="B869">
        <v>1844</v>
      </c>
      <c r="C869" s="1">
        <v>45505</v>
      </c>
      <c r="D869">
        <v>50</v>
      </c>
      <c r="E869" t="str">
        <f>_xlfn.XLOOKUP(B869,customer_clean!A:A,customer_clean!C:C)</f>
        <v>Basic</v>
      </c>
      <c r="F869">
        <f>_xlfn.XLOOKUP(B869,customer_clean!A:A,customer_clean!E:E)</f>
        <v>30</v>
      </c>
    </row>
    <row r="870" spans="1:6" x14ac:dyDescent="0.35">
      <c r="A870" t="s">
        <v>946</v>
      </c>
      <c r="B870">
        <v>1844</v>
      </c>
      <c r="C870" s="1">
        <v>45536</v>
      </c>
      <c r="D870">
        <v>50</v>
      </c>
      <c r="E870" t="str">
        <f>_xlfn.XLOOKUP(B870,customer_clean!A:A,customer_clean!C:C)</f>
        <v>Basic</v>
      </c>
      <c r="F870">
        <f>_xlfn.XLOOKUP(B870,customer_clean!A:A,customer_clean!E:E)</f>
        <v>30</v>
      </c>
    </row>
    <row r="871" spans="1:6" x14ac:dyDescent="0.35">
      <c r="A871" t="s">
        <v>947</v>
      </c>
      <c r="B871">
        <v>1844</v>
      </c>
      <c r="C871" s="1">
        <v>45566</v>
      </c>
      <c r="D871">
        <v>50</v>
      </c>
      <c r="E871" t="str">
        <f>_xlfn.XLOOKUP(B871,customer_clean!A:A,customer_clean!C:C)</f>
        <v>Basic</v>
      </c>
      <c r="F871">
        <f>_xlfn.XLOOKUP(B871,customer_clean!A:A,customer_clean!E:E)</f>
        <v>30</v>
      </c>
    </row>
    <row r="872" spans="1:6" x14ac:dyDescent="0.35">
      <c r="A872" t="s">
        <v>948</v>
      </c>
      <c r="B872">
        <v>1844</v>
      </c>
      <c r="C872" s="1">
        <v>45597</v>
      </c>
      <c r="D872">
        <v>50</v>
      </c>
      <c r="E872" t="str">
        <f>_xlfn.XLOOKUP(B872,customer_clean!A:A,customer_clean!C:C)</f>
        <v>Basic</v>
      </c>
      <c r="F872">
        <f>_xlfn.XLOOKUP(B872,customer_clean!A:A,customer_clean!E:E)</f>
        <v>30</v>
      </c>
    </row>
    <row r="873" spans="1:6" x14ac:dyDescent="0.35">
      <c r="A873" t="s">
        <v>949</v>
      </c>
      <c r="B873">
        <v>1844</v>
      </c>
      <c r="C873" s="1">
        <v>45627</v>
      </c>
      <c r="D873">
        <v>50</v>
      </c>
      <c r="E873" t="str">
        <f>_xlfn.XLOOKUP(B873,customer_clean!A:A,customer_clean!C:C)</f>
        <v>Basic</v>
      </c>
      <c r="F873">
        <f>_xlfn.XLOOKUP(B873,customer_clean!A:A,customer_clean!E:E)</f>
        <v>30</v>
      </c>
    </row>
    <row r="874" spans="1:6" x14ac:dyDescent="0.35">
      <c r="A874" t="s">
        <v>950</v>
      </c>
      <c r="B874">
        <v>1844</v>
      </c>
      <c r="C874" s="1">
        <v>45658</v>
      </c>
      <c r="D874">
        <v>50</v>
      </c>
      <c r="E874" t="str">
        <f>_xlfn.XLOOKUP(B874,customer_clean!A:A,customer_clean!C:C)</f>
        <v>Basic</v>
      </c>
      <c r="F874">
        <f>_xlfn.XLOOKUP(B874,customer_clean!A:A,customer_clean!E:E)</f>
        <v>30</v>
      </c>
    </row>
    <row r="875" spans="1:6" x14ac:dyDescent="0.35">
      <c r="A875" t="s">
        <v>951</v>
      </c>
      <c r="B875">
        <v>1844</v>
      </c>
      <c r="C875" s="1">
        <v>45689</v>
      </c>
      <c r="D875">
        <v>50</v>
      </c>
      <c r="E875" t="str">
        <f>_xlfn.XLOOKUP(B875,customer_clean!A:A,customer_clean!C:C)</f>
        <v>Basic</v>
      </c>
      <c r="F875">
        <f>_xlfn.XLOOKUP(B875,customer_clean!A:A,customer_clean!E:E)</f>
        <v>30</v>
      </c>
    </row>
    <row r="876" spans="1:6" x14ac:dyDescent="0.35">
      <c r="A876" t="s">
        <v>952</v>
      </c>
      <c r="B876">
        <v>1844</v>
      </c>
      <c r="C876" s="1">
        <v>45717</v>
      </c>
      <c r="D876">
        <v>50</v>
      </c>
      <c r="E876" t="str">
        <f>_xlfn.XLOOKUP(B876,customer_clean!A:A,customer_clean!C:C)</f>
        <v>Basic</v>
      </c>
      <c r="F876">
        <f>_xlfn.XLOOKUP(B876,customer_clean!A:A,customer_clean!E:E)</f>
        <v>30</v>
      </c>
    </row>
    <row r="877" spans="1:6" x14ac:dyDescent="0.35">
      <c r="A877" t="s">
        <v>953</v>
      </c>
      <c r="B877">
        <v>1876</v>
      </c>
      <c r="C877" s="1">
        <v>45627</v>
      </c>
      <c r="D877">
        <v>50</v>
      </c>
      <c r="E877" t="str">
        <f>_xlfn.XLOOKUP(B877,customer_clean!A:A,customer_clean!C:C)</f>
        <v>Basic</v>
      </c>
      <c r="F877">
        <f>_xlfn.XLOOKUP(B877,customer_clean!A:A,customer_clean!E:E)</f>
        <v>30</v>
      </c>
    </row>
    <row r="878" spans="1:6" x14ac:dyDescent="0.35">
      <c r="A878" t="s">
        <v>954</v>
      </c>
      <c r="B878">
        <v>1876</v>
      </c>
      <c r="C878" s="1">
        <v>45658</v>
      </c>
      <c r="D878">
        <v>50</v>
      </c>
      <c r="E878" t="str">
        <f>_xlfn.XLOOKUP(B878,customer_clean!A:A,customer_clean!C:C)</f>
        <v>Basic</v>
      </c>
      <c r="F878">
        <f>_xlfn.XLOOKUP(B878,customer_clean!A:A,customer_clean!E:E)</f>
        <v>30</v>
      </c>
    </row>
    <row r="879" spans="1:6" x14ac:dyDescent="0.35">
      <c r="A879" t="s">
        <v>955</v>
      </c>
      <c r="B879">
        <v>1876</v>
      </c>
      <c r="C879" s="1">
        <v>45689</v>
      </c>
      <c r="D879">
        <v>50</v>
      </c>
      <c r="E879" t="str">
        <f>_xlfn.XLOOKUP(B879,customer_clean!A:A,customer_clean!C:C)</f>
        <v>Basic</v>
      </c>
      <c r="F879">
        <f>_xlfn.XLOOKUP(B879,customer_clean!A:A,customer_clean!E:E)</f>
        <v>30</v>
      </c>
    </row>
    <row r="880" spans="1:6" x14ac:dyDescent="0.35">
      <c r="A880" t="s">
        <v>956</v>
      </c>
      <c r="B880">
        <v>1876</v>
      </c>
      <c r="C880" s="1">
        <v>45717</v>
      </c>
      <c r="D880">
        <v>50</v>
      </c>
      <c r="E880" t="str">
        <f>_xlfn.XLOOKUP(B880,customer_clean!A:A,customer_clean!C:C)</f>
        <v>Basic</v>
      </c>
      <c r="F880">
        <f>_xlfn.XLOOKUP(B880,customer_clean!A:A,customer_clean!E:E)</f>
        <v>30</v>
      </c>
    </row>
    <row r="881" spans="1:6" x14ac:dyDescent="0.35">
      <c r="A881" t="s">
        <v>957</v>
      </c>
      <c r="B881">
        <v>1876</v>
      </c>
      <c r="C881" s="1">
        <v>45748</v>
      </c>
      <c r="D881">
        <v>50</v>
      </c>
      <c r="E881" t="str">
        <f>_xlfn.XLOOKUP(B881,customer_clean!A:A,customer_clean!C:C)</f>
        <v>Basic</v>
      </c>
      <c r="F881">
        <f>_xlfn.XLOOKUP(B881,customer_clean!A:A,customer_clean!E:E)</f>
        <v>30</v>
      </c>
    </row>
    <row r="882" spans="1:6" x14ac:dyDescent="0.35">
      <c r="A882" t="s">
        <v>958</v>
      </c>
      <c r="B882">
        <v>1876</v>
      </c>
      <c r="C882" s="1">
        <v>45778</v>
      </c>
      <c r="D882">
        <v>50</v>
      </c>
      <c r="E882" t="str">
        <f>_xlfn.XLOOKUP(B882,customer_clean!A:A,customer_clean!C:C)</f>
        <v>Basic</v>
      </c>
      <c r="F882">
        <f>_xlfn.XLOOKUP(B882,customer_clean!A:A,customer_clean!E:E)</f>
        <v>30</v>
      </c>
    </row>
    <row r="883" spans="1:6" x14ac:dyDescent="0.35">
      <c r="A883" t="s">
        <v>959</v>
      </c>
      <c r="B883">
        <v>1883</v>
      </c>
      <c r="C883" s="1">
        <v>45689</v>
      </c>
      <c r="D883">
        <v>50</v>
      </c>
      <c r="E883" t="str">
        <f>_xlfn.XLOOKUP(B883,customer_clean!A:A,customer_clean!C:C)</f>
        <v>Basic</v>
      </c>
      <c r="F883">
        <f>_xlfn.XLOOKUP(B883,customer_clean!A:A,customer_clean!E:E)</f>
        <v>30</v>
      </c>
    </row>
    <row r="884" spans="1:6" x14ac:dyDescent="0.35">
      <c r="A884" t="s">
        <v>960</v>
      </c>
      <c r="B884">
        <v>1883</v>
      </c>
      <c r="C884" s="1">
        <v>45717</v>
      </c>
      <c r="D884">
        <v>50</v>
      </c>
      <c r="E884" t="str">
        <f>_xlfn.XLOOKUP(B884,customer_clean!A:A,customer_clean!C:C)</f>
        <v>Basic</v>
      </c>
      <c r="F884">
        <f>_xlfn.XLOOKUP(B884,customer_clean!A:A,customer_clean!E:E)</f>
        <v>30</v>
      </c>
    </row>
    <row r="885" spans="1:6" x14ac:dyDescent="0.35">
      <c r="A885" t="s">
        <v>961</v>
      </c>
      <c r="B885">
        <v>1889</v>
      </c>
      <c r="C885" s="1">
        <v>45292</v>
      </c>
      <c r="D885">
        <v>50</v>
      </c>
      <c r="E885" t="str">
        <f>_xlfn.XLOOKUP(B885,customer_clean!A:A,customer_clean!C:C)</f>
        <v>Basic</v>
      </c>
      <c r="F885">
        <f>_xlfn.XLOOKUP(B885,customer_clean!A:A,customer_clean!E:E)</f>
        <v>30</v>
      </c>
    </row>
    <row r="886" spans="1:6" x14ac:dyDescent="0.35">
      <c r="A886" t="s">
        <v>962</v>
      </c>
      <c r="B886">
        <v>1889</v>
      </c>
      <c r="C886" s="1">
        <v>45323</v>
      </c>
      <c r="D886">
        <v>50</v>
      </c>
      <c r="E886" t="str">
        <f>_xlfn.XLOOKUP(B886,customer_clean!A:A,customer_clean!C:C)</f>
        <v>Basic</v>
      </c>
      <c r="F886">
        <f>_xlfn.XLOOKUP(B886,customer_clean!A:A,customer_clean!E:E)</f>
        <v>30</v>
      </c>
    </row>
    <row r="887" spans="1:6" x14ac:dyDescent="0.35">
      <c r="A887" t="s">
        <v>963</v>
      </c>
      <c r="B887">
        <v>1889</v>
      </c>
      <c r="C887" s="1">
        <v>45352</v>
      </c>
      <c r="D887">
        <v>50</v>
      </c>
      <c r="E887" t="str">
        <f>_xlfn.XLOOKUP(B887,customer_clean!A:A,customer_clean!C:C)</f>
        <v>Basic</v>
      </c>
      <c r="F887">
        <f>_xlfn.XLOOKUP(B887,customer_clean!A:A,customer_clean!E:E)</f>
        <v>30</v>
      </c>
    </row>
    <row r="888" spans="1:6" x14ac:dyDescent="0.35">
      <c r="A888" t="s">
        <v>964</v>
      </c>
      <c r="B888">
        <v>1889</v>
      </c>
      <c r="C888" s="1">
        <v>45383</v>
      </c>
      <c r="D888">
        <v>50</v>
      </c>
      <c r="E888" t="str">
        <f>_xlfn.XLOOKUP(B888,customer_clean!A:A,customer_clean!C:C)</f>
        <v>Basic</v>
      </c>
      <c r="F888">
        <f>_xlfn.XLOOKUP(B888,customer_clean!A:A,customer_clean!E:E)</f>
        <v>30</v>
      </c>
    </row>
    <row r="889" spans="1:6" x14ac:dyDescent="0.35">
      <c r="A889" t="s">
        <v>965</v>
      </c>
      <c r="B889">
        <v>1889</v>
      </c>
      <c r="C889" s="1">
        <v>45413</v>
      </c>
      <c r="D889">
        <v>50</v>
      </c>
      <c r="E889" t="str">
        <f>_xlfn.XLOOKUP(B889,customer_clean!A:A,customer_clean!C:C)</f>
        <v>Basic</v>
      </c>
      <c r="F889">
        <f>_xlfn.XLOOKUP(B889,customer_clean!A:A,customer_clean!E:E)</f>
        <v>30</v>
      </c>
    </row>
    <row r="890" spans="1:6" x14ac:dyDescent="0.35">
      <c r="A890" t="s">
        <v>966</v>
      </c>
      <c r="B890">
        <v>1889</v>
      </c>
      <c r="C890" s="1">
        <v>45444</v>
      </c>
      <c r="D890">
        <v>50</v>
      </c>
      <c r="E890" t="str">
        <f>_xlfn.XLOOKUP(B890,customer_clean!A:A,customer_clean!C:C)</f>
        <v>Basic</v>
      </c>
      <c r="F890">
        <f>_xlfn.XLOOKUP(B890,customer_clean!A:A,customer_clean!E:E)</f>
        <v>30</v>
      </c>
    </row>
    <row r="891" spans="1:6" x14ac:dyDescent="0.35">
      <c r="A891" t="s">
        <v>967</v>
      </c>
      <c r="B891">
        <v>1889</v>
      </c>
      <c r="C891" s="1">
        <v>45474</v>
      </c>
      <c r="D891">
        <v>50</v>
      </c>
      <c r="E891" t="str">
        <f>_xlfn.XLOOKUP(B891,customer_clean!A:A,customer_clean!C:C)</f>
        <v>Basic</v>
      </c>
      <c r="F891">
        <f>_xlfn.XLOOKUP(B891,customer_clean!A:A,customer_clean!E:E)</f>
        <v>30</v>
      </c>
    </row>
    <row r="892" spans="1:6" x14ac:dyDescent="0.35">
      <c r="A892" t="s">
        <v>968</v>
      </c>
      <c r="B892">
        <v>1889</v>
      </c>
      <c r="C892" s="1">
        <v>45505</v>
      </c>
      <c r="D892">
        <v>50</v>
      </c>
      <c r="E892" t="str">
        <f>_xlfn.XLOOKUP(B892,customer_clean!A:A,customer_clean!C:C)</f>
        <v>Basic</v>
      </c>
      <c r="F892">
        <f>_xlfn.XLOOKUP(B892,customer_clean!A:A,customer_clean!E:E)</f>
        <v>30</v>
      </c>
    </row>
    <row r="893" spans="1:6" x14ac:dyDescent="0.35">
      <c r="A893" t="s">
        <v>969</v>
      </c>
      <c r="B893">
        <v>1889</v>
      </c>
      <c r="C893" s="1">
        <v>45536</v>
      </c>
      <c r="D893">
        <v>50</v>
      </c>
      <c r="E893" t="str">
        <f>_xlfn.XLOOKUP(B893,customer_clean!A:A,customer_clean!C:C)</f>
        <v>Basic</v>
      </c>
      <c r="F893">
        <f>_xlfn.XLOOKUP(B893,customer_clean!A:A,customer_clean!E:E)</f>
        <v>30</v>
      </c>
    </row>
    <row r="894" spans="1:6" x14ac:dyDescent="0.35">
      <c r="A894" t="s">
        <v>970</v>
      </c>
      <c r="B894">
        <v>1889</v>
      </c>
      <c r="C894" s="1">
        <v>45566</v>
      </c>
      <c r="D894">
        <v>50</v>
      </c>
      <c r="E894" t="str">
        <f>_xlfn.XLOOKUP(B894,customer_clean!A:A,customer_clean!C:C)</f>
        <v>Basic</v>
      </c>
      <c r="F894">
        <f>_xlfn.XLOOKUP(B894,customer_clean!A:A,customer_clean!E:E)</f>
        <v>30</v>
      </c>
    </row>
    <row r="895" spans="1:6" x14ac:dyDescent="0.35">
      <c r="A895" t="s">
        <v>971</v>
      </c>
      <c r="B895">
        <v>1896</v>
      </c>
      <c r="C895" s="1">
        <v>45717</v>
      </c>
      <c r="D895">
        <v>50</v>
      </c>
      <c r="E895" t="str">
        <f>_xlfn.XLOOKUP(B895,customer_clean!A:A,customer_clean!C:C)</f>
        <v>Basic</v>
      </c>
      <c r="F895">
        <f>_xlfn.XLOOKUP(B895,customer_clean!A:A,customer_clean!E:E)</f>
        <v>30</v>
      </c>
    </row>
    <row r="896" spans="1:6" x14ac:dyDescent="0.35">
      <c r="A896" t="s">
        <v>972</v>
      </c>
      <c r="B896">
        <v>1896</v>
      </c>
      <c r="C896" s="1">
        <v>45748</v>
      </c>
      <c r="D896">
        <v>50</v>
      </c>
      <c r="E896" t="str">
        <f>_xlfn.XLOOKUP(B896,customer_clean!A:A,customer_clean!C:C)</f>
        <v>Basic</v>
      </c>
      <c r="F896">
        <f>_xlfn.XLOOKUP(B896,customer_clean!A:A,customer_clean!E:E)</f>
        <v>30</v>
      </c>
    </row>
    <row r="897" spans="1:6" x14ac:dyDescent="0.35">
      <c r="A897" t="s">
        <v>973</v>
      </c>
      <c r="B897">
        <v>1896</v>
      </c>
      <c r="C897" s="1">
        <v>45778</v>
      </c>
      <c r="D897">
        <v>50</v>
      </c>
      <c r="E897" t="str">
        <f>_xlfn.XLOOKUP(B897,customer_clean!A:A,customer_clean!C:C)</f>
        <v>Basic</v>
      </c>
      <c r="F897">
        <f>_xlfn.XLOOKUP(B897,customer_clean!A:A,customer_clean!E:E)</f>
        <v>30</v>
      </c>
    </row>
    <row r="898" spans="1:6" x14ac:dyDescent="0.35">
      <c r="A898" t="s">
        <v>974</v>
      </c>
      <c r="B898">
        <v>1896</v>
      </c>
      <c r="C898" s="1">
        <v>45809</v>
      </c>
      <c r="D898">
        <v>50</v>
      </c>
      <c r="E898" t="str">
        <f>_xlfn.XLOOKUP(B898,customer_clean!A:A,customer_clean!C:C)</f>
        <v>Basic</v>
      </c>
      <c r="F898">
        <f>_xlfn.XLOOKUP(B898,customer_clean!A:A,customer_clean!E:E)</f>
        <v>30</v>
      </c>
    </row>
    <row r="899" spans="1:6" x14ac:dyDescent="0.35">
      <c r="A899" t="s">
        <v>975</v>
      </c>
      <c r="B899">
        <v>1899</v>
      </c>
      <c r="C899" s="1">
        <v>45292</v>
      </c>
      <c r="D899">
        <v>200</v>
      </c>
      <c r="E899" t="str">
        <f>_xlfn.XLOOKUP(B899,customer_clean!A:A,customer_clean!C:C)</f>
        <v>Pro</v>
      </c>
      <c r="F899">
        <f>_xlfn.XLOOKUP(B899,customer_clean!A:A,customer_clean!E:E)</f>
        <v>100</v>
      </c>
    </row>
    <row r="900" spans="1:6" x14ac:dyDescent="0.35">
      <c r="A900" t="s">
        <v>976</v>
      </c>
      <c r="B900">
        <v>1899</v>
      </c>
      <c r="C900" s="1">
        <v>45323</v>
      </c>
      <c r="D900">
        <v>200</v>
      </c>
      <c r="E900" t="str">
        <f>_xlfn.XLOOKUP(B900,customer_clean!A:A,customer_clean!C:C)</f>
        <v>Pro</v>
      </c>
      <c r="F900">
        <f>_xlfn.XLOOKUP(B900,customer_clean!A:A,customer_clean!E:E)</f>
        <v>100</v>
      </c>
    </row>
    <row r="901" spans="1:6" x14ac:dyDescent="0.35">
      <c r="A901" t="s">
        <v>977</v>
      </c>
      <c r="B901">
        <v>1899</v>
      </c>
      <c r="C901" s="1">
        <v>45352</v>
      </c>
      <c r="D901">
        <v>200</v>
      </c>
      <c r="E901" t="str">
        <f>_xlfn.XLOOKUP(B901,customer_clean!A:A,customer_clean!C:C)</f>
        <v>Pro</v>
      </c>
      <c r="F901">
        <f>_xlfn.XLOOKUP(B901,customer_clean!A:A,customer_clean!E:E)</f>
        <v>100</v>
      </c>
    </row>
    <row r="902" spans="1:6" x14ac:dyDescent="0.35">
      <c r="A902" t="s">
        <v>978</v>
      </c>
      <c r="B902">
        <v>1899</v>
      </c>
      <c r="C902" s="1">
        <v>45383</v>
      </c>
      <c r="D902">
        <v>200</v>
      </c>
      <c r="E902" t="str">
        <f>_xlfn.XLOOKUP(B902,customer_clean!A:A,customer_clean!C:C)</f>
        <v>Pro</v>
      </c>
      <c r="F902">
        <f>_xlfn.XLOOKUP(B902,customer_clean!A:A,customer_clean!E:E)</f>
        <v>100</v>
      </c>
    </row>
    <row r="903" spans="1:6" x14ac:dyDescent="0.35">
      <c r="A903" t="s">
        <v>979</v>
      </c>
      <c r="B903">
        <v>1899</v>
      </c>
      <c r="C903" s="1">
        <v>45413</v>
      </c>
      <c r="D903">
        <v>200</v>
      </c>
      <c r="E903" t="str">
        <f>_xlfn.XLOOKUP(B903,customer_clean!A:A,customer_clean!C:C)</f>
        <v>Pro</v>
      </c>
      <c r="F903">
        <f>_xlfn.XLOOKUP(B903,customer_clean!A:A,customer_clean!E:E)</f>
        <v>100</v>
      </c>
    </row>
    <row r="904" spans="1:6" x14ac:dyDescent="0.35">
      <c r="A904" t="s">
        <v>980</v>
      </c>
      <c r="B904">
        <v>1899</v>
      </c>
      <c r="C904" s="1">
        <v>45444</v>
      </c>
      <c r="D904">
        <v>200</v>
      </c>
      <c r="E904" t="str">
        <f>_xlfn.XLOOKUP(B904,customer_clean!A:A,customer_clean!C:C)</f>
        <v>Pro</v>
      </c>
      <c r="F904">
        <f>_xlfn.XLOOKUP(B904,customer_clean!A:A,customer_clean!E:E)</f>
        <v>100</v>
      </c>
    </row>
    <row r="905" spans="1:6" x14ac:dyDescent="0.35">
      <c r="A905" t="s">
        <v>981</v>
      </c>
      <c r="B905">
        <v>1899</v>
      </c>
      <c r="C905" s="1">
        <v>45474</v>
      </c>
      <c r="D905">
        <v>200</v>
      </c>
      <c r="E905" t="str">
        <f>_xlfn.XLOOKUP(B905,customer_clean!A:A,customer_clean!C:C)</f>
        <v>Pro</v>
      </c>
      <c r="F905">
        <f>_xlfn.XLOOKUP(B905,customer_clean!A:A,customer_clean!E:E)</f>
        <v>100</v>
      </c>
    </row>
    <row r="906" spans="1:6" x14ac:dyDescent="0.35">
      <c r="A906" t="s">
        <v>982</v>
      </c>
      <c r="B906">
        <v>1899</v>
      </c>
      <c r="C906" s="1">
        <v>45505</v>
      </c>
      <c r="D906">
        <v>200</v>
      </c>
      <c r="E906" t="str">
        <f>_xlfn.XLOOKUP(B906,customer_clean!A:A,customer_clean!C:C)</f>
        <v>Pro</v>
      </c>
      <c r="F906">
        <f>_xlfn.XLOOKUP(B906,customer_clean!A:A,customer_clean!E:E)</f>
        <v>100</v>
      </c>
    </row>
    <row r="907" spans="1:6" x14ac:dyDescent="0.35">
      <c r="A907" t="s">
        <v>983</v>
      </c>
      <c r="B907">
        <v>1899</v>
      </c>
      <c r="C907" s="1">
        <v>45536</v>
      </c>
      <c r="D907">
        <v>200</v>
      </c>
      <c r="E907" t="str">
        <f>_xlfn.XLOOKUP(B907,customer_clean!A:A,customer_clean!C:C)</f>
        <v>Pro</v>
      </c>
      <c r="F907">
        <f>_xlfn.XLOOKUP(B907,customer_clean!A:A,customer_clean!E:E)</f>
        <v>100</v>
      </c>
    </row>
    <row r="908" spans="1:6" x14ac:dyDescent="0.35">
      <c r="A908" t="s">
        <v>984</v>
      </c>
      <c r="B908">
        <v>1899</v>
      </c>
      <c r="C908" s="1">
        <v>45566</v>
      </c>
      <c r="D908">
        <v>200</v>
      </c>
      <c r="E908" t="str">
        <f>_xlfn.XLOOKUP(B908,customer_clean!A:A,customer_clean!C:C)</f>
        <v>Pro</v>
      </c>
      <c r="F908">
        <f>_xlfn.XLOOKUP(B908,customer_clean!A:A,customer_clean!E:E)</f>
        <v>100</v>
      </c>
    </row>
    <row r="909" spans="1:6" x14ac:dyDescent="0.35">
      <c r="A909" t="s">
        <v>985</v>
      </c>
      <c r="B909">
        <v>1899</v>
      </c>
      <c r="C909" s="1">
        <v>45597</v>
      </c>
      <c r="D909">
        <v>200</v>
      </c>
      <c r="E909" t="str">
        <f>_xlfn.XLOOKUP(B909,customer_clean!A:A,customer_clean!C:C)</f>
        <v>Pro</v>
      </c>
      <c r="F909">
        <f>_xlfn.XLOOKUP(B909,customer_clean!A:A,customer_clean!E:E)</f>
        <v>100</v>
      </c>
    </row>
    <row r="910" spans="1:6" x14ac:dyDescent="0.35">
      <c r="A910" t="s">
        <v>986</v>
      </c>
      <c r="B910">
        <v>1899</v>
      </c>
      <c r="C910" s="1">
        <v>45627</v>
      </c>
      <c r="D910">
        <v>200</v>
      </c>
      <c r="E910" t="str">
        <f>_xlfn.XLOOKUP(B910,customer_clean!A:A,customer_clean!C:C)</f>
        <v>Pro</v>
      </c>
      <c r="F910">
        <f>_xlfn.XLOOKUP(B910,customer_clean!A:A,customer_clean!E:E)</f>
        <v>100</v>
      </c>
    </row>
    <row r="911" spans="1:6" x14ac:dyDescent="0.35">
      <c r="A911" t="s">
        <v>987</v>
      </c>
      <c r="B911">
        <v>1900</v>
      </c>
      <c r="C911" s="1">
        <v>45717</v>
      </c>
      <c r="D911">
        <v>50</v>
      </c>
      <c r="E911" t="str">
        <f>_xlfn.XLOOKUP(B911,customer_clean!A:A,customer_clean!C:C)</f>
        <v>Basic</v>
      </c>
      <c r="F911">
        <f>_xlfn.XLOOKUP(B911,customer_clean!A:A,customer_clean!E:E)</f>
        <v>30</v>
      </c>
    </row>
    <row r="912" spans="1:6" x14ac:dyDescent="0.35">
      <c r="A912" t="s">
        <v>988</v>
      </c>
      <c r="B912">
        <v>1900</v>
      </c>
      <c r="C912" s="1">
        <v>45748</v>
      </c>
      <c r="D912">
        <v>50</v>
      </c>
      <c r="E912" t="str">
        <f>_xlfn.XLOOKUP(B912,customer_clean!A:A,customer_clean!C:C)</f>
        <v>Basic</v>
      </c>
      <c r="F912">
        <f>_xlfn.XLOOKUP(B912,customer_clean!A:A,customer_clean!E:E)</f>
        <v>30</v>
      </c>
    </row>
    <row r="913" spans="1:6" x14ac:dyDescent="0.35">
      <c r="A913" t="s">
        <v>989</v>
      </c>
      <c r="B913">
        <v>1918</v>
      </c>
      <c r="C913" s="1">
        <v>45444</v>
      </c>
      <c r="D913">
        <v>200</v>
      </c>
      <c r="E913" t="str">
        <f>_xlfn.XLOOKUP(B913,customer_clean!A:A,customer_clean!C:C)</f>
        <v>Pro</v>
      </c>
      <c r="F913">
        <f>_xlfn.XLOOKUP(B913,customer_clean!A:A,customer_clean!E:E)</f>
        <v>100</v>
      </c>
    </row>
    <row r="914" spans="1:6" x14ac:dyDescent="0.35">
      <c r="A914" t="s">
        <v>990</v>
      </c>
      <c r="B914">
        <v>1918</v>
      </c>
      <c r="C914" s="1">
        <v>45474</v>
      </c>
      <c r="D914">
        <v>200</v>
      </c>
      <c r="E914" t="str">
        <f>_xlfn.XLOOKUP(B914,customer_clean!A:A,customer_clean!C:C)</f>
        <v>Pro</v>
      </c>
      <c r="F914">
        <f>_xlfn.XLOOKUP(B914,customer_clean!A:A,customer_clean!E:E)</f>
        <v>100</v>
      </c>
    </row>
    <row r="915" spans="1:6" x14ac:dyDescent="0.35">
      <c r="A915" t="s">
        <v>991</v>
      </c>
      <c r="B915">
        <v>1918</v>
      </c>
      <c r="C915" s="1">
        <v>45505</v>
      </c>
      <c r="D915">
        <v>200</v>
      </c>
      <c r="E915" t="str">
        <f>_xlfn.XLOOKUP(B915,customer_clean!A:A,customer_clean!C:C)</f>
        <v>Pro</v>
      </c>
      <c r="F915">
        <f>_xlfn.XLOOKUP(B915,customer_clean!A:A,customer_clean!E:E)</f>
        <v>100</v>
      </c>
    </row>
    <row r="916" spans="1:6" x14ac:dyDescent="0.35">
      <c r="A916" t="s">
        <v>992</v>
      </c>
      <c r="B916">
        <v>1918</v>
      </c>
      <c r="C916" s="1">
        <v>45536</v>
      </c>
      <c r="D916">
        <v>200</v>
      </c>
      <c r="E916" t="str">
        <f>_xlfn.XLOOKUP(B916,customer_clean!A:A,customer_clean!C:C)</f>
        <v>Pro</v>
      </c>
      <c r="F916">
        <f>_xlfn.XLOOKUP(B916,customer_clean!A:A,customer_clean!E:E)</f>
        <v>100</v>
      </c>
    </row>
    <row r="917" spans="1:6" x14ac:dyDescent="0.35">
      <c r="A917" t="s">
        <v>993</v>
      </c>
      <c r="B917">
        <v>1918</v>
      </c>
      <c r="C917" s="1">
        <v>45566</v>
      </c>
      <c r="D917">
        <v>200</v>
      </c>
      <c r="E917" t="str">
        <f>_xlfn.XLOOKUP(B917,customer_clean!A:A,customer_clean!C:C)</f>
        <v>Pro</v>
      </c>
      <c r="F917">
        <f>_xlfn.XLOOKUP(B917,customer_clean!A:A,customer_clean!E:E)</f>
        <v>100</v>
      </c>
    </row>
    <row r="918" spans="1:6" x14ac:dyDescent="0.35">
      <c r="A918" t="s">
        <v>994</v>
      </c>
      <c r="B918">
        <v>1918</v>
      </c>
      <c r="C918" s="1">
        <v>45597</v>
      </c>
      <c r="D918">
        <v>200</v>
      </c>
      <c r="E918" t="str">
        <f>_xlfn.XLOOKUP(B918,customer_clean!A:A,customer_clean!C:C)</f>
        <v>Pro</v>
      </c>
      <c r="F918">
        <f>_xlfn.XLOOKUP(B918,customer_clean!A:A,customer_clean!E:E)</f>
        <v>100</v>
      </c>
    </row>
    <row r="919" spans="1:6" x14ac:dyDescent="0.35">
      <c r="A919" t="s">
        <v>995</v>
      </c>
      <c r="B919">
        <v>1924</v>
      </c>
      <c r="C919" s="1">
        <v>45566</v>
      </c>
      <c r="D919">
        <v>50</v>
      </c>
      <c r="E919" t="str">
        <f>_xlfn.XLOOKUP(B919,customer_clean!A:A,customer_clean!C:C)</f>
        <v>Basic</v>
      </c>
      <c r="F919">
        <f>_xlfn.XLOOKUP(B919,customer_clean!A:A,customer_clean!E:E)</f>
        <v>30</v>
      </c>
    </row>
    <row r="920" spans="1:6" x14ac:dyDescent="0.35">
      <c r="A920" t="s">
        <v>996</v>
      </c>
      <c r="B920">
        <v>1924</v>
      </c>
      <c r="C920" s="1">
        <v>45597</v>
      </c>
      <c r="D920">
        <v>50</v>
      </c>
      <c r="E920" t="str">
        <f>_xlfn.XLOOKUP(B920,customer_clean!A:A,customer_clean!C:C)</f>
        <v>Basic</v>
      </c>
      <c r="F920">
        <f>_xlfn.XLOOKUP(B920,customer_clean!A:A,customer_clean!E:E)</f>
        <v>30</v>
      </c>
    </row>
    <row r="921" spans="1:6" x14ac:dyDescent="0.35">
      <c r="A921" t="s">
        <v>997</v>
      </c>
      <c r="B921">
        <v>1924</v>
      </c>
      <c r="C921" s="1">
        <v>45627</v>
      </c>
      <c r="D921">
        <v>50</v>
      </c>
      <c r="E921" t="str">
        <f>_xlfn.XLOOKUP(B921,customer_clean!A:A,customer_clean!C:C)</f>
        <v>Basic</v>
      </c>
      <c r="F921">
        <f>_xlfn.XLOOKUP(B921,customer_clean!A:A,customer_clean!E:E)</f>
        <v>30</v>
      </c>
    </row>
    <row r="922" spans="1:6" x14ac:dyDescent="0.35">
      <c r="A922" t="s">
        <v>998</v>
      </c>
      <c r="B922">
        <v>1924</v>
      </c>
      <c r="C922" s="1">
        <v>45658</v>
      </c>
      <c r="D922">
        <v>50</v>
      </c>
      <c r="E922" t="str">
        <f>_xlfn.XLOOKUP(B922,customer_clean!A:A,customer_clean!C:C)</f>
        <v>Basic</v>
      </c>
      <c r="F922">
        <f>_xlfn.XLOOKUP(B922,customer_clean!A:A,customer_clean!E:E)</f>
        <v>30</v>
      </c>
    </row>
    <row r="923" spans="1:6" x14ac:dyDescent="0.35">
      <c r="A923" t="s">
        <v>999</v>
      </c>
      <c r="B923">
        <v>1924</v>
      </c>
      <c r="C923" s="1">
        <v>45689</v>
      </c>
      <c r="D923">
        <v>50</v>
      </c>
      <c r="E923" t="str">
        <f>_xlfn.XLOOKUP(B923,customer_clean!A:A,customer_clean!C:C)</f>
        <v>Basic</v>
      </c>
      <c r="F923">
        <f>_xlfn.XLOOKUP(B923,customer_clean!A:A,customer_clean!E:E)</f>
        <v>30</v>
      </c>
    </row>
    <row r="924" spans="1:6" x14ac:dyDescent="0.35">
      <c r="A924" t="s">
        <v>1000</v>
      </c>
      <c r="B924">
        <v>1924</v>
      </c>
      <c r="C924" s="1">
        <v>45717</v>
      </c>
      <c r="D924">
        <v>50</v>
      </c>
      <c r="E924" t="str">
        <f>_xlfn.XLOOKUP(B924,customer_clean!A:A,customer_clean!C:C)</f>
        <v>Basic</v>
      </c>
      <c r="F924">
        <f>_xlfn.XLOOKUP(B924,customer_clean!A:A,customer_clean!E:E)</f>
        <v>30</v>
      </c>
    </row>
    <row r="925" spans="1:6" x14ac:dyDescent="0.35">
      <c r="A925" t="s">
        <v>1001</v>
      </c>
      <c r="B925">
        <v>1924</v>
      </c>
      <c r="C925" s="1">
        <v>45748</v>
      </c>
      <c r="D925">
        <v>50</v>
      </c>
      <c r="E925" t="str">
        <f>_xlfn.XLOOKUP(B925,customer_clean!A:A,customer_clean!C:C)</f>
        <v>Basic</v>
      </c>
      <c r="F925">
        <f>_xlfn.XLOOKUP(B925,customer_clean!A:A,customer_clean!E:E)</f>
        <v>30</v>
      </c>
    </row>
    <row r="926" spans="1:6" x14ac:dyDescent="0.35">
      <c r="A926" t="s">
        <v>1002</v>
      </c>
      <c r="B926">
        <v>1924</v>
      </c>
      <c r="C926" s="1">
        <v>45778</v>
      </c>
      <c r="D926">
        <v>50</v>
      </c>
      <c r="E926" t="str">
        <f>_xlfn.XLOOKUP(B926,customer_clean!A:A,customer_clean!C:C)</f>
        <v>Basic</v>
      </c>
      <c r="F926">
        <f>_xlfn.XLOOKUP(B926,customer_clean!A:A,customer_clean!E:E)</f>
        <v>30</v>
      </c>
    </row>
    <row r="927" spans="1:6" x14ac:dyDescent="0.35">
      <c r="A927" t="s">
        <v>1003</v>
      </c>
      <c r="B927">
        <v>1929</v>
      </c>
      <c r="C927" s="1">
        <v>45536</v>
      </c>
      <c r="D927">
        <v>500</v>
      </c>
      <c r="E927" t="str">
        <f>_xlfn.XLOOKUP(B927,customer_clean!A:A,customer_clean!C:C)</f>
        <v>Enterprise</v>
      </c>
      <c r="F927">
        <f>_xlfn.XLOOKUP(B927,customer_clean!A:A,customer_clean!E:E)</f>
        <v>200</v>
      </c>
    </row>
    <row r="928" spans="1:6" x14ac:dyDescent="0.35">
      <c r="A928" t="s">
        <v>1004</v>
      </c>
      <c r="B928">
        <v>1929</v>
      </c>
      <c r="C928" s="1">
        <v>45566</v>
      </c>
      <c r="D928">
        <v>500</v>
      </c>
      <c r="E928" t="str">
        <f>_xlfn.XLOOKUP(B928,customer_clean!A:A,customer_clean!C:C)</f>
        <v>Enterprise</v>
      </c>
      <c r="F928">
        <f>_xlfn.XLOOKUP(B928,customer_clean!A:A,customer_clean!E:E)</f>
        <v>200</v>
      </c>
    </row>
    <row r="929" spans="1:6" x14ac:dyDescent="0.35">
      <c r="A929" t="s">
        <v>1005</v>
      </c>
      <c r="B929">
        <v>1929</v>
      </c>
      <c r="C929" s="1">
        <v>45597</v>
      </c>
      <c r="D929">
        <v>500</v>
      </c>
      <c r="E929" t="str">
        <f>_xlfn.XLOOKUP(B929,customer_clean!A:A,customer_clean!C:C)</f>
        <v>Enterprise</v>
      </c>
      <c r="F929">
        <f>_xlfn.XLOOKUP(B929,customer_clean!A:A,customer_clean!E:E)</f>
        <v>200</v>
      </c>
    </row>
    <row r="930" spans="1:6" x14ac:dyDescent="0.35">
      <c r="A930" t="s">
        <v>1006</v>
      </c>
      <c r="B930">
        <v>1951</v>
      </c>
      <c r="C930" s="1">
        <v>45413</v>
      </c>
      <c r="D930">
        <v>50</v>
      </c>
      <c r="E930" t="str">
        <f>_xlfn.XLOOKUP(B930,customer_clean!A:A,customer_clean!C:C)</f>
        <v>Basic</v>
      </c>
      <c r="F930">
        <f>_xlfn.XLOOKUP(B930,customer_clean!A:A,customer_clean!E:E)</f>
        <v>30</v>
      </c>
    </row>
    <row r="931" spans="1:6" x14ac:dyDescent="0.35">
      <c r="A931" t="s">
        <v>1007</v>
      </c>
      <c r="B931">
        <v>1951</v>
      </c>
      <c r="C931" s="1">
        <v>45444</v>
      </c>
      <c r="D931">
        <v>50</v>
      </c>
      <c r="E931" t="str">
        <f>_xlfn.XLOOKUP(B931,customer_clean!A:A,customer_clean!C:C)</f>
        <v>Basic</v>
      </c>
      <c r="F931">
        <f>_xlfn.XLOOKUP(B931,customer_clean!A:A,customer_clean!E:E)</f>
        <v>30</v>
      </c>
    </row>
    <row r="932" spans="1:6" x14ac:dyDescent="0.35">
      <c r="A932" t="s">
        <v>1008</v>
      </c>
      <c r="B932">
        <v>1951</v>
      </c>
      <c r="C932" s="1">
        <v>45474</v>
      </c>
      <c r="D932">
        <v>50</v>
      </c>
      <c r="E932" t="str">
        <f>_xlfn.XLOOKUP(B932,customer_clean!A:A,customer_clean!C:C)</f>
        <v>Basic</v>
      </c>
      <c r="F932">
        <f>_xlfn.XLOOKUP(B932,customer_clean!A:A,customer_clean!E:E)</f>
        <v>30</v>
      </c>
    </row>
    <row r="933" spans="1:6" x14ac:dyDescent="0.35">
      <c r="A933" t="s">
        <v>1009</v>
      </c>
      <c r="B933">
        <v>1951</v>
      </c>
      <c r="C933" s="1">
        <v>45505</v>
      </c>
      <c r="D933">
        <v>50</v>
      </c>
      <c r="E933" t="str">
        <f>_xlfn.XLOOKUP(B933,customer_clean!A:A,customer_clean!C:C)</f>
        <v>Basic</v>
      </c>
      <c r="F933">
        <f>_xlfn.XLOOKUP(B933,customer_clean!A:A,customer_clean!E:E)</f>
        <v>30</v>
      </c>
    </row>
    <row r="934" spans="1:6" x14ac:dyDescent="0.35">
      <c r="A934" t="s">
        <v>1010</v>
      </c>
      <c r="B934">
        <v>1951</v>
      </c>
      <c r="C934" s="1">
        <v>45536</v>
      </c>
      <c r="D934">
        <v>50</v>
      </c>
      <c r="E934" t="str">
        <f>_xlfn.XLOOKUP(B934,customer_clean!A:A,customer_clean!C:C)</f>
        <v>Basic</v>
      </c>
      <c r="F934">
        <f>_xlfn.XLOOKUP(B934,customer_clean!A:A,customer_clean!E:E)</f>
        <v>30</v>
      </c>
    </row>
    <row r="935" spans="1:6" x14ac:dyDescent="0.35">
      <c r="A935" t="s">
        <v>1011</v>
      </c>
      <c r="B935">
        <v>1951</v>
      </c>
      <c r="C935" s="1">
        <v>45566</v>
      </c>
      <c r="D935">
        <v>50</v>
      </c>
      <c r="E935" t="str">
        <f>_xlfn.XLOOKUP(B935,customer_clean!A:A,customer_clean!C:C)</f>
        <v>Basic</v>
      </c>
      <c r="F935">
        <f>_xlfn.XLOOKUP(B935,customer_clean!A:A,customer_clean!E:E)</f>
        <v>30</v>
      </c>
    </row>
    <row r="936" spans="1:6" x14ac:dyDescent="0.35">
      <c r="A936" t="s">
        <v>1012</v>
      </c>
      <c r="B936">
        <v>1953</v>
      </c>
      <c r="C936" s="1">
        <v>45809</v>
      </c>
      <c r="D936">
        <v>50</v>
      </c>
      <c r="E936" t="str">
        <f>_xlfn.XLOOKUP(B936,customer_clean!A:A,customer_clean!C:C)</f>
        <v>Basic</v>
      </c>
      <c r="F936">
        <f>_xlfn.XLOOKUP(B936,customer_clean!A:A,customer_clean!E:E)</f>
        <v>30</v>
      </c>
    </row>
    <row r="937" spans="1:6" x14ac:dyDescent="0.35">
      <c r="A937" t="s">
        <v>1013</v>
      </c>
      <c r="B937">
        <v>1965</v>
      </c>
      <c r="C937" s="1">
        <v>45292</v>
      </c>
      <c r="D937">
        <v>50</v>
      </c>
      <c r="E937" t="str">
        <f>_xlfn.XLOOKUP(B937,customer_clean!A:A,customer_clean!C:C)</f>
        <v>Basic</v>
      </c>
      <c r="F937">
        <f>_xlfn.XLOOKUP(B937,customer_clean!A:A,customer_clean!E:E)</f>
        <v>30</v>
      </c>
    </row>
    <row r="938" spans="1:6" x14ac:dyDescent="0.35">
      <c r="A938" t="s">
        <v>1014</v>
      </c>
      <c r="B938">
        <v>1965</v>
      </c>
      <c r="C938" s="1">
        <v>45323</v>
      </c>
      <c r="D938">
        <v>50</v>
      </c>
      <c r="E938" t="str">
        <f>_xlfn.XLOOKUP(B938,customer_clean!A:A,customer_clean!C:C)</f>
        <v>Basic</v>
      </c>
      <c r="F938">
        <f>_xlfn.XLOOKUP(B938,customer_clean!A:A,customer_clean!E:E)</f>
        <v>30</v>
      </c>
    </row>
    <row r="939" spans="1:6" x14ac:dyDescent="0.35">
      <c r="A939" t="s">
        <v>1015</v>
      </c>
      <c r="B939">
        <v>1965</v>
      </c>
      <c r="C939" s="1">
        <v>45352</v>
      </c>
      <c r="D939">
        <v>50</v>
      </c>
      <c r="E939" t="str">
        <f>_xlfn.XLOOKUP(B939,customer_clean!A:A,customer_clean!C:C)</f>
        <v>Basic</v>
      </c>
      <c r="F939">
        <f>_xlfn.XLOOKUP(B939,customer_clean!A:A,customer_clean!E:E)</f>
        <v>30</v>
      </c>
    </row>
    <row r="940" spans="1:6" x14ac:dyDescent="0.35">
      <c r="A940" t="s">
        <v>1016</v>
      </c>
      <c r="B940">
        <v>1965</v>
      </c>
      <c r="C940" s="1">
        <v>45383</v>
      </c>
      <c r="D940">
        <v>50</v>
      </c>
      <c r="E940" t="str">
        <f>_xlfn.XLOOKUP(B940,customer_clean!A:A,customer_clean!C:C)</f>
        <v>Basic</v>
      </c>
      <c r="F940">
        <f>_xlfn.XLOOKUP(B940,customer_clean!A:A,customer_clean!E:E)</f>
        <v>30</v>
      </c>
    </row>
    <row r="941" spans="1:6" x14ac:dyDescent="0.35">
      <c r="A941" t="s">
        <v>1017</v>
      </c>
      <c r="B941">
        <v>1965</v>
      </c>
      <c r="C941" s="1">
        <v>45413</v>
      </c>
      <c r="D941">
        <v>50</v>
      </c>
      <c r="E941" t="str">
        <f>_xlfn.XLOOKUP(B941,customer_clean!A:A,customer_clean!C:C)</f>
        <v>Basic</v>
      </c>
      <c r="F941">
        <f>_xlfn.XLOOKUP(B941,customer_clean!A:A,customer_clean!E:E)</f>
        <v>30</v>
      </c>
    </row>
    <row r="942" spans="1:6" x14ac:dyDescent="0.35">
      <c r="A942" t="s">
        <v>1018</v>
      </c>
      <c r="B942">
        <v>1965</v>
      </c>
      <c r="C942" s="1">
        <v>45444</v>
      </c>
      <c r="D942">
        <v>50</v>
      </c>
      <c r="E942" t="str">
        <f>_xlfn.XLOOKUP(B942,customer_clean!A:A,customer_clean!C:C)</f>
        <v>Basic</v>
      </c>
      <c r="F942">
        <f>_xlfn.XLOOKUP(B942,customer_clean!A:A,customer_clean!E:E)</f>
        <v>30</v>
      </c>
    </row>
    <row r="943" spans="1:6" x14ac:dyDescent="0.35">
      <c r="A943" t="s">
        <v>1019</v>
      </c>
      <c r="B943">
        <v>1965</v>
      </c>
      <c r="C943" s="1">
        <v>45474</v>
      </c>
      <c r="D943">
        <v>50</v>
      </c>
      <c r="E943" t="str">
        <f>_xlfn.XLOOKUP(B943,customer_clean!A:A,customer_clean!C:C)</f>
        <v>Basic</v>
      </c>
      <c r="F943">
        <f>_xlfn.XLOOKUP(B943,customer_clean!A:A,customer_clean!E:E)</f>
        <v>30</v>
      </c>
    </row>
    <row r="944" spans="1:6" x14ac:dyDescent="0.35">
      <c r="A944" t="s">
        <v>1020</v>
      </c>
      <c r="B944">
        <v>1965</v>
      </c>
      <c r="C944" s="1">
        <v>45505</v>
      </c>
      <c r="D944">
        <v>50</v>
      </c>
      <c r="E944" t="str">
        <f>_xlfn.XLOOKUP(B944,customer_clean!A:A,customer_clean!C:C)</f>
        <v>Basic</v>
      </c>
      <c r="F944">
        <f>_xlfn.XLOOKUP(B944,customer_clean!A:A,customer_clean!E:E)</f>
        <v>30</v>
      </c>
    </row>
    <row r="945" spans="1:6" x14ac:dyDescent="0.35">
      <c r="A945" t="s">
        <v>1021</v>
      </c>
      <c r="B945">
        <v>1965</v>
      </c>
      <c r="C945" s="1">
        <v>45536</v>
      </c>
      <c r="D945">
        <v>50</v>
      </c>
      <c r="E945" t="str">
        <f>_xlfn.XLOOKUP(B945,customer_clean!A:A,customer_clean!C:C)</f>
        <v>Basic</v>
      </c>
      <c r="F945">
        <f>_xlfn.XLOOKUP(B945,customer_clean!A:A,customer_clean!E:E)</f>
        <v>30</v>
      </c>
    </row>
    <row r="946" spans="1:6" x14ac:dyDescent="0.35">
      <c r="A946" t="s">
        <v>1022</v>
      </c>
      <c r="B946">
        <v>1965</v>
      </c>
      <c r="C946" s="1">
        <v>45566</v>
      </c>
      <c r="D946">
        <v>50</v>
      </c>
      <c r="E946" t="str">
        <f>_xlfn.XLOOKUP(B946,customer_clean!A:A,customer_clean!C:C)</f>
        <v>Basic</v>
      </c>
      <c r="F946">
        <f>_xlfn.XLOOKUP(B946,customer_clean!A:A,customer_clean!E:E)</f>
        <v>30</v>
      </c>
    </row>
    <row r="947" spans="1:6" x14ac:dyDescent="0.35">
      <c r="A947" t="s">
        <v>1023</v>
      </c>
      <c r="B947">
        <v>1965</v>
      </c>
      <c r="C947" s="1">
        <v>45597</v>
      </c>
      <c r="D947">
        <v>50</v>
      </c>
      <c r="E947" t="str">
        <f>_xlfn.XLOOKUP(B947,customer_clean!A:A,customer_clean!C:C)</f>
        <v>Basic</v>
      </c>
      <c r="F947">
        <f>_xlfn.XLOOKUP(B947,customer_clean!A:A,customer_clean!E:E)</f>
        <v>30</v>
      </c>
    </row>
    <row r="948" spans="1:6" x14ac:dyDescent="0.35">
      <c r="A948" t="s">
        <v>1024</v>
      </c>
      <c r="B948">
        <v>1965</v>
      </c>
      <c r="C948" s="1">
        <v>45627</v>
      </c>
      <c r="D948">
        <v>50</v>
      </c>
      <c r="E948" t="str">
        <f>_xlfn.XLOOKUP(B948,customer_clean!A:A,customer_clean!C:C)</f>
        <v>Basic</v>
      </c>
      <c r="F948">
        <f>_xlfn.XLOOKUP(B948,customer_clean!A:A,customer_clean!E:E)</f>
        <v>30</v>
      </c>
    </row>
    <row r="949" spans="1:6" x14ac:dyDescent="0.35">
      <c r="A949" t="s">
        <v>1025</v>
      </c>
      <c r="B949">
        <v>1965</v>
      </c>
      <c r="C949" s="1">
        <v>45658</v>
      </c>
      <c r="D949">
        <v>50</v>
      </c>
      <c r="E949" t="str">
        <f>_xlfn.XLOOKUP(B949,customer_clean!A:A,customer_clean!C:C)</f>
        <v>Basic</v>
      </c>
      <c r="F949">
        <f>_xlfn.XLOOKUP(B949,customer_clean!A:A,customer_clean!E:E)</f>
        <v>30</v>
      </c>
    </row>
    <row r="950" spans="1:6" x14ac:dyDescent="0.35">
      <c r="A950" t="s">
        <v>1026</v>
      </c>
      <c r="B950">
        <v>1965</v>
      </c>
      <c r="C950" s="1">
        <v>45689</v>
      </c>
      <c r="D950">
        <v>50</v>
      </c>
      <c r="E950" t="str">
        <f>_xlfn.XLOOKUP(B950,customer_clean!A:A,customer_clean!C:C)</f>
        <v>Basic</v>
      </c>
      <c r="F950">
        <f>_xlfn.XLOOKUP(B950,customer_clean!A:A,customer_clean!E:E)</f>
        <v>30</v>
      </c>
    </row>
    <row r="951" spans="1:6" x14ac:dyDescent="0.35">
      <c r="A951" t="s">
        <v>1027</v>
      </c>
      <c r="B951">
        <v>1965</v>
      </c>
      <c r="C951" s="1">
        <v>45717</v>
      </c>
      <c r="D951">
        <v>50</v>
      </c>
      <c r="E951" t="str">
        <f>_xlfn.XLOOKUP(B951,customer_clean!A:A,customer_clean!C:C)</f>
        <v>Basic</v>
      </c>
      <c r="F951">
        <f>_xlfn.XLOOKUP(B951,customer_clean!A:A,customer_clean!E:E)</f>
        <v>30</v>
      </c>
    </row>
    <row r="952" spans="1:6" x14ac:dyDescent="0.35">
      <c r="A952" t="s">
        <v>1028</v>
      </c>
      <c r="B952">
        <v>1965</v>
      </c>
      <c r="C952" s="1">
        <v>45748</v>
      </c>
      <c r="D952">
        <v>50</v>
      </c>
      <c r="E952" t="str">
        <f>_xlfn.XLOOKUP(B952,customer_clean!A:A,customer_clean!C:C)</f>
        <v>Basic</v>
      </c>
      <c r="F952">
        <f>_xlfn.XLOOKUP(B952,customer_clean!A:A,customer_clean!E:E)</f>
        <v>30</v>
      </c>
    </row>
    <row r="953" spans="1:6" x14ac:dyDescent="0.35">
      <c r="A953" t="s">
        <v>1029</v>
      </c>
      <c r="B953">
        <v>1965</v>
      </c>
      <c r="C953" s="1">
        <v>45778</v>
      </c>
      <c r="D953">
        <v>50</v>
      </c>
      <c r="E953" t="str">
        <f>_xlfn.XLOOKUP(B953,customer_clean!A:A,customer_clean!C:C)</f>
        <v>Basic</v>
      </c>
      <c r="F953">
        <f>_xlfn.XLOOKUP(B953,customer_clean!A:A,customer_clean!E:E)</f>
        <v>30</v>
      </c>
    </row>
    <row r="954" spans="1:6" x14ac:dyDescent="0.35">
      <c r="A954" t="s">
        <v>1030</v>
      </c>
      <c r="B954">
        <v>1970</v>
      </c>
      <c r="C954" s="1">
        <v>45627</v>
      </c>
      <c r="D954">
        <v>200</v>
      </c>
      <c r="E954" t="str">
        <f>_xlfn.XLOOKUP(B954,customer_clean!A:A,customer_clean!C:C)</f>
        <v>Pro</v>
      </c>
      <c r="F954">
        <f>_xlfn.XLOOKUP(B954,customer_clean!A:A,customer_clean!E:E)</f>
        <v>100</v>
      </c>
    </row>
    <row r="955" spans="1:6" x14ac:dyDescent="0.35">
      <c r="A955" t="s">
        <v>1031</v>
      </c>
      <c r="B955">
        <v>1970</v>
      </c>
      <c r="C955" s="1">
        <v>45658</v>
      </c>
      <c r="D955">
        <v>200</v>
      </c>
      <c r="E955" t="str">
        <f>_xlfn.XLOOKUP(B955,customer_clean!A:A,customer_clean!C:C)</f>
        <v>Pro</v>
      </c>
      <c r="F955">
        <f>_xlfn.XLOOKUP(B955,customer_clean!A:A,customer_clean!E:E)</f>
        <v>100</v>
      </c>
    </row>
    <row r="956" spans="1:6" x14ac:dyDescent="0.35">
      <c r="A956" t="s">
        <v>1032</v>
      </c>
      <c r="B956">
        <v>1970</v>
      </c>
      <c r="C956" s="1">
        <v>45689</v>
      </c>
      <c r="D956">
        <v>200</v>
      </c>
      <c r="E956" t="str">
        <f>_xlfn.XLOOKUP(B956,customer_clean!A:A,customer_clean!C:C)</f>
        <v>Pro</v>
      </c>
      <c r="F956">
        <f>_xlfn.XLOOKUP(B956,customer_clean!A:A,customer_clean!E:E)</f>
        <v>100</v>
      </c>
    </row>
    <row r="957" spans="1:6" x14ac:dyDescent="0.35">
      <c r="A957" t="s">
        <v>1033</v>
      </c>
      <c r="B957">
        <v>1970</v>
      </c>
      <c r="C957" s="1">
        <v>45717</v>
      </c>
      <c r="D957">
        <v>200</v>
      </c>
      <c r="E957" t="str">
        <f>_xlfn.XLOOKUP(B957,customer_clean!A:A,customer_clean!C:C)</f>
        <v>Pro</v>
      </c>
      <c r="F957">
        <f>_xlfn.XLOOKUP(B957,customer_clean!A:A,customer_clean!E:E)</f>
        <v>100</v>
      </c>
    </row>
    <row r="958" spans="1:6" x14ac:dyDescent="0.35">
      <c r="A958" t="s">
        <v>1034</v>
      </c>
      <c r="B958">
        <v>1970</v>
      </c>
      <c r="C958" s="1">
        <v>45748</v>
      </c>
      <c r="D958">
        <v>200</v>
      </c>
      <c r="E958" t="str">
        <f>_xlfn.XLOOKUP(B958,customer_clean!A:A,customer_clean!C:C)</f>
        <v>Pro</v>
      </c>
      <c r="F958">
        <f>_xlfn.XLOOKUP(B958,customer_clean!A:A,customer_clean!E:E)</f>
        <v>100</v>
      </c>
    </row>
    <row r="959" spans="1:6" x14ac:dyDescent="0.35">
      <c r="A959" t="s">
        <v>1035</v>
      </c>
      <c r="B959">
        <v>1970</v>
      </c>
      <c r="C959" s="1">
        <v>45778</v>
      </c>
      <c r="D959">
        <v>200</v>
      </c>
      <c r="E959" t="str">
        <f>_xlfn.XLOOKUP(B959,customer_clean!A:A,customer_clean!C:C)</f>
        <v>Pro</v>
      </c>
      <c r="F959">
        <f>_xlfn.XLOOKUP(B959,customer_clean!A:A,customer_clean!E:E)</f>
        <v>100</v>
      </c>
    </row>
    <row r="960" spans="1:6" x14ac:dyDescent="0.35">
      <c r="A960" t="s">
        <v>1036</v>
      </c>
      <c r="B960">
        <v>1970</v>
      </c>
      <c r="C960" s="1">
        <v>45809</v>
      </c>
      <c r="D960">
        <v>200</v>
      </c>
      <c r="E960" t="str">
        <f>_xlfn.XLOOKUP(B960,customer_clean!A:A,customer_clean!C:C)</f>
        <v>Pro</v>
      </c>
      <c r="F960">
        <f>_xlfn.XLOOKUP(B960,customer_clean!A:A,customer_clean!E:E)</f>
        <v>100</v>
      </c>
    </row>
    <row r="961" spans="1:6" x14ac:dyDescent="0.35">
      <c r="A961" t="s">
        <v>1037</v>
      </c>
      <c r="B961">
        <v>1975</v>
      </c>
      <c r="C961" s="1">
        <v>45323</v>
      </c>
      <c r="D961">
        <v>50</v>
      </c>
      <c r="E961" t="str">
        <f>_xlfn.XLOOKUP(B961,customer_clean!A:A,customer_clean!C:C)</f>
        <v>Basic</v>
      </c>
      <c r="F961">
        <f>_xlfn.XLOOKUP(B961,customer_clean!A:A,customer_clean!E:E)</f>
        <v>30</v>
      </c>
    </row>
    <row r="962" spans="1:6" x14ac:dyDescent="0.35">
      <c r="A962" t="s">
        <v>1038</v>
      </c>
      <c r="B962">
        <v>1975</v>
      </c>
      <c r="C962" s="1">
        <v>45352</v>
      </c>
      <c r="D962">
        <v>50</v>
      </c>
      <c r="E962" t="str">
        <f>_xlfn.XLOOKUP(B962,customer_clean!A:A,customer_clean!C:C)</f>
        <v>Basic</v>
      </c>
      <c r="F962">
        <f>_xlfn.XLOOKUP(B962,customer_clean!A:A,customer_clean!E:E)</f>
        <v>30</v>
      </c>
    </row>
    <row r="963" spans="1:6" x14ac:dyDescent="0.35">
      <c r="A963" t="s">
        <v>1039</v>
      </c>
      <c r="B963">
        <v>1975</v>
      </c>
      <c r="C963" s="1">
        <v>45383</v>
      </c>
      <c r="D963">
        <v>50</v>
      </c>
      <c r="E963" t="str">
        <f>_xlfn.XLOOKUP(B963,customer_clean!A:A,customer_clean!C:C)</f>
        <v>Basic</v>
      </c>
      <c r="F963">
        <f>_xlfn.XLOOKUP(B963,customer_clean!A:A,customer_clean!E:E)</f>
        <v>30</v>
      </c>
    </row>
    <row r="964" spans="1:6" x14ac:dyDescent="0.35">
      <c r="A964" t="s">
        <v>1040</v>
      </c>
      <c r="B964">
        <v>1975</v>
      </c>
      <c r="C964" s="1">
        <v>45413</v>
      </c>
      <c r="D964">
        <v>50</v>
      </c>
      <c r="E964" t="str">
        <f>_xlfn.XLOOKUP(B964,customer_clean!A:A,customer_clean!C:C)</f>
        <v>Basic</v>
      </c>
      <c r="F964">
        <f>_xlfn.XLOOKUP(B964,customer_clean!A:A,customer_clean!E:E)</f>
        <v>30</v>
      </c>
    </row>
    <row r="965" spans="1:6" x14ac:dyDescent="0.35">
      <c r="A965" t="s">
        <v>1041</v>
      </c>
      <c r="B965">
        <v>1975</v>
      </c>
      <c r="C965" s="1">
        <v>45444</v>
      </c>
      <c r="D965">
        <v>50</v>
      </c>
      <c r="E965" t="str">
        <f>_xlfn.XLOOKUP(B965,customer_clean!A:A,customer_clean!C:C)</f>
        <v>Basic</v>
      </c>
      <c r="F965">
        <f>_xlfn.XLOOKUP(B965,customer_clean!A:A,customer_clean!E:E)</f>
        <v>30</v>
      </c>
    </row>
    <row r="966" spans="1:6" x14ac:dyDescent="0.35">
      <c r="A966" t="s">
        <v>1042</v>
      </c>
      <c r="B966">
        <v>1982</v>
      </c>
      <c r="C966" s="1">
        <v>45444</v>
      </c>
      <c r="D966">
        <v>50</v>
      </c>
      <c r="E966" t="str">
        <f>_xlfn.XLOOKUP(B966,customer_clean!A:A,customer_clean!C:C)</f>
        <v>Basic</v>
      </c>
      <c r="F966">
        <f>_xlfn.XLOOKUP(B966,customer_clean!A:A,customer_clean!E:E)</f>
        <v>30</v>
      </c>
    </row>
    <row r="967" spans="1:6" x14ac:dyDescent="0.35">
      <c r="A967" t="s">
        <v>1043</v>
      </c>
      <c r="B967">
        <v>1982</v>
      </c>
      <c r="C967" s="1">
        <v>45474</v>
      </c>
      <c r="D967">
        <v>50</v>
      </c>
      <c r="E967" t="str">
        <f>_xlfn.XLOOKUP(B967,customer_clean!A:A,customer_clean!C:C)</f>
        <v>Basic</v>
      </c>
      <c r="F967">
        <f>_xlfn.XLOOKUP(B967,customer_clean!A:A,customer_clean!E:E)</f>
        <v>30</v>
      </c>
    </row>
    <row r="968" spans="1:6" x14ac:dyDescent="0.35">
      <c r="A968" t="s">
        <v>1044</v>
      </c>
      <c r="B968">
        <v>1982</v>
      </c>
      <c r="C968" s="1">
        <v>45505</v>
      </c>
      <c r="D968">
        <v>50</v>
      </c>
      <c r="E968" t="str">
        <f>_xlfn.XLOOKUP(B968,customer_clean!A:A,customer_clean!C:C)</f>
        <v>Basic</v>
      </c>
      <c r="F968">
        <f>_xlfn.XLOOKUP(B968,customer_clean!A:A,customer_clean!E:E)</f>
        <v>30</v>
      </c>
    </row>
    <row r="969" spans="1:6" x14ac:dyDescent="0.35">
      <c r="A969" t="s">
        <v>1045</v>
      </c>
      <c r="B969">
        <v>1982</v>
      </c>
      <c r="C969" s="1">
        <v>45536</v>
      </c>
      <c r="D969">
        <v>50</v>
      </c>
      <c r="E969" t="str">
        <f>_xlfn.XLOOKUP(B969,customer_clean!A:A,customer_clean!C:C)</f>
        <v>Basic</v>
      </c>
      <c r="F969">
        <f>_xlfn.XLOOKUP(B969,customer_clean!A:A,customer_clean!E:E)</f>
        <v>30</v>
      </c>
    </row>
    <row r="970" spans="1:6" x14ac:dyDescent="0.35">
      <c r="A970" t="s">
        <v>1046</v>
      </c>
      <c r="B970">
        <v>1982</v>
      </c>
      <c r="C970" s="1">
        <v>45566</v>
      </c>
      <c r="D970">
        <v>50</v>
      </c>
      <c r="E970" t="str">
        <f>_xlfn.XLOOKUP(B970,customer_clean!A:A,customer_clean!C:C)</f>
        <v>Basic</v>
      </c>
      <c r="F970">
        <f>_xlfn.XLOOKUP(B970,customer_clean!A:A,customer_clean!E:E)</f>
        <v>30</v>
      </c>
    </row>
    <row r="971" spans="1:6" x14ac:dyDescent="0.35">
      <c r="A971" t="s">
        <v>1047</v>
      </c>
      <c r="B971">
        <v>1982</v>
      </c>
      <c r="C971" s="1">
        <v>45597</v>
      </c>
      <c r="D971">
        <v>50</v>
      </c>
      <c r="E971" t="str">
        <f>_xlfn.XLOOKUP(B971,customer_clean!A:A,customer_clean!C:C)</f>
        <v>Basic</v>
      </c>
      <c r="F971">
        <f>_xlfn.XLOOKUP(B971,customer_clean!A:A,customer_clean!E:E)</f>
        <v>30</v>
      </c>
    </row>
    <row r="972" spans="1:6" x14ac:dyDescent="0.35">
      <c r="A972" t="s">
        <v>1048</v>
      </c>
      <c r="B972">
        <v>1982</v>
      </c>
      <c r="C972" s="1">
        <v>45627</v>
      </c>
      <c r="D972">
        <v>50</v>
      </c>
      <c r="E972" t="str">
        <f>_xlfn.XLOOKUP(B972,customer_clean!A:A,customer_clean!C:C)</f>
        <v>Basic</v>
      </c>
      <c r="F972">
        <f>_xlfn.XLOOKUP(B972,customer_clean!A:A,customer_clean!E:E)</f>
        <v>30</v>
      </c>
    </row>
    <row r="973" spans="1:6" x14ac:dyDescent="0.35">
      <c r="A973" t="s">
        <v>1049</v>
      </c>
      <c r="B973">
        <v>1982</v>
      </c>
      <c r="C973" s="1">
        <v>45658</v>
      </c>
      <c r="D973">
        <v>50</v>
      </c>
      <c r="E973" t="str">
        <f>_xlfn.XLOOKUP(B973,customer_clean!A:A,customer_clean!C:C)</f>
        <v>Basic</v>
      </c>
      <c r="F973">
        <f>_xlfn.XLOOKUP(B973,customer_clean!A:A,customer_clean!E:E)</f>
        <v>30</v>
      </c>
    </row>
    <row r="974" spans="1:6" x14ac:dyDescent="0.35">
      <c r="A974" t="s">
        <v>1050</v>
      </c>
      <c r="B974">
        <v>1982</v>
      </c>
      <c r="C974" s="1">
        <v>45689</v>
      </c>
      <c r="D974">
        <v>50</v>
      </c>
      <c r="E974" t="str">
        <f>_xlfn.XLOOKUP(B974,customer_clean!A:A,customer_clean!C:C)</f>
        <v>Basic</v>
      </c>
      <c r="F974">
        <f>_xlfn.XLOOKUP(B974,customer_clean!A:A,customer_clean!E:E)</f>
        <v>30</v>
      </c>
    </row>
    <row r="975" spans="1:6" x14ac:dyDescent="0.35">
      <c r="A975" t="s">
        <v>1051</v>
      </c>
      <c r="B975">
        <v>1982</v>
      </c>
      <c r="C975" s="1">
        <v>45717</v>
      </c>
      <c r="D975">
        <v>50</v>
      </c>
      <c r="E975" t="str">
        <f>_xlfn.XLOOKUP(B975,customer_clean!A:A,customer_clean!C:C)</f>
        <v>Basic</v>
      </c>
      <c r="F975">
        <f>_xlfn.XLOOKUP(B975,customer_clean!A:A,customer_clean!E:E)</f>
        <v>30</v>
      </c>
    </row>
    <row r="976" spans="1:6" x14ac:dyDescent="0.35">
      <c r="A976" t="s">
        <v>1052</v>
      </c>
      <c r="B976">
        <v>1982</v>
      </c>
      <c r="C976" s="1">
        <v>45748</v>
      </c>
      <c r="D976">
        <v>50</v>
      </c>
      <c r="E976" t="str">
        <f>_xlfn.XLOOKUP(B976,customer_clean!A:A,customer_clean!C:C)</f>
        <v>Basic</v>
      </c>
      <c r="F976">
        <f>_xlfn.XLOOKUP(B976,customer_clean!A:A,customer_clean!E:E)</f>
        <v>30</v>
      </c>
    </row>
    <row r="977" spans="1:6" x14ac:dyDescent="0.35">
      <c r="A977" t="s">
        <v>1053</v>
      </c>
      <c r="B977">
        <v>1982</v>
      </c>
      <c r="C977" s="1">
        <v>45778</v>
      </c>
      <c r="D977">
        <v>50</v>
      </c>
      <c r="E977" t="str">
        <f>_xlfn.XLOOKUP(B977,customer_clean!A:A,customer_clean!C:C)</f>
        <v>Basic</v>
      </c>
      <c r="F977">
        <f>_xlfn.XLOOKUP(B977,customer_clean!A:A,customer_clean!E:E)</f>
        <v>30</v>
      </c>
    </row>
    <row r="978" spans="1:6" x14ac:dyDescent="0.35">
      <c r="A978" t="s">
        <v>1054</v>
      </c>
      <c r="B978">
        <v>1986</v>
      </c>
      <c r="C978" s="1">
        <v>45444</v>
      </c>
      <c r="D978">
        <v>500</v>
      </c>
      <c r="E978" t="str">
        <f>_xlfn.XLOOKUP(B978,customer_clean!A:A,customer_clean!C:C)</f>
        <v>Enterprise</v>
      </c>
      <c r="F978">
        <f>_xlfn.XLOOKUP(B978,customer_clean!A:A,customer_clean!E:E)</f>
        <v>200</v>
      </c>
    </row>
    <row r="979" spans="1:6" x14ac:dyDescent="0.35">
      <c r="A979" t="s">
        <v>1055</v>
      </c>
      <c r="B979">
        <v>1986</v>
      </c>
      <c r="C979" s="1">
        <v>45474</v>
      </c>
      <c r="D979">
        <v>500</v>
      </c>
      <c r="E979" t="str">
        <f>_xlfn.XLOOKUP(B979,customer_clean!A:A,customer_clean!C:C)</f>
        <v>Enterprise</v>
      </c>
      <c r="F979">
        <f>_xlfn.XLOOKUP(B979,customer_clean!A:A,customer_clean!E:E)</f>
        <v>200</v>
      </c>
    </row>
    <row r="980" spans="1:6" x14ac:dyDescent="0.35">
      <c r="A980" t="s">
        <v>1056</v>
      </c>
      <c r="B980">
        <v>1986</v>
      </c>
      <c r="C980" s="1">
        <v>45505</v>
      </c>
      <c r="D980">
        <v>500</v>
      </c>
      <c r="E980" t="str">
        <f>_xlfn.XLOOKUP(B980,customer_clean!A:A,customer_clean!C:C)</f>
        <v>Enterprise</v>
      </c>
      <c r="F980">
        <f>_xlfn.XLOOKUP(B980,customer_clean!A:A,customer_clean!E:E)</f>
        <v>200</v>
      </c>
    </row>
    <row r="981" spans="1:6" x14ac:dyDescent="0.35">
      <c r="A981" t="s">
        <v>1057</v>
      </c>
      <c r="B981">
        <v>1986</v>
      </c>
      <c r="C981" s="1">
        <v>45536</v>
      </c>
      <c r="D981">
        <v>500</v>
      </c>
      <c r="E981" t="str">
        <f>_xlfn.XLOOKUP(B981,customer_clean!A:A,customer_clean!C:C)</f>
        <v>Enterprise</v>
      </c>
      <c r="F981">
        <f>_xlfn.XLOOKUP(B981,customer_clean!A:A,customer_clean!E:E)</f>
        <v>200</v>
      </c>
    </row>
    <row r="982" spans="1:6" x14ac:dyDescent="0.35">
      <c r="A982" t="s">
        <v>1058</v>
      </c>
      <c r="B982">
        <v>1986</v>
      </c>
      <c r="C982" s="1">
        <v>45566</v>
      </c>
      <c r="D982">
        <v>500</v>
      </c>
      <c r="E982" t="str">
        <f>_xlfn.XLOOKUP(B982,customer_clean!A:A,customer_clean!C:C)</f>
        <v>Enterprise</v>
      </c>
      <c r="F982">
        <f>_xlfn.XLOOKUP(B982,customer_clean!A:A,customer_clean!E:E)</f>
        <v>200</v>
      </c>
    </row>
    <row r="983" spans="1:6" x14ac:dyDescent="0.35">
      <c r="A983" t="s">
        <v>1059</v>
      </c>
      <c r="B983">
        <v>1988</v>
      </c>
      <c r="C983" s="1">
        <v>45597</v>
      </c>
      <c r="D983">
        <v>500</v>
      </c>
      <c r="E983" t="str">
        <f>_xlfn.XLOOKUP(B983,customer_clean!A:A,customer_clean!C:C)</f>
        <v>Enterprise</v>
      </c>
      <c r="F983">
        <f>_xlfn.XLOOKUP(B983,customer_clean!A:A,customer_clean!E:E)</f>
        <v>200</v>
      </c>
    </row>
    <row r="984" spans="1:6" x14ac:dyDescent="0.35">
      <c r="A984" t="s">
        <v>1060</v>
      </c>
      <c r="B984">
        <v>1988</v>
      </c>
      <c r="C984" s="1">
        <v>45627</v>
      </c>
      <c r="D984">
        <v>500</v>
      </c>
      <c r="E984" t="str">
        <f>_xlfn.XLOOKUP(B984,customer_clean!A:A,customer_clean!C:C)</f>
        <v>Enterprise</v>
      </c>
      <c r="F984">
        <f>_xlfn.XLOOKUP(B984,customer_clean!A:A,customer_clean!E:E)</f>
        <v>200</v>
      </c>
    </row>
    <row r="985" spans="1:6" x14ac:dyDescent="0.35">
      <c r="A985" t="s">
        <v>1061</v>
      </c>
      <c r="B985">
        <v>1988</v>
      </c>
      <c r="C985" s="1">
        <v>45658</v>
      </c>
      <c r="D985">
        <v>500</v>
      </c>
      <c r="E985" t="str">
        <f>_xlfn.XLOOKUP(B985,customer_clean!A:A,customer_clean!C:C)</f>
        <v>Enterprise</v>
      </c>
      <c r="F985">
        <f>_xlfn.XLOOKUP(B985,customer_clean!A:A,customer_clean!E:E)</f>
        <v>200</v>
      </c>
    </row>
    <row r="986" spans="1:6" x14ac:dyDescent="0.35">
      <c r="A986" t="s">
        <v>1062</v>
      </c>
      <c r="B986">
        <v>1988</v>
      </c>
      <c r="C986" s="1">
        <v>45689</v>
      </c>
      <c r="D986">
        <v>500</v>
      </c>
      <c r="E986" t="str">
        <f>_xlfn.XLOOKUP(B986,customer_clean!A:A,customer_clean!C:C)</f>
        <v>Enterprise</v>
      </c>
      <c r="F986">
        <f>_xlfn.XLOOKUP(B986,customer_clean!A:A,customer_clean!E:E)</f>
        <v>200</v>
      </c>
    </row>
    <row r="987" spans="1:6" x14ac:dyDescent="0.35">
      <c r="A987" t="s">
        <v>1063</v>
      </c>
      <c r="B987">
        <v>1988</v>
      </c>
      <c r="C987" s="1">
        <v>45717</v>
      </c>
      <c r="D987">
        <v>500</v>
      </c>
      <c r="E987" t="str">
        <f>_xlfn.XLOOKUP(B987,customer_clean!A:A,customer_clean!C:C)</f>
        <v>Enterprise</v>
      </c>
      <c r="F987">
        <f>_xlfn.XLOOKUP(B987,customer_clean!A:A,customer_clean!E:E)</f>
        <v>200</v>
      </c>
    </row>
    <row r="988" spans="1:6" x14ac:dyDescent="0.35">
      <c r="A988" t="s">
        <v>1064</v>
      </c>
      <c r="B988">
        <v>1999</v>
      </c>
      <c r="C988" s="1">
        <v>45748</v>
      </c>
      <c r="D988">
        <v>500</v>
      </c>
      <c r="E988" t="str">
        <f>_xlfn.XLOOKUP(B988,customer_clean!A:A,customer_clean!C:C)</f>
        <v>Enterprise</v>
      </c>
      <c r="F988">
        <f>_xlfn.XLOOKUP(B988,customer_clean!A:A,customer_clean!E:E)</f>
        <v>200</v>
      </c>
    </row>
    <row r="989" spans="1:6" x14ac:dyDescent="0.35">
      <c r="A989" t="s">
        <v>1065</v>
      </c>
      <c r="B989">
        <v>1999</v>
      </c>
      <c r="C989" s="1">
        <v>45778</v>
      </c>
      <c r="D989">
        <v>500</v>
      </c>
      <c r="E989" t="str">
        <f>_xlfn.XLOOKUP(B989,customer_clean!A:A,customer_clean!C:C)</f>
        <v>Enterprise</v>
      </c>
      <c r="F989">
        <f>_xlfn.XLOOKUP(B989,customer_clean!A:A,customer_clean!E:E)</f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3F02-5824-42B4-B816-1095A694B9B6}">
  <sheetPr>
    <tabColor rgb="FF00B050"/>
  </sheetPr>
  <dimension ref="A1:F989"/>
  <sheetViews>
    <sheetView tabSelected="1" topLeftCell="A971" zoomScale="79" workbookViewId="0">
      <selection activeCell="J21" sqref="J21"/>
    </sheetView>
  </sheetViews>
  <sheetFormatPr defaultRowHeight="14.5" x14ac:dyDescent="0.35"/>
  <cols>
    <col min="1" max="1" width="19.54296875" customWidth="1"/>
    <col min="2" max="2" width="18.7265625" customWidth="1"/>
    <col min="3" max="3" width="13.453125" customWidth="1"/>
    <col min="4" max="4" width="11.81640625" bestFit="1" customWidth="1"/>
    <col min="5" max="5" width="15.453125" customWidth="1"/>
    <col min="6" max="6" width="12.1796875" style="1" customWidth="1"/>
  </cols>
  <sheetData>
    <row r="1" spans="1:6" x14ac:dyDescent="0.35">
      <c r="A1" t="s">
        <v>1066</v>
      </c>
      <c r="B1" t="s">
        <v>66</v>
      </c>
      <c r="C1" t="s">
        <v>69</v>
      </c>
      <c r="D1" t="s">
        <v>1067</v>
      </c>
      <c r="E1" t="s">
        <v>1068</v>
      </c>
      <c r="F1" s="1" t="s">
        <v>42</v>
      </c>
    </row>
    <row r="2" spans="1:6" x14ac:dyDescent="0.35">
      <c r="A2" t="s">
        <v>78</v>
      </c>
      <c r="B2">
        <v>1020</v>
      </c>
      <c r="C2">
        <v>200</v>
      </c>
      <c r="D2" t="s">
        <v>12</v>
      </c>
      <c r="E2">
        <v>200</v>
      </c>
      <c r="F2" s="1">
        <v>45566</v>
      </c>
    </row>
    <row r="3" spans="1:6" x14ac:dyDescent="0.35">
      <c r="A3" t="s">
        <v>79</v>
      </c>
      <c r="B3">
        <v>1020</v>
      </c>
      <c r="C3">
        <v>200</v>
      </c>
      <c r="D3" t="s">
        <v>12</v>
      </c>
      <c r="E3">
        <v>200</v>
      </c>
      <c r="F3" s="1">
        <v>45597</v>
      </c>
    </row>
    <row r="4" spans="1:6" x14ac:dyDescent="0.35">
      <c r="A4" t="s">
        <v>80</v>
      </c>
      <c r="B4">
        <v>1020</v>
      </c>
      <c r="C4">
        <v>200</v>
      </c>
      <c r="D4" t="s">
        <v>12</v>
      </c>
      <c r="E4">
        <v>200</v>
      </c>
      <c r="F4" s="1">
        <v>45627</v>
      </c>
    </row>
    <row r="5" spans="1:6" x14ac:dyDescent="0.35">
      <c r="A5" t="s">
        <v>81</v>
      </c>
      <c r="B5">
        <v>1020</v>
      </c>
      <c r="C5">
        <v>200</v>
      </c>
      <c r="D5" t="s">
        <v>12</v>
      </c>
      <c r="E5">
        <v>200</v>
      </c>
      <c r="F5" s="1">
        <v>45658</v>
      </c>
    </row>
    <row r="6" spans="1:6" x14ac:dyDescent="0.35">
      <c r="A6" t="s">
        <v>82</v>
      </c>
      <c r="B6">
        <v>1020</v>
      </c>
      <c r="C6">
        <v>200</v>
      </c>
      <c r="D6" t="s">
        <v>12</v>
      </c>
      <c r="E6">
        <v>200</v>
      </c>
      <c r="F6" s="1">
        <v>45689</v>
      </c>
    </row>
    <row r="7" spans="1:6" x14ac:dyDescent="0.35">
      <c r="A7" t="s">
        <v>83</v>
      </c>
      <c r="B7">
        <v>1020</v>
      </c>
      <c r="C7">
        <v>200</v>
      </c>
      <c r="D7" t="s">
        <v>12</v>
      </c>
      <c r="E7">
        <v>200</v>
      </c>
      <c r="F7" s="1">
        <v>45717</v>
      </c>
    </row>
    <row r="8" spans="1:6" x14ac:dyDescent="0.35">
      <c r="A8" t="s">
        <v>84</v>
      </c>
      <c r="B8">
        <v>1020</v>
      </c>
      <c r="C8">
        <v>200</v>
      </c>
      <c r="D8" t="s">
        <v>12</v>
      </c>
      <c r="E8">
        <v>200</v>
      </c>
      <c r="F8" s="1">
        <v>45748</v>
      </c>
    </row>
    <row r="9" spans="1:6" x14ac:dyDescent="0.35">
      <c r="A9" t="s">
        <v>85</v>
      </c>
      <c r="B9">
        <v>1021</v>
      </c>
      <c r="C9">
        <v>200</v>
      </c>
      <c r="D9" t="s">
        <v>12</v>
      </c>
      <c r="E9">
        <v>200</v>
      </c>
      <c r="F9" s="1">
        <v>45383</v>
      </c>
    </row>
    <row r="10" spans="1:6" x14ac:dyDescent="0.35">
      <c r="A10" t="s">
        <v>86</v>
      </c>
      <c r="B10">
        <v>1021</v>
      </c>
      <c r="C10">
        <v>200</v>
      </c>
      <c r="D10" t="s">
        <v>12</v>
      </c>
      <c r="E10">
        <v>200</v>
      </c>
      <c r="F10" s="1">
        <v>45413</v>
      </c>
    </row>
    <row r="11" spans="1:6" x14ac:dyDescent="0.35">
      <c r="A11" t="s">
        <v>87</v>
      </c>
      <c r="B11">
        <v>1023</v>
      </c>
      <c r="C11">
        <v>50</v>
      </c>
      <c r="D11" t="s">
        <v>12</v>
      </c>
      <c r="E11">
        <v>50</v>
      </c>
      <c r="F11" s="1">
        <v>45627</v>
      </c>
    </row>
    <row r="12" spans="1:6" x14ac:dyDescent="0.35">
      <c r="A12" t="s">
        <v>88</v>
      </c>
      <c r="B12">
        <v>1023</v>
      </c>
      <c r="C12">
        <v>50</v>
      </c>
      <c r="D12" t="s">
        <v>12</v>
      </c>
      <c r="E12">
        <v>50</v>
      </c>
      <c r="F12" s="1">
        <v>45658</v>
      </c>
    </row>
    <row r="13" spans="1:6" x14ac:dyDescent="0.35">
      <c r="A13" t="s">
        <v>89</v>
      </c>
      <c r="B13">
        <v>1023</v>
      </c>
      <c r="C13">
        <v>50</v>
      </c>
      <c r="D13" t="s">
        <v>12</v>
      </c>
      <c r="E13">
        <v>50</v>
      </c>
      <c r="F13" s="1">
        <v>45689</v>
      </c>
    </row>
    <row r="14" spans="1:6" x14ac:dyDescent="0.35">
      <c r="A14" t="s">
        <v>90</v>
      </c>
      <c r="B14">
        <v>1023</v>
      </c>
      <c r="C14">
        <v>50</v>
      </c>
      <c r="D14" t="s">
        <v>12</v>
      </c>
      <c r="E14">
        <v>50</v>
      </c>
      <c r="F14" s="1">
        <v>45717</v>
      </c>
    </row>
    <row r="15" spans="1:6" x14ac:dyDescent="0.35">
      <c r="A15" t="s">
        <v>91</v>
      </c>
      <c r="B15">
        <v>1023</v>
      </c>
      <c r="C15">
        <v>50</v>
      </c>
      <c r="D15" t="s">
        <v>12</v>
      </c>
      <c r="E15">
        <v>50</v>
      </c>
      <c r="F15" s="1">
        <v>45748</v>
      </c>
    </row>
    <row r="16" spans="1:6" x14ac:dyDescent="0.35">
      <c r="A16" t="s">
        <v>92</v>
      </c>
      <c r="B16">
        <v>1023</v>
      </c>
      <c r="C16">
        <v>50</v>
      </c>
      <c r="D16" t="s">
        <v>12</v>
      </c>
      <c r="E16">
        <v>50</v>
      </c>
      <c r="F16" s="1">
        <v>45778</v>
      </c>
    </row>
    <row r="17" spans="1:6" x14ac:dyDescent="0.35">
      <c r="A17" t="s">
        <v>93</v>
      </c>
      <c r="B17">
        <v>1023</v>
      </c>
      <c r="C17">
        <v>50</v>
      </c>
      <c r="D17" t="s">
        <v>12</v>
      </c>
      <c r="E17">
        <v>50</v>
      </c>
      <c r="F17" s="1">
        <v>45809</v>
      </c>
    </row>
    <row r="18" spans="1:6" x14ac:dyDescent="0.35">
      <c r="A18" t="s">
        <v>94</v>
      </c>
      <c r="B18">
        <v>1026</v>
      </c>
      <c r="C18">
        <v>200</v>
      </c>
      <c r="D18" t="s">
        <v>12</v>
      </c>
      <c r="E18">
        <v>200</v>
      </c>
      <c r="F18" s="1">
        <v>45717</v>
      </c>
    </row>
    <row r="19" spans="1:6" x14ac:dyDescent="0.35">
      <c r="A19" t="s">
        <v>95</v>
      </c>
      <c r="B19">
        <v>1026</v>
      </c>
      <c r="C19">
        <v>200</v>
      </c>
      <c r="D19" t="s">
        <v>12</v>
      </c>
      <c r="E19">
        <v>200</v>
      </c>
      <c r="F19" s="1">
        <v>45748</v>
      </c>
    </row>
    <row r="20" spans="1:6" x14ac:dyDescent="0.35">
      <c r="A20" t="s">
        <v>96</v>
      </c>
      <c r="B20">
        <v>1026</v>
      </c>
      <c r="C20">
        <v>200</v>
      </c>
      <c r="D20" t="s">
        <v>12</v>
      </c>
      <c r="E20">
        <v>200</v>
      </c>
      <c r="F20" s="1">
        <v>45778</v>
      </c>
    </row>
    <row r="21" spans="1:6" x14ac:dyDescent="0.35">
      <c r="A21" t="s">
        <v>97</v>
      </c>
      <c r="B21">
        <v>1031</v>
      </c>
      <c r="C21">
        <v>200</v>
      </c>
      <c r="D21" t="s">
        <v>12</v>
      </c>
      <c r="E21">
        <v>200</v>
      </c>
      <c r="F21" s="1">
        <v>45383</v>
      </c>
    </row>
    <row r="22" spans="1:6" x14ac:dyDescent="0.35">
      <c r="A22" t="s">
        <v>98</v>
      </c>
      <c r="B22">
        <v>1031</v>
      </c>
      <c r="C22">
        <v>200</v>
      </c>
      <c r="D22" t="s">
        <v>12</v>
      </c>
      <c r="E22">
        <v>200</v>
      </c>
      <c r="F22" s="1">
        <v>45413</v>
      </c>
    </row>
    <row r="23" spans="1:6" x14ac:dyDescent="0.35">
      <c r="A23" t="s">
        <v>99</v>
      </c>
      <c r="B23">
        <v>1031</v>
      </c>
      <c r="C23">
        <v>200</v>
      </c>
      <c r="D23" t="s">
        <v>12</v>
      </c>
      <c r="E23">
        <v>200</v>
      </c>
      <c r="F23" s="1">
        <v>45444</v>
      </c>
    </row>
    <row r="24" spans="1:6" x14ac:dyDescent="0.35">
      <c r="A24" t="s">
        <v>100</v>
      </c>
      <c r="B24">
        <v>1031</v>
      </c>
      <c r="C24">
        <v>200</v>
      </c>
      <c r="D24" t="s">
        <v>12</v>
      </c>
      <c r="E24">
        <v>200</v>
      </c>
      <c r="F24" s="1">
        <v>45474</v>
      </c>
    </row>
    <row r="25" spans="1:6" x14ac:dyDescent="0.35">
      <c r="A25" t="s">
        <v>101</v>
      </c>
      <c r="B25">
        <v>1031</v>
      </c>
      <c r="C25">
        <v>200</v>
      </c>
      <c r="D25" t="s">
        <v>12</v>
      </c>
      <c r="E25">
        <v>200</v>
      </c>
      <c r="F25" s="1">
        <v>45505</v>
      </c>
    </row>
    <row r="26" spans="1:6" x14ac:dyDescent="0.35">
      <c r="A26" t="s">
        <v>102</v>
      </c>
      <c r="B26">
        <v>1031</v>
      </c>
      <c r="C26">
        <v>200</v>
      </c>
      <c r="D26" t="s">
        <v>12</v>
      </c>
      <c r="E26">
        <v>200</v>
      </c>
      <c r="F26" s="1">
        <v>45536</v>
      </c>
    </row>
    <row r="27" spans="1:6" x14ac:dyDescent="0.35">
      <c r="A27" t="s">
        <v>103</v>
      </c>
      <c r="B27">
        <v>1031</v>
      </c>
      <c r="C27">
        <v>200</v>
      </c>
      <c r="D27" t="s">
        <v>12</v>
      </c>
      <c r="E27">
        <v>200</v>
      </c>
      <c r="F27" s="1">
        <v>45566</v>
      </c>
    </row>
    <row r="28" spans="1:6" x14ac:dyDescent="0.35">
      <c r="A28" t="s">
        <v>104</v>
      </c>
      <c r="B28">
        <v>1031</v>
      </c>
      <c r="C28">
        <v>200</v>
      </c>
      <c r="D28" t="s">
        <v>12</v>
      </c>
      <c r="E28">
        <v>200</v>
      </c>
      <c r="F28" s="1">
        <v>45597</v>
      </c>
    </row>
    <row r="29" spans="1:6" x14ac:dyDescent="0.35">
      <c r="A29" t="s">
        <v>105</v>
      </c>
      <c r="B29">
        <v>1031</v>
      </c>
      <c r="C29">
        <v>200</v>
      </c>
      <c r="D29" t="s">
        <v>12</v>
      </c>
      <c r="E29">
        <v>200</v>
      </c>
      <c r="F29" s="1">
        <v>45627</v>
      </c>
    </row>
    <row r="30" spans="1:6" x14ac:dyDescent="0.35">
      <c r="A30" t="s">
        <v>106</v>
      </c>
      <c r="B30">
        <v>1034</v>
      </c>
      <c r="C30">
        <v>50</v>
      </c>
      <c r="D30" t="s">
        <v>12</v>
      </c>
      <c r="E30">
        <v>50</v>
      </c>
      <c r="F30" s="1">
        <v>45383</v>
      </c>
    </row>
    <row r="31" spans="1:6" x14ac:dyDescent="0.35">
      <c r="A31" t="s">
        <v>107</v>
      </c>
      <c r="B31">
        <v>1034</v>
      </c>
      <c r="C31">
        <v>50</v>
      </c>
      <c r="D31" t="s">
        <v>12</v>
      </c>
      <c r="E31">
        <v>50</v>
      </c>
      <c r="F31" s="1">
        <v>45413</v>
      </c>
    </row>
    <row r="32" spans="1:6" x14ac:dyDescent="0.35">
      <c r="A32" t="s">
        <v>108</v>
      </c>
      <c r="B32">
        <v>1034</v>
      </c>
      <c r="C32">
        <v>50</v>
      </c>
      <c r="D32" t="s">
        <v>12</v>
      </c>
      <c r="E32">
        <v>50</v>
      </c>
      <c r="F32" s="1">
        <v>45444</v>
      </c>
    </row>
    <row r="33" spans="1:6" x14ac:dyDescent="0.35">
      <c r="A33" t="s">
        <v>109</v>
      </c>
      <c r="B33">
        <v>1034</v>
      </c>
      <c r="C33">
        <v>50</v>
      </c>
      <c r="D33" t="s">
        <v>12</v>
      </c>
      <c r="E33">
        <v>50</v>
      </c>
      <c r="F33" s="1">
        <v>45474</v>
      </c>
    </row>
    <row r="34" spans="1:6" x14ac:dyDescent="0.35">
      <c r="A34" t="s">
        <v>110</v>
      </c>
      <c r="B34">
        <v>1034</v>
      </c>
      <c r="C34">
        <v>50</v>
      </c>
      <c r="D34" t="s">
        <v>12</v>
      </c>
      <c r="E34">
        <v>50</v>
      </c>
      <c r="F34" s="1">
        <v>45505</v>
      </c>
    </row>
    <row r="35" spans="1:6" x14ac:dyDescent="0.35">
      <c r="A35" t="s">
        <v>111</v>
      </c>
      <c r="B35">
        <v>1034</v>
      </c>
      <c r="C35">
        <v>50</v>
      </c>
      <c r="D35" t="s">
        <v>12</v>
      </c>
      <c r="E35">
        <v>50</v>
      </c>
      <c r="F35" s="1">
        <v>45536</v>
      </c>
    </row>
    <row r="36" spans="1:6" x14ac:dyDescent="0.35">
      <c r="A36" t="s">
        <v>112</v>
      </c>
      <c r="B36">
        <v>1034</v>
      </c>
      <c r="C36">
        <v>50</v>
      </c>
      <c r="D36" t="s">
        <v>12</v>
      </c>
      <c r="E36">
        <v>50</v>
      </c>
      <c r="F36" s="1">
        <v>45566</v>
      </c>
    </row>
    <row r="37" spans="1:6" x14ac:dyDescent="0.35">
      <c r="A37" t="s">
        <v>113</v>
      </c>
      <c r="B37">
        <v>1034</v>
      </c>
      <c r="C37">
        <v>50</v>
      </c>
      <c r="D37" t="s">
        <v>12</v>
      </c>
      <c r="E37">
        <v>50</v>
      </c>
      <c r="F37" s="1">
        <v>45597</v>
      </c>
    </row>
    <row r="38" spans="1:6" x14ac:dyDescent="0.35">
      <c r="A38" t="s">
        <v>114</v>
      </c>
      <c r="B38">
        <v>1034</v>
      </c>
      <c r="C38">
        <v>50</v>
      </c>
      <c r="D38" t="s">
        <v>12</v>
      </c>
      <c r="E38">
        <v>50</v>
      </c>
      <c r="F38" s="1">
        <v>45627</v>
      </c>
    </row>
    <row r="39" spans="1:6" x14ac:dyDescent="0.35">
      <c r="A39" t="s">
        <v>115</v>
      </c>
      <c r="B39">
        <v>1034</v>
      </c>
      <c r="C39">
        <v>50</v>
      </c>
      <c r="D39" t="s">
        <v>12</v>
      </c>
      <c r="E39">
        <v>50</v>
      </c>
      <c r="F39" s="1">
        <v>45658</v>
      </c>
    </row>
    <row r="40" spans="1:6" x14ac:dyDescent="0.35">
      <c r="A40" t="s">
        <v>116</v>
      </c>
      <c r="B40">
        <v>1034</v>
      </c>
      <c r="C40">
        <v>50</v>
      </c>
      <c r="D40" t="s">
        <v>12</v>
      </c>
      <c r="E40">
        <v>50</v>
      </c>
      <c r="F40" s="1">
        <v>45689</v>
      </c>
    </row>
    <row r="41" spans="1:6" x14ac:dyDescent="0.35">
      <c r="A41" t="s">
        <v>117</v>
      </c>
      <c r="B41">
        <v>1034</v>
      </c>
      <c r="C41">
        <v>50</v>
      </c>
      <c r="D41" t="s">
        <v>12</v>
      </c>
      <c r="E41">
        <v>50</v>
      </c>
      <c r="F41" s="1">
        <v>45717</v>
      </c>
    </row>
    <row r="42" spans="1:6" x14ac:dyDescent="0.35">
      <c r="A42" t="s">
        <v>118</v>
      </c>
      <c r="B42">
        <v>1034</v>
      </c>
      <c r="C42">
        <v>50</v>
      </c>
      <c r="D42" t="s">
        <v>12</v>
      </c>
      <c r="E42">
        <v>50</v>
      </c>
      <c r="F42" s="1">
        <v>45748</v>
      </c>
    </row>
    <row r="43" spans="1:6" x14ac:dyDescent="0.35">
      <c r="A43" t="s">
        <v>119</v>
      </c>
      <c r="B43">
        <v>1035</v>
      </c>
      <c r="C43">
        <v>50</v>
      </c>
      <c r="D43" t="s">
        <v>12</v>
      </c>
      <c r="E43">
        <v>50</v>
      </c>
      <c r="F43" s="1">
        <v>45474</v>
      </c>
    </row>
    <row r="44" spans="1:6" x14ac:dyDescent="0.35">
      <c r="A44" t="s">
        <v>120</v>
      </c>
      <c r="B44">
        <v>1035</v>
      </c>
      <c r="C44">
        <v>50</v>
      </c>
      <c r="D44" t="s">
        <v>12</v>
      </c>
      <c r="E44">
        <v>50</v>
      </c>
      <c r="F44" s="1">
        <v>45505</v>
      </c>
    </row>
    <row r="45" spans="1:6" x14ac:dyDescent="0.35">
      <c r="A45" t="s">
        <v>121</v>
      </c>
      <c r="B45">
        <v>1035</v>
      </c>
      <c r="C45">
        <v>50</v>
      </c>
      <c r="D45" t="s">
        <v>12</v>
      </c>
      <c r="E45">
        <v>50</v>
      </c>
      <c r="F45" s="1">
        <v>45536</v>
      </c>
    </row>
    <row r="46" spans="1:6" x14ac:dyDescent="0.35">
      <c r="A46" t="s">
        <v>122</v>
      </c>
      <c r="B46">
        <v>1035</v>
      </c>
      <c r="C46">
        <v>50</v>
      </c>
      <c r="D46" t="s">
        <v>12</v>
      </c>
      <c r="E46">
        <v>50</v>
      </c>
      <c r="F46" s="1">
        <v>45566</v>
      </c>
    </row>
    <row r="47" spans="1:6" x14ac:dyDescent="0.35">
      <c r="A47" t="s">
        <v>123</v>
      </c>
      <c r="B47">
        <v>1035</v>
      </c>
      <c r="C47">
        <v>50</v>
      </c>
      <c r="D47" t="s">
        <v>12</v>
      </c>
      <c r="E47">
        <v>50</v>
      </c>
      <c r="F47" s="1">
        <v>45597</v>
      </c>
    </row>
    <row r="48" spans="1:6" x14ac:dyDescent="0.35">
      <c r="A48" t="s">
        <v>124</v>
      </c>
      <c r="B48">
        <v>1035</v>
      </c>
      <c r="C48">
        <v>50</v>
      </c>
      <c r="D48" t="s">
        <v>12</v>
      </c>
      <c r="E48">
        <v>50</v>
      </c>
      <c r="F48" s="1">
        <v>45627</v>
      </c>
    </row>
    <row r="49" spans="1:6" x14ac:dyDescent="0.35">
      <c r="A49" t="s">
        <v>125</v>
      </c>
      <c r="B49">
        <v>1035</v>
      </c>
      <c r="C49">
        <v>50</v>
      </c>
      <c r="D49" t="s">
        <v>12</v>
      </c>
      <c r="E49">
        <v>50</v>
      </c>
      <c r="F49" s="1">
        <v>45658</v>
      </c>
    </row>
    <row r="50" spans="1:6" x14ac:dyDescent="0.35">
      <c r="A50" t="s">
        <v>126</v>
      </c>
      <c r="B50">
        <v>1035</v>
      </c>
      <c r="C50">
        <v>50</v>
      </c>
      <c r="D50" t="s">
        <v>12</v>
      </c>
      <c r="E50">
        <v>50</v>
      </c>
      <c r="F50" s="1">
        <v>45689</v>
      </c>
    </row>
    <row r="51" spans="1:6" x14ac:dyDescent="0.35">
      <c r="A51" t="s">
        <v>127</v>
      </c>
      <c r="B51">
        <v>1035</v>
      </c>
      <c r="C51">
        <v>50</v>
      </c>
      <c r="D51" t="s">
        <v>12</v>
      </c>
      <c r="E51">
        <v>50</v>
      </c>
      <c r="F51" s="1">
        <v>45717</v>
      </c>
    </row>
    <row r="52" spans="1:6" x14ac:dyDescent="0.35">
      <c r="A52" t="s">
        <v>128</v>
      </c>
      <c r="B52">
        <v>1035</v>
      </c>
      <c r="C52">
        <v>50</v>
      </c>
      <c r="D52" t="s">
        <v>12</v>
      </c>
      <c r="E52">
        <v>50</v>
      </c>
      <c r="F52" s="1">
        <v>45748</v>
      </c>
    </row>
    <row r="53" spans="1:6" x14ac:dyDescent="0.35">
      <c r="A53" t="s">
        <v>129</v>
      </c>
      <c r="B53">
        <v>1042</v>
      </c>
      <c r="C53">
        <v>200</v>
      </c>
      <c r="D53" t="s">
        <v>12</v>
      </c>
      <c r="E53">
        <v>200</v>
      </c>
      <c r="F53" s="1">
        <v>45383</v>
      </c>
    </row>
    <row r="54" spans="1:6" x14ac:dyDescent="0.35">
      <c r="A54" t="s">
        <v>130</v>
      </c>
      <c r="B54">
        <v>1042</v>
      </c>
      <c r="C54">
        <v>200</v>
      </c>
      <c r="D54" t="s">
        <v>12</v>
      </c>
      <c r="E54">
        <v>200</v>
      </c>
      <c r="F54" s="1">
        <v>45413</v>
      </c>
    </row>
    <row r="55" spans="1:6" x14ac:dyDescent="0.35">
      <c r="A55" t="s">
        <v>131</v>
      </c>
      <c r="B55">
        <v>1042</v>
      </c>
      <c r="C55">
        <v>200</v>
      </c>
      <c r="D55" t="s">
        <v>12</v>
      </c>
      <c r="E55">
        <v>200</v>
      </c>
      <c r="F55" s="1">
        <v>45444</v>
      </c>
    </row>
    <row r="56" spans="1:6" x14ac:dyDescent="0.35">
      <c r="A56" t="s">
        <v>132</v>
      </c>
      <c r="B56">
        <v>1042</v>
      </c>
      <c r="C56">
        <v>200</v>
      </c>
      <c r="D56" t="s">
        <v>12</v>
      </c>
      <c r="E56">
        <v>200</v>
      </c>
      <c r="F56" s="1">
        <v>45474</v>
      </c>
    </row>
    <row r="57" spans="1:6" x14ac:dyDescent="0.35">
      <c r="A57" t="s">
        <v>133</v>
      </c>
      <c r="B57">
        <v>1042</v>
      </c>
      <c r="C57">
        <v>200</v>
      </c>
      <c r="D57" t="s">
        <v>12</v>
      </c>
      <c r="E57">
        <v>200</v>
      </c>
      <c r="F57" s="1">
        <v>45505</v>
      </c>
    </row>
    <row r="58" spans="1:6" x14ac:dyDescent="0.35">
      <c r="A58" t="s">
        <v>134</v>
      </c>
      <c r="B58">
        <v>1042</v>
      </c>
      <c r="C58">
        <v>200</v>
      </c>
      <c r="D58" t="s">
        <v>12</v>
      </c>
      <c r="E58">
        <v>200</v>
      </c>
      <c r="F58" s="1">
        <v>45536</v>
      </c>
    </row>
    <row r="59" spans="1:6" x14ac:dyDescent="0.35">
      <c r="A59" t="s">
        <v>135</v>
      </c>
      <c r="B59">
        <v>1042</v>
      </c>
      <c r="C59">
        <v>200</v>
      </c>
      <c r="D59" t="s">
        <v>12</v>
      </c>
      <c r="E59">
        <v>200</v>
      </c>
      <c r="F59" s="1">
        <v>45566</v>
      </c>
    </row>
    <row r="60" spans="1:6" x14ac:dyDescent="0.35">
      <c r="A60" t="s">
        <v>136</v>
      </c>
      <c r="B60">
        <v>1042</v>
      </c>
      <c r="C60">
        <v>200</v>
      </c>
      <c r="D60" t="s">
        <v>12</v>
      </c>
      <c r="E60">
        <v>200</v>
      </c>
      <c r="F60" s="1">
        <v>45597</v>
      </c>
    </row>
    <row r="61" spans="1:6" x14ac:dyDescent="0.35">
      <c r="A61" t="s">
        <v>137</v>
      </c>
      <c r="B61">
        <v>1042</v>
      </c>
      <c r="C61">
        <v>200</v>
      </c>
      <c r="D61" t="s">
        <v>12</v>
      </c>
      <c r="E61">
        <v>200</v>
      </c>
      <c r="F61" s="1">
        <v>45627</v>
      </c>
    </row>
    <row r="62" spans="1:6" x14ac:dyDescent="0.35">
      <c r="A62" t="s">
        <v>138</v>
      </c>
      <c r="B62">
        <v>1042</v>
      </c>
      <c r="C62">
        <v>200</v>
      </c>
      <c r="D62" t="s">
        <v>12</v>
      </c>
      <c r="E62">
        <v>200</v>
      </c>
      <c r="F62" s="1">
        <v>45658</v>
      </c>
    </row>
    <row r="63" spans="1:6" x14ac:dyDescent="0.35">
      <c r="A63" t="s">
        <v>139</v>
      </c>
      <c r="B63">
        <v>1042</v>
      </c>
      <c r="C63">
        <v>200</v>
      </c>
      <c r="D63" t="s">
        <v>12</v>
      </c>
      <c r="E63">
        <v>200</v>
      </c>
      <c r="F63" s="1">
        <v>45689</v>
      </c>
    </row>
    <row r="64" spans="1:6" x14ac:dyDescent="0.35">
      <c r="A64" t="s">
        <v>140</v>
      </c>
      <c r="B64">
        <v>1042</v>
      </c>
      <c r="C64">
        <v>200</v>
      </c>
      <c r="D64" t="s">
        <v>12</v>
      </c>
      <c r="E64">
        <v>200</v>
      </c>
      <c r="F64" s="1">
        <v>45717</v>
      </c>
    </row>
    <row r="65" spans="1:6" x14ac:dyDescent="0.35">
      <c r="A65" t="s">
        <v>141</v>
      </c>
      <c r="B65">
        <v>1043</v>
      </c>
      <c r="C65">
        <v>500</v>
      </c>
      <c r="D65" t="s">
        <v>12</v>
      </c>
      <c r="E65">
        <v>500</v>
      </c>
      <c r="F65" s="1">
        <v>45658</v>
      </c>
    </row>
    <row r="66" spans="1:6" x14ac:dyDescent="0.35">
      <c r="A66" t="s">
        <v>142</v>
      </c>
      <c r="B66">
        <v>1043</v>
      </c>
      <c r="C66">
        <v>500</v>
      </c>
      <c r="D66" t="s">
        <v>12</v>
      </c>
      <c r="E66">
        <v>500</v>
      </c>
      <c r="F66" s="1">
        <v>45689</v>
      </c>
    </row>
    <row r="67" spans="1:6" x14ac:dyDescent="0.35">
      <c r="A67" t="s">
        <v>143</v>
      </c>
      <c r="B67">
        <v>1047</v>
      </c>
      <c r="C67">
        <v>50</v>
      </c>
      <c r="D67" t="s">
        <v>12</v>
      </c>
      <c r="E67">
        <v>50</v>
      </c>
      <c r="F67" s="1">
        <v>45658</v>
      </c>
    </row>
    <row r="68" spans="1:6" x14ac:dyDescent="0.35">
      <c r="A68" t="s">
        <v>144</v>
      </c>
      <c r="B68">
        <v>1047</v>
      </c>
      <c r="C68">
        <v>50</v>
      </c>
      <c r="D68" t="s">
        <v>12</v>
      </c>
      <c r="E68">
        <v>50</v>
      </c>
      <c r="F68" s="1">
        <v>45689</v>
      </c>
    </row>
    <row r="69" spans="1:6" x14ac:dyDescent="0.35">
      <c r="A69" t="s">
        <v>145</v>
      </c>
      <c r="B69">
        <v>1047</v>
      </c>
      <c r="C69">
        <v>50</v>
      </c>
      <c r="D69" t="s">
        <v>12</v>
      </c>
      <c r="E69">
        <v>50</v>
      </c>
      <c r="F69" s="1">
        <v>45717</v>
      </c>
    </row>
    <row r="70" spans="1:6" x14ac:dyDescent="0.35">
      <c r="A70" t="s">
        <v>146</v>
      </c>
      <c r="B70">
        <v>1047</v>
      </c>
      <c r="C70">
        <v>50</v>
      </c>
      <c r="D70" t="s">
        <v>12</v>
      </c>
      <c r="E70">
        <v>50</v>
      </c>
      <c r="F70" s="1">
        <v>45748</v>
      </c>
    </row>
    <row r="71" spans="1:6" x14ac:dyDescent="0.35">
      <c r="A71" t="s">
        <v>147</v>
      </c>
      <c r="B71">
        <v>1056</v>
      </c>
      <c r="C71">
        <v>200</v>
      </c>
      <c r="D71" t="s">
        <v>12</v>
      </c>
      <c r="E71">
        <v>200</v>
      </c>
      <c r="F71" s="1">
        <v>45566</v>
      </c>
    </row>
    <row r="72" spans="1:6" x14ac:dyDescent="0.35">
      <c r="A72" t="s">
        <v>148</v>
      </c>
      <c r="B72">
        <v>1056</v>
      </c>
      <c r="C72">
        <v>200</v>
      </c>
      <c r="D72" t="s">
        <v>12</v>
      </c>
      <c r="E72">
        <v>200</v>
      </c>
      <c r="F72" s="1">
        <v>45597</v>
      </c>
    </row>
    <row r="73" spans="1:6" x14ac:dyDescent="0.35">
      <c r="A73" t="s">
        <v>149</v>
      </c>
      <c r="B73">
        <v>1056</v>
      </c>
      <c r="C73">
        <v>200</v>
      </c>
      <c r="D73" t="s">
        <v>12</v>
      </c>
      <c r="E73">
        <v>200</v>
      </c>
      <c r="F73" s="1">
        <v>45627</v>
      </c>
    </row>
    <row r="74" spans="1:6" x14ac:dyDescent="0.35">
      <c r="A74" t="s">
        <v>150</v>
      </c>
      <c r="B74">
        <v>1060</v>
      </c>
      <c r="C74">
        <v>50</v>
      </c>
      <c r="D74" t="s">
        <v>12</v>
      </c>
      <c r="E74">
        <v>50</v>
      </c>
      <c r="F74" s="1">
        <v>45717</v>
      </c>
    </row>
    <row r="75" spans="1:6" x14ac:dyDescent="0.35">
      <c r="A75" t="s">
        <v>151</v>
      </c>
      <c r="B75">
        <v>1060</v>
      </c>
      <c r="C75">
        <v>50</v>
      </c>
      <c r="D75" t="s">
        <v>12</v>
      </c>
      <c r="E75">
        <v>50</v>
      </c>
      <c r="F75" s="1">
        <v>45748</v>
      </c>
    </row>
    <row r="76" spans="1:6" x14ac:dyDescent="0.35">
      <c r="A76" t="s">
        <v>152</v>
      </c>
      <c r="B76">
        <v>1060</v>
      </c>
      <c r="C76">
        <v>50</v>
      </c>
      <c r="D76" t="s">
        <v>12</v>
      </c>
      <c r="E76">
        <v>50</v>
      </c>
      <c r="F76" s="1">
        <v>45778</v>
      </c>
    </row>
    <row r="77" spans="1:6" x14ac:dyDescent="0.35">
      <c r="A77" t="s">
        <v>153</v>
      </c>
      <c r="B77">
        <v>1062</v>
      </c>
      <c r="C77">
        <v>200</v>
      </c>
      <c r="D77" t="s">
        <v>12</v>
      </c>
      <c r="E77">
        <v>200</v>
      </c>
      <c r="F77" s="1">
        <v>45778</v>
      </c>
    </row>
    <row r="78" spans="1:6" x14ac:dyDescent="0.35">
      <c r="A78" t="s">
        <v>154</v>
      </c>
      <c r="B78">
        <v>1074</v>
      </c>
      <c r="C78">
        <v>500</v>
      </c>
      <c r="D78" t="s">
        <v>12</v>
      </c>
      <c r="E78">
        <v>500</v>
      </c>
      <c r="F78" s="1">
        <v>45505</v>
      </c>
    </row>
    <row r="79" spans="1:6" x14ac:dyDescent="0.35">
      <c r="A79" t="s">
        <v>155</v>
      </c>
      <c r="B79">
        <v>1074</v>
      </c>
      <c r="C79">
        <v>500</v>
      </c>
      <c r="D79" t="s">
        <v>12</v>
      </c>
      <c r="E79">
        <v>500</v>
      </c>
      <c r="F79" s="1">
        <v>45536</v>
      </c>
    </row>
    <row r="80" spans="1:6" x14ac:dyDescent="0.35">
      <c r="A80" t="s">
        <v>156</v>
      </c>
      <c r="B80">
        <v>1074</v>
      </c>
      <c r="C80">
        <v>500</v>
      </c>
      <c r="D80" t="s">
        <v>12</v>
      </c>
      <c r="E80">
        <v>500</v>
      </c>
      <c r="F80" s="1">
        <v>45566</v>
      </c>
    </row>
    <row r="81" spans="1:6" x14ac:dyDescent="0.35">
      <c r="A81" t="s">
        <v>157</v>
      </c>
      <c r="B81">
        <v>1074</v>
      </c>
      <c r="C81">
        <v>500</v>
      </c>
      <c r="D81" t="s">
        <v>12</v>
      </c>
      <c r="E81">
        <v>500</v>
      </c>
      <c r="F81" s="1">
        <v>45597</v>
      </c>
    </row>
    <row r="82" spans="1:6" x14ac:dyDescent="0.35">
      <c r="A82" t="s">
        <v>158</v>
      </c>
      <c r="B82">
        <v>1074</v>
      </c>
      <c r="C82">
        <v>500</v>
      </c>
      <c r="D82" t="s">
        <v>12</v>
      </c>
      <c r="E82">
        <v>500</v>
      </c>
      <c r="F82" s="1">
        <v>45627</v>
      </c>
    </row>
    <row r="83" spans="1:6" x14ac:dyDescent="0.35">
      <c r="A83" t="s">
        <v>159</v>
      </c>
      <c r="B83">
        <v>1074</v>
      </c>
      <c r="C83">
        <v>500</v>
      </c>
      <c r="D83" t="s">
        <v>12</v>
      </c>
      <c r="E83">
        <v>500</v>
      </c>
      <c r="F83" s="1">
        <v>45658</v>
      </c>
    </row>
    <row r="84" spans="1:6" x14ac:dyDescent="0.35">
      <c r="A84" t="s">
        <v>160</v>
      </c>
      <c r="B84">
        <v>1074</v>
      </c>
      <c r="C84">
        <v>500</v>
      </c>
      <c r="D84" t="s">
        <v>12</v>
      </c>
      <c r="E84">
        <v>500</v>
      </c>
      <c r="F84" s="1">
        <v>45689</v>
      </c>
    </row>
    <row r="85" spans="1:6" x14ac:dyDescent="0.35">
      <c r="A85" t="s">
        <v>161</v>
      </c>
      <c r="B85">
        <v>1074</v>
      </c>
      <c r="C85">
        <v>500</v>
      </c>
      <c r="D85" t="s">
        <v>12</v>
      </c>
      <c r="E85">
        <v>500</v>
      </c>
      <c r="F85" s="1">
        <v>45717</v>
      </c>
    </row>
    <row r="86" spans="1:6" x14ac:dyDescent="0.35">
      <c r="A86" t="s">
        <v>162</v>
      </c>
      <c r="B86">
        <v>1074</v>
      </c>
      <c r="C86">
        <v>500</v>
      </c>
      <c r="D86" t="s">
        <v>12</v>
      </c>
      <c r="E86">
        <v>500</v>
      </c>
      <c r="F86" s="1">
        <v>45748</v>
      </c>
    </row>
    <row r="87" spans="1:6" x14ac:dyDescent="0.35">
      <c r="A87" t="s">
        <v>163</v>
      </c>
      <c r="B87">
        <v>1074</v>
      </c>
      <c r="C87">
        <v>500</v>
      </c>
      <c r="D87" t="s">
        <v>12</v>
      </c>
      <c r="E87">
        <v>500</v>
      </c>
      <c r="F87" s="1">
        <v>45778</v>
      </c>
    </row>
    <row r="88" spans="1:6" x14ac:dyDescent="0.35">
      <c r="A88" t="s">
        <v>164</v>
      </c>
      <c r="B88">
        <v>1075</v>
      </c>
      <c r="C88">
        <v>500</v>
      </c>
      <c r="D88" t="s">
        <v>12</v>
      </c>
      <c r="E88">
        <v>500</v>
      </c>
      <c r="F88" s="1">
        <v>45566</v>
      </c>
    </row>
    <row r="89" spans="1:6" x14ac:dyDescent="0.35">
      <c r="A89" t="s">
        <v>165</v>
      </c>
      <c r="B89">
        <v>1075</v>
      </c>
      <c r="C89">
        <v>500</v>
      </c>
      <c r="D89" t="s">
        <v>12</v>
      </c>
      <c r="E89">
        <v>500</v>
      </c>
      <c r="F89" s="1">
        <v>45597</v>
      </c>
    </row>
    <row r="90" spans="1:6" x14ac:dyDescent="0.35">
      <c r="A90" t="s">
        <v>166</v>
      </c>
      <c r="B90">
        <v>1075</v>
      </c>
      <c r="C90">
        <v>500</v>
      </c>
      <c r="D90" t="s">
        <v>12</v>
      </c>
      <c r="E90">
        <v>500</v>
      </c>
      <c r="F90" s="1">
        <v>45627</v>
      </c>
    </row>
    <row r="91" spans="1:6" x14ac:dyDescent="0.35">
      <c r="A91" t="s">
        <v>167</v>
      </c>
      <c r="B91">
        <v>1075</v>
      </c>
      <c r="C91">
        <v>500</v>
      </c>
      <c r="D91" t="s">
        <v>12</v>
      </c>
      <c r="E91">
        <v>500</v>
      </c>
      <c r="F91" s="1">
        <v>45658</v>
      </c>
    </row>
    <row r="92" spans="1:6" x14ac:dyDescent="0.35">
      <c r="A92" t="s">
        <v>168</v>
      </c>
      <c r="B92">
        <v>1075</v>
      </c>
      <c r="C92">
        <v>500</v>
      </c>
      <c r="D92" t="s">
        <v>12</v>
      </c>
      <c r="E92">
        <v>500</v>
      </c>
      <c r="F92" s="1">
        <v>45689</v>
      </c>
    </row>
    <row r="93" spans="1:6" x14ac:dyDescent="0.35">
      <c r="A93" t="s">
        <v>169</v>
      </c>
      <c r="B93">
        <v>1075</v>
      </c>
      <c r="C93">
        <v>500</v>
      </c>
      <c r="D93" t="s">
        <v>12</v>
      </c>
      <c r="E93">
        <v>500</v>
      </c>
      <c r="F93" s="1">
        <v>45717</v>
      </c>
    </row>
    <row r="94" spans="1:6" x14ac:dyDescent="0.35">
      <c r="A94" t="s">
        <v>170</v>
      </c>
      <c r="B94">
        <v>1075</v>
      </c>
      <c r="C94">
        <v>500</v>
      </c>
      <c r="D94" t="s">
        <v>12</v>
      </c>
      <c r="E94">
        <v>500</v>
      </c>
      <c r="F94" s="1">
        <v>45748</v>
      </c>
    </row>
    <row r="95" spans="1:6" x14ac:dyDescent="0.35">
      <c r="A95" t="s">
        <v>171</v>
      </c>
      <c r="B95">
        <v>1075</v>
      </c>
      <c r="C95">
        <v>500</v>
      </c>
      <c r="D95" t="s">
        <v>12</v>
      </c>
      <c r="E95">
        <v>500</v>
      </c>
      <c r="F95" s="1">
        <v>45778</v>
      </c>
    </row>
    <row r="96" spans="1:6" x14ac:dyDescent="0.35">
      <c r="A96" t="s">
        <v>172</v>
      </c>
      <c r="B96">
        <v>1075</v>
      </c>
      <c r="C96">
        <v>500</v>
      </c>
      <c r="D96" t="s">
        <v>12</v>
      </c>
      <c r="E96">
        <v>500</v>
      </c>
      <c r="F96" s="1">
        <v>45809</v>
      </c>
    </row>
    <row r="97" spans="1:6" x14ac:dyDescent="0.35">
      <c r="A97" t="s">
        <v>173</v>
      </c>
      <c r="B97">
        <v>1085</v>
      </c>
      <c r="C97">
        <v>50</v>
      </c>
      <c r="D97" t="s">
        <v>12</v>
      </c>
      <c r="E97">
        <v>50</v>
      </c>
      <c r="F97" s="1">
        <v>45566</v>
      </c>
    </row>
    <row r="98" spans="1:6" x14ac:dyDescent="0.35">
      <c r="A98" t="s">
        <v>174</v>
      </c>
      <c r="B98">
        <v>1085</v>
      </c>
      <c r="C98">
        <v>50</v>
      </c>
      <c r="D98" t="s">
        <v>12</v>
      </c>
      <c r="E98">
        <v>50</v>
      </c>
      <c r="F98" s="1">
        <v>45597</v>
      </c>
    </row>
    <row r="99" spans="1:6" x14ac:dyDescent="0.35">
      <c r="A99" t="s">
        <v>175</v>
      </c>
      <c r="B99">
        <v>1085</v>
      </c>
      <c r="C99">
        <v>50</v>
      </c>
      <c r="D99" t="s">
        <v>12</v>
      </c>
      <c r="E99">
        <v>50</v>
      </c>
      <c r="F99" s="1">
        <v>45627</v>
      </c>
    </row>
    <row r="100" spans="1:6" x14ac:dyDescent="0.35">
      <c r="A100" t="s">
        <v>176</v>
      </c>
      <c r="B100">
        <v>1085</v>
      </c>
      <c r="C100">
        <v>50</v>
      </c>
      <c r="D100" t="s">
        <v>12</v>
      </c>
      <c r="E100">
        <v>50</v>
      </c>
      <c r="F100" s="1">
        <v>45658</v>
      </c>
    </row>
    <row r="101" spans="1:6" x14ac:dyDescent="0.35">
      <c r="A101" t="s">
        <v>177</v>
      </c>
      <c r="B101">
        <v>1085</v>
      </c>
      <c r="C101">
        <v>50</v>
      </c>
      <c r="D101" t="s">
        <v>12</v>
      </c>
      <c r="E101">
        <v>50</v>
      </c>
      <c r="F101" s="1">
        <v>45689</v>
      </c>
    </row>
    <row r="102" spans="1:6" x14ac:dyDescent="0.35">
      <c r="A102" t="s">
        <v>178</v>
      </c>
      <c r="B102">
        <v>1085</v>
      </c>
      <c r="C102">
        <v>50</v>
      </c>
      <c r="D102" t="s">
        <v>12</v>
      </c>
      <c r="E102">
        <v>50</v>
      </c>
      <c r="F102" s="1">
        <v>45717</v>
      </c>
    </row>
    <row r="103" spans="1:6" x14ac:dyDescent="0.35">
      <c r="A103" t="s">
        <v>179</v>
      </c>
      <c r="B103">
        <v>1085</v>
      </c>
      <c r="C103">
        <v>50</v>
      </c>
      <c r="D103" t="s">
        <v>12</v>
      </c>
      <c r="E103">
        <v>50</v>
      </c>
      <c r="F103" s="1">
        <v>45748</v>
      </c>
    </row>
    <row r="104" spans="1:6" x14ac:dyDescent="0.35">
      <c r="A104" t="s">
        <v>180</v>
      </c>
      <c r="B104">
        <v>1095</v>
      </c>
      <c r="C104">
        <v>500</v>
      </c>
      <c r="D104" t="s">
        <v>12</v>
      </c>
      <c r="E104">
        <v>500</v>
      </c>
      <c r="F104" s="1">
        <v>45413</v>
      </c>
    </row>
    <row r="105" spans="1:6" x14ac:dyDescent="0.35">
      <c r="A105" t="s">
        <v>181</v>
      </c>
      <c r="B105">
        <v>1095</v>
      </c>
      <c r="C105">
        <v>500</v>
      </c>
      <c r="D105" t="s">
        <v>12</v>
      </c>
      <c r="E105">
        <v>500</v>
      </c>
      <c r="F105" s="1">
        <v>45444</v>
      </c>
    </row>
    <row r="106" spans="1:6" x14ac:dyDescent="0.35">
      <c r="A106" t="s">
        <v>182</v>
      </c>
      <c r="B106">
        <v>1095</v>
      </c>
      <c r="C106">
        <v>500</v>
      </c>
      <c r="D106" t="s">
        <v>12</v>
      </c>
      <c r="E106">
        <v>500</v>
      </c>
      <c r="F106" s="1">
        <v>45474</v>
      </c>
    </row>
    <row r="107" spans="1:6" x14ac:dyDescent="0.35">
      <c r="A107" t="s">
        <v>183</v>
      </c>
      <c r="B107">
        <v>1095</v>
      </c>
      <c r="C107">
        <v>500</v>
      </c>
      <c r="D107" t="s">
        <v>12</v>
      </c>
      <c r="E107">
        <v>500</v>
      </c>
      <c r="F107" s="1">
        <v>45505</v>
      </c>
    </row>
    <row r="108" spans="1:6" x14ac:dyDescent="0.35">
      <c r="A108" t="s">
        <v>184</v>
      </c>
      <c r="B108">
        <v>1119</v>
      </c>
      <c r="C108">
        <v>500</v>
      </c>
      <c r="D108" t="s">
        <v>12</v>
      </c>
      <c r="E108">
        <v>500</v>
      </c>
      <c r="F108" s="1">
        <v>45474</v>
      </c>
    </row>
    <row r="109" spans="1:6" x14ac:dyDescent="0.35">
      <c r="A109" t="s">
        <v>185</v>
      </c>
      <c r="B109">
        <v>1119</v>
      </c>
      <c r="C109">
        <v>500</v>
      </c>
      <c r="D109" t="s">
        <v>12</v>
      </c>
      <c r="E109">
        <v>500</v>
      </c>
      <c r="F109" s="1">
        <v>45505</v>
      </c>
    </row>
    <row r="110" spans="1:6" x14ac:dyDescent="0.35">
      <c r="A110" t="s">
        <v>186</v>
      </c>
      <c r="B110">
        <v>1119</v>
      </c>
      <c r="C110">
        <v>500</v>
      </c>
      <c r="D110" t="s">
        <v>12</v>
      </c>
      <c r="E110">
        <v>500</v>
      </c>
      <c r="F110" s="1">
        <v>45536</v>
      </c>
    </row>
    <row r="111" spans="1:6" x14ac:dyDescent="0.35">
      <c r="A111" t="s">
        <v>187</v>
      </c>
      <c r="B111">
        <v>1119</v>
      </c>
      <c r="C111">
        <v>500</v>
      </c>
      <c r="D111" t="s">
        <v>12</v>
      </c>
      <c r="E111">
        <v>500</v>
      </c>
      <c r="F111" s="1">
        <v>45566</v>
      </c>
    </row>
    <row r="112" spans="1:6" x14ac:dyDescent="0.35">
      <c r="A112" t="s">
        <v>188</v>
      </c>
      <c r="B112">
        <v>1119</v>
      </c>
      <c r="C112">
        <v>500</v>
      </c>
      <c r="D112" t="s">
        <v>12</v>
      </c>
      <c r="E112">
        <v>500</v>
      </c>
      <c r="F112" s="1">
        <v>45597</v>
      </c>
    </row>
    <row r="113" spans="1:6" x14ac:dyDescent="0.35">
      <c r="A113" t="s">
        <v>189</v>
      </c>
      <c r="B113">
        <v>1119</v>
      </c>
      <c r="C113">
        <v>500</v>
      </c>
      <c r="D113" t="s">
        <v>12</v>
      </c>
      <c r="E113">
        <v>500</v>
      </c>
      <c r="F113" s="1">
        <v>45627</v>
      </c>
    </row>
    <row r="114" spans="1:6" x14ac:dyDescent="0.35">
      <c r="A114" t="s">
        <v>190</v>
      </c>
      <c r="B114">
        <v>1119</v>
      </c>
      <c r="C114">
        <v>500</v>
      </c>
      <c r="D114" t="s">
        <v>12</v>
      </c>
      <c r="E114">
        <v>500</v>
      </c>
      <c r="F114" s="1">
        <v>45658</v>
      </c>
    </row>
    <row r="115" spans="1:6" x14ac:dyDescent="0.35">
      <c r="A115" t="s">
        <v>191</v>
      </c>
      <c r="B115">
        <v>1119</v>
      </c>
      <c r="C115">
        <v>500</v>
      </c>
      <c r="D115" t="s">
        <v>12</v>
      </c>
      <c r="E115">
        <v>500</v>
      </c>
      <c r="F115" s="1">
        <v>45689</v>
      </c>
    </row>
    <row r="116" spans="1:6" x14ac:dyDescent="0.35">
      <c r="A116" t="s">
        <v>192</v>
      </c>
      <c r="B116">
        <v>1119</v>
      </c>
      <c r="C116">
        <v>500</v>
      </c>
      <c r="D116" t="s">
        <v>12</v>
      </c>
      <c r="E116">
        <v>500</v>
      </c>
      <c r="F116" s="1">
        <v>45717</v>
      </c>
    </row>
    <row r="117" spans="1:6" x14ac:dyDescent="0.35">
      <c r="A117" t="s">
        <v>193</v>
      </c>
      <c r="B117">
        <v>1120</v>
      </c>
      <c r="C117">
        <v>500</v>
      </c>
      <c r="D117" t="s">
        <v>12</v>
      </c>
      <c r="E117">
        <v>500</v>
      </c>
      <c r="F117" s="1">
        <v>45505</v>
      </c>
    </row>
    <row r="118" spans="1:6" x14ac:dyDescent="0.35">
      <c r="A118" t="s">
        <v>194</v>
      </c>
      <c r="B118">
        <v>1120</v>
      </c>
      <c r="C118">
        <v>500</v>
      </c>
      <c r="D118" t="s">
        <v>12</v>
      </c>
      <c r="E118">
        <v>500</v>
      </c>
      <c r="F118" s="1">
        <v>45536</v>
      </c>
    </row>
    <row r="119" spans="1:6" x14ac:dyDescent="0.35">
      <c r="A119" t="s">
        <v>195</v>
      </c>
      <c r="B119">
        <v>1120</v>
      </c>
      <c r="C119">
        <v>500</v>
      </c>
      <c r="D119" t="s">
        <v>12</v>
      </c>
      <c r="E119">
        <v>500</v>
      </c>
      <c r="F119" s="1">
        <v>45566</v>
      </c>
    </row>
    <row r="120" spans="1:6" x14ac:dyDescent="0.35">
      <c r="A120" t="s">
        <v>196</v>
      </c>
      <c r="B120">
        <v>1120</v>
      </c>
      <c r="C120">
        <v>500</v>
      </c>
      <c r="D120" t="s">
        <v>12</v>
      </c>
      <c r="E120">
        <v>500</v>
      </c>
      <c r="F120" s="1">
        <v>45597</v>
      </c>
    </row>
    <row r="121" spans="1:6" x14ac:dyDescent="0.35">
      <c r="A121" t="s">
        <v>197</v>
      </c>
      <c r="B121">
        <v>1120</v>
      </c>
      <c r="C121">
        <v>500</v>
      </c>
      <c r="D121" t="s">
        <v>12</v>
      </c>
      <c r="E121">
        <v>500</v>
      </c>
      <c r="F121" s="1">
        <v>45627</v>
      </c>
    </row>
    <row r="122" spans="1:6" x14ac:dyDescent="0.35">
      <c r="A122" t="s">
        <v>198</v>
      </c>
      <c r="B122">
        <v>1120</v>
      </c>
      <c r="C122">
        <v>500</v>
      </c>
      <c r="D122" t="s">
        <v>12</v>
      </c>
      <c r="E122">
        <v>500</v>
      </c>
      <c r="F122" s="1">
        <v>45658</v>
      </c>
    </row>
    <row r="123" spans="1:6" x14ac:dyDescent="0.35">
      <c r="A123" t="s">
        <v>199</v>
      </c>
      <c r="B123">
        <v>1120</v>
      </c>
      <c r="C123">
        <v>500</v>
      </c>
      <c r="D123" t="s">
        <v>12</v>
      </c>
      <c r="E123">
        <v>500</v>
      </c>
      <c r="F123" s="1">
        <v>45689</v>
      </c>
    </row>
    <row r="124" spans="1:6" x14ac:dyDescent="0.35">
      <c r="A124" t="s">
        <v>200</v>
      </c>
      <c r="B124">
        <v>1125</v>
      </c>
      <c r="C124">
        <v>500</v>
      </c>
      <c r="D124" t="s">
        <v>12</v>
      </c>
      <c r="E124">
        <v>500</v>
      </c>
      <c r="F124" s="1">
        <v>45505</v>
      </c>
    </row>
    <row r="125" spans="1:6" x14ac:dyDescent="0.35">
      <c r="A125" t="s">
        <v>201</v>
      </c>
      <c r="B125">
        <v>1125</v>
      </c>
      <c r="C125">
        <v>500</v>
      </c>
      <c r="D125" t="s">
        <v>12</v>
      </c>
      <c r="E125">
        <v>500</v>
      </c>
      <c r="F125" s="1">
        <v>45536</v>
      </c>
    </row>
    <row r="126" spans="1:6" x14ac:dyDescent="0.35">
      <c r="A126" t="s">
        <v>202</v>
      </c>
      <c r="B126">
        <v>1125</v>
      </c>
      <c r="C126">
        <v>500</v>
      </c>
      <c r="D126" t="s">
        <v>12</v>
      </c>
      <c r="E126">
        <v>500</v>
      </c>
      <c r="F126" s="1">
        <v>45566</v>
      </c>
    </row>
    <row r="127" spans="1:6" x14ac:dyDescent="0.35">
      <c r="A127" t="s">
        <v>203</v>
      </c>
      <c r="B127">
        <v>1125</v>
      </c>
      <c r="C127">
        <v>500</v>
      </c>
      <c r="D127" t="s">
        <v>12</v>
      </c>
      <c r="E127">
        <v>500</v>
      </c>
      <c r="F127" s="1">
        <v>45597</v>
      </c>
    </row>
    <row r="128" spans="1:6" x14ac:dyDescent="0.35">
      <c r="A128" t="s">
        <v>204</v>
      </c>
      <c r="B128">
        <v>1125</v>
      </c>
      <c r="C128">
        <v>500</v>
      </c>
      <c r="D128" t="s">
        <v>12</v>
      </c>
      <c r="E128">
        <v>500</v>
      </c>
      <c r="F128" s="1">
        <v>45627</v>
      </c>
    </row>
    <row r="129" spans="1:6" x14ac:dyDescent="0.35">
      <c r="A129" t="s">
        <v>205</v>
      </c>
      <c r="B129">
        <v>1132</v>
      </c>
      <c r="C129">
        <v>50</v>
      </c>
      <c r="D129" t="s">
        <v>12</v>
      </c>
      <c r="E129">
        <v>50</v>
      </c>
      <c r="F129" s="1">
        <v>45597</v>
      </c>
    </row>
    <row r="130" spans="1:6" x14ac:dyDescent="0.35">
      <c r="A130" t="s">
        <v>206</v>
      </c>
      <c r="B130">
        <v>1132</v>
      </c>
      <c r="C130">
        <v>50</v>
      </c>
      <c r="D130" t="s">
        <v>12</v>
      </c>
      <c r="E130">
        <v>50</v>
      </c>
      <c r="F130" s="1">
        <v>45627</v>
      </c>
    </row>
    <row r="131" spans="1:6" x14ac:dyDescent="0.35">
      <c r="A131" t="s">
        <v>207</v>
      </c>
      <c r="B131">
        <v>1132</v>
      </c>
      <c r="C131">
        <v>50</v>
      </c>
      <c r="D131" t="s">
        <v>12</v>
      </c>
      <c r="E131">
        <v>50</v>
      </c>
      <c r="F131" s="1">
        <v>45658</v>
      </c>
    </row>
    <row r="132" spans="1:6" x14ac:dyDescent="0.35">
      <c r="A132" t="s">
        <v>208</v>
      </c>
      <c r="B132">
        <v>1132</v>
      </c>
      <c r="C132">
        <v>50</v>
      </c>
      <c r="D132" t="s">
        <v>12</v>
      </c>
      <c r="E132">
        <v>50</v>
      </c>
      <c r="F132" s="1">
        <v>45689</v>
      </c>
    </row>
    <row r="133" spans="1:6" x14ac:dyDescent="0.35">
      <c r="A133" t="s">
        <v>209</v>
      </c>
      <c r="B133">
        <v>1132</v>
      </c>
      <c r="C133">
        <v>50</v>
      </c>
      <c r="D133" t="s">
        <v>12</v>
      </c>
      <c r="E133">
        <v>50</v>
      </c>
      <c r="F133" s="1">
        <v>45717</v>
      </c>
    </row>
    <row r="134" spans="1:6" x14ac:dyDescent="0.35">
      <c r="A134" t="s">
        <v>210</v>
      </c>
      <c r="B134">
        <v>1132</v>
      </c>
      <c r="C134">
        <v>50</v>
      </c>
      <c r="D134" t="s">
        <v>12</v>
      </c>
      <c r="E134">
        <v>50</v>
      </c>
      <c r="F134" s="1">
        <v>45748</v>
      </c>
    </row>
    <row r="135" spans="1:6" x14ac:dyDescent="0.35">
      <c r="A135" t="s">
        <v>211</v>
      </c>
      <c r="B135">
        <v>1137</v>
      </c>
      <c r="C135">
        <v>50</v>
      </c>
      <c r="D135" t="s">
        <v>12</v>
      </c>
      <c r="E135">
        <v>50</v>
      </c>
      <c r="F135" s="1">
        <v>45292</v>
      </c>
    </row>
    <row r="136" spans="1:6" x14ac:dyDescent="0.35">
      <c r="A136" t="s">
        <v>212</v>
      </c>
      <c r="B136">
        <v>1143</v>
      </c>
      <c r="C136">
        <v>200</v>
      </c>
      <c r="D136" t="s">
        <v>12</v>
      </c>
      <c r="E136">
        <v>200</v>
      </c>
      <c r="F136" s="1">
        <v>45383</v>
      </c>
    </row>
    <row r="137" spans="1:6" x14ac:dyDescent="0.35">
      <c r="A137" t="s">
        <v>213</v>
      </c>
      <c r="B137">
        <v>1143</v>
      </c>
      <c r="C137">
        <v>200</v>
      </c>
      <c r="D137" t="s">
        <v>12</v>
      </c>
      <c r="E137">
        <v>200</v>
      </c>
      <c r="F137" s="1">
        <v>45413</v>
      </c>
    </row>
    <row r="138" spans="1:6" x14ac:dyDescent="0.35">
      <c r="A138" t="s">
        <v>214</v>
      </c>
      <c r="B138">
        <v>1143</v>
      </c>
      <c r="C138">
        <v>200</v>
      </c>
      <c r="D138" t="s">
        <v>12</v>
      </c>
      <c r="E138">
        <v>200</v>
      </c>
      <c r="F138" s="1">
        <v>45444</v>
      </c>
    </row>
    <row r="139" spans="1:6" x14ac:dyDescent="0.35">
      <c r="A139" t="s">
        <v>215</v>
      </c>
      <c r="B139">
        <v>1143</v>
      </c>
      <c r="C139">
        <v>200</v>
      </c>
      <c r="D139" t="s">
        <v>12</v>
      </c>
      <c r="E139">
        <v>200</v>
      </c>
      <c r="F139" s="1">
        <v>45474</v>
      </c>
    </row>
    <row r="140" spans="1:6" x14ac:dyDescent="0.35">
      <c r="A140" t="s">
        <v>216</v>
      </c>
      <c r="B140">
        <v>1143</v>
      </c>
      <c r="C140">
        <v>200</v>
      </c>
      <c r="D140" t="s">
        <v>12</v>
      </c>
      <c r="E140">
        <v>200</v>
      </c>
      <c r="F140" s="1">
        <v>45505</v>
      </c>
    </row>
    <row r="141" spans="1:6" x14ac:dyDescent="0.35">
      <c r="A141" t="s">
        <v>217</v>
      </c>
      <c r="B141">
        <v>1143</v>
      </c>
      <c r="C141">
        <v>200</v>
      </c>
      <c r="D141" t="s">
        <v>12</v>
      </c>
      <c r="E141">
        <v>200</v>
      </c>
      <c r="F141" s="1">
        <v>45536</v>
      </c>
    </row>
    <row r="142" spans="1:6" x14ac:dyDescent="0.35">
      <c r="A142" t="s">
        <v>218</v>
      </c>
      <c r="B142">
        <v>1143</v>
      </c>
      <c r="C142">
        <v>200</v>
      </c>
      <c r="D142" t="s">
        <v>12</v>
      </c>
      <c r="E142">
        <v>200</v>
      </c>
      <c r="F142" s="1">
        <v>45566</v>
      </c>
    </row>
    <row r="143" spans="1:6" x14ac:dyDescent="0.35">
      <c r="A143" t="s">
        <v>219</v>
      </c>
      <c r="B143">
        <v>1143</v>
      </c>
      <c r="C143">
        <v>200</v>
      </c>
      <c r="D143" t="s">
        <v>12</v>
      </c>
      <c r="E143">
        <v>200</v>
      </c>
      <c r="F143" s="1">
        <v>45597</v>
      </c>
    </row>
    <row r="144" spans="1:6" x14ac:dyDescent="0.35">
      <c r="A144" t="s">
        <v>220</v>
      </c>
      <c r="B144">
        <v>1143</v>
      </c>
      <c r="C144">
        <v>200</v>
      </c>
      <c r="D144" t="s">
        <v>12</v>
      </c>
      <c r="E144">
        <v>200</v>
      </c>
      <c r="F144" s="1">
        <v>45627</v>
      </c>
    </row>
    <row r="145" spans="1:6" x14ac:dyDescent="0.35">
      <c r="A145" t="s">
        <v>221</v>
      </c>
      <c r="B145">
        <v>1143</v>
      </c>
      <c r="C145">
        <v>200</v>
      </c>
      <c r="D145" t="s">
        <v>12</v>
      </c>
      <c r="E145">
        <v>200</v>
      </c>
      <c r="F145" s="1">
        <v>45658</v>
      </c>
    </row>
    <row r="146" spans="1:6" x14ac:dyDescent="0.35">
      <c r="A146" t="s">
        <v>222</v>
      </c>
      <c r="B146">
        <v>1151</v>
      </c>
      <c r="C146">
        <v>500</v>
      </c>
      <c r="D146" t="s">
        <v>12</v>
      </c>
      <c r="E146">
        <v>500</v>
      </c>
      <c r="F146" s="1">
        <v>45474</v>
      </c>
    </row>
    <row r="147" spans="1:6" x14ac:dyDescent="0.35">
      <c r="A147" t="s">
        <v>223</v>
      </c>
      <c r="B147">
        <v>1151</v>
      </c>
      <c r="C147">
        <v>500</v>
      </c>
      <c r="D147" t="s">
        <v>12</v>
      </c>
      <c r="E147">
        <v>500</v>
      </c>
      <c r="F147" s="1">
        <v>45505</v>
      </c>
    </row>
    <row r="148" spans="1:6" x14ac:dyDescent="0.35">
      <c r="A148" t="s">
        <v>224</v>
      </c>
      <c r="B148">
        <v>1151</v>
      </c>
      <c r="C148">
        <v>500</v>
      </c>
      <c r="D148" t="s">
        <v>12</v>
      </c>
      <c r="E148">
        <v>500</v>
      </c>
      <c r="F148" s="1">
        <v>45536</v>
      </c>
    </row>
    <row r="149" spans="1:6" x14ac:dyDescent="0.35">
      <c r="A149" t="s">
        <v>225</v>
      </c>
      <c r="B149">
        <v>1151</v>
      </c>
      <c r="C149">
        <v>500</v>
      </c>
      <c r="D149" t="s">
        <v>12</v>
      </c>
      <c r="E149">
        <v>500</v>
      </c>
      <c r="F149" s="1">
        <v>45566</v>
      </c>
    </row>
    <row r="150" spans="1:6" x14ac:dyDescent="0.35">
      <c r="A150" t="s">
        <v>226</v>
      </c>
      <c r="B150">
        <v>1151</v>
      </c>
      <c r="C150">
        <v>500</v>
      </c>
      <c r="D150" t="s">
        <v>12</v>
      </c>
      <c r="E150">
        <v>500</v>
      </c>
      <c r="F150" s="1">
        <v>45597</v>
      </c>
    </row>
    <row r="151" spans="1:6" x14ac:dyDescent="0.35">
      <c r="A151" t="s">
        <v>227</v>
      </c>
      <c r="B151">
        <v>1151</v>
      </c>
      <c r="C151">
        <v>500</v>
      </c>
      <c r="D151" t="s">
        <v>12</v>
      </c>
      <c r="E151">
        <v>500</v>
      </c>
      <c r="F151" s="1">
        <v>45627</v>
      </c>
    </row>
    <row r="152" spans="1:6" x14ac:dyDescent="0.35">
      <c r="A152" t="s">
        <v>228</v>
      </c>
      <c r="B152">
        <v>1151</v>
      </c>
      <c r="C152">
        <v>500</v>
      </c>
      <c r="D152" t="s">
        <v>12</v>
      </c>
      <c r="E152">
        <v>500</v>
      </c>
      <c r="F152" s="1">
        <v>45658</v>
      </c>
    </row>
    <row r="153" spans="1:6" x14ac:dyDescent="0.35">
      <c r="A153" t="s">
        <v>229</v>
      </c>
      <c r="B153">
        <v>1151</v>
      </c>
      <c r="C153">
        <v>500</v>
      </c>
      <c r="D153" t="s">
        <v>12</v>
      </c>
      <c r="E153">
        <v>500</v>
      </c>
      <c r="F153" s="1">
        <v>45689</v>
      </c>
    </row>
    <row r="154" spans="1:6" x14ac:dyDescent="0.35">
      <c r="A154" t="s">
        <v>230</v>
      </c>
      <c r="B154">
        <v>1151</v>
      </c>
      <c r="C154">
        <v>500</v>
      </c>
      <c r="D154" t="s">
        <v>12</v>
      </c>
      <c r="E154">
        <v>500</v>
      </c>
      <c r="F154" s="1">
        <v>45717</v>
      </c>
    </row>
    <row r="155" spans="1:6" x14ac:dyDescent="0.35">
      <c r="A155" t="s">
        <v>231</v>
      </c>
      <c r="B155">
        <v>1151</v>
      </c>
      <c r="C155">
        <v>500</v>
      </c>
      <c r="D155" t="s">
        <v>12</v>
      </c>
      <c r="E155">
        <v>500</v>
      </c>
      <c r="F155" s="1">
        <v>45748</v>
      </c>
    </row>
    <row r="156" spans="1:6" x14ac:dyDescent="0.35">
      <c r="A156" t="s">
        <v>232</v>
      </c>
      <c r="B156">
        <v>1154</v>
      </c>
      <c r="C156">
        <v>50</v>
      </c>
      <c r="D156" t="s">
        <v>12</v>
      </c>
      <c r="E156">
        <v>50</v>
      </c>
      <c r="F156" s="1">
        <v>45809</v>
      </c>
    </row>
    <row r="157" spans="1:6" x14ac:dyDescent="0.35">
      <c r="A157" t="s">
        <v>233</v>
      </c>
      <c r="B157">
        <v>1167</v>
      </c>
      <c r="C157">
        <v>500</v>
      </c>
      <c r="D157" t="s">
        <v>12</v>
      </c>
      <c r="E157">
        <v>500</v>
      </c>
      <c r="F157" s="1">
        <v>45292</v>
      </c>
    </row>
    <row r="158" spans="1:6" x14ac:dyDescent="0.35">
      <c r="A158" t="s">
        <v>234</v>
      </c>
      <c r="B158">
        <v>1167</v>
      </c>
      <c r="C158">
        <v>500</v>
      </c>
      <c r="D158" t="s">
        <v>12</v>
      </c>
      <c r="E158">
        <v>500</v>
      </c>
      <c r="F158" s="1">
        <v>45323</v>
      </c>
    </row>
    <row r="159" spans="1:6" x14ac:dyDescent="0.35">
      <c r="A159" t="s">
        <v>235</v>
      </c>
      <c r="B159">
        <v>1167</v>
      </c>
      <c r="C159">
        <v>500</v>
      </c>
      <c r="D159" t="s">
        <v>12</v>
      </c>
      <c r="E159">
        <v>500</v>
      </c>
      <c r="F159" s="1">
        <v>45352</v>
      </c>
    </row>
    <row r="160" spans="1:6" x14ac:dyDescent="0.35">
      <c r="A160" t="s">
        <v>236</v>
      </c>
      <c r="B160">
        <v>1167</v>
      </c>
      <c r="C160">
        <v>500</v>
      </c>
      <c r="D160" t="s">
        <v>12</v>
      </c>
      <c r="E160">
        <v>500</v>
      </c>
      <c r="F160" s="1">
        <v>45383</v>
      </c>
    </row>
    <row r="161" spans="1:6" x14ac:dyDescent="0.35">
      <c r="A161" t="s">
        <v>237</v>
      </c>
      <c r="B161">
        <v>1167</v>
      </c>
      <c r="C161">
        <v>500</v>
      </c>
      <c r="D161" t="s">
        <v>12</v>
      </c>
      <c r="E161">
        <v>500</v>
      </c>
      <c r="F161" s="1">
        <v>45413</v>
      </c>
    </row>
    <row r="162" spans="1:6" x14ac:dyDescent="0.35">
      <c r="A162" t="s">
        <v>238</v>
      </c>
      <c r="B162">
        <v>1167</v>
      </c>
      <c r="C162">
        <v>500</v>
      </c>
      <c r="D162" t="s">
        <v>12</v>
      </c>
      <c r="E162">
        <v>500</v>
      </c>
      <c r="F162" s="1">
        <v>45444</v>
      </c>
    </row>
    <row r="163" spans="1:6" x14ac:dyDescent="0.35">
      <c r="A163" t="s">
        <v>239</v>
      </c>
      <c r="B163">
        <v>1167</v>
      </c>
      <c r="C163">
        <v>500</v>
      </c>
      <c r="D163" t="s">
        <v>12</v>
      </c>
      <c r="E163">
        <v>500</v>
      </c>
      <c r="F163" s="1">
        <v>45474</v>
      </c>
    </row>
    <row r="164" spans="1:6" x14ac:dyDescent="0.35">
      <c r="A164" t="s">
        <v>240</v>
      </c>
      <c r="B164">
        <v>1167</v>
      </c>
      <c r="C164">
        <v>500</v>
      </c>
      <c r="D164" t="s">
        <v>12</v>
      </c>
      <c r="E164">
        <v>500</v>
      </c>
      <c r="F164" s="1">
        <v>45505</v>
      </c>
    </row>
    <row r="165" spans="1:6" x14ac:dyDescent="0.35">
      <c r="A165" t="s">
        <v>241</v>
      </c>
      <c r="B165">
        <v>1167</v>
      </c>
      <c r="C165">
        <v>500</v>
      </c>
      <c r="D165" t="s">
        <v>12</v>
      </c>
      <c r="E165">
        <v>500</v>
      </c>
      <c r="F165" s="1">
        <v>45536</v>
      </c>
    </row>
    <row r="166" spans="1:6" x14ac:dyDescent="0.35">
      <c r="A166" t="s">
        <v>242</v>
      </c>
      <c r="B166">
        <v>1167</v>
      </c>
      <c r="C166">
        <v>500</v>
      </c>
      <c r="D166" t="s">
        <v>12</v>
      </c>
      <c r="E166">
        <v>500</v>
      </c>
      <c r="F166" s="1">
        <v>45566</v>
      </c>
    </row>
    <row r="167" spans="1:6" x14ac:dyDescent="0.35">
      <c r="A167" t="s">
        <v>243</v>
      </c>
      <c r="B167">
        <v>1167</v>
      </c>
      <c r="C167">
        <v>500</v>
      </c>
      <c r="D167" t="s">
        <v>12</v>
      </c>
      <c r="E167">
        <v>500</v>
      </c>
      <c r="F167" s="1">
        <v>45597</v>
      </c>
    </row>
    <row r="168" spans="1:6" x14ac:dyDescent="0.35">
      <c r="A168" t="s">
        <v>244</v>
      </c>
      <c r="B168">
        <v>1167</v>
      </c>
      <c r="C168">
        <v>500</v>
      </c>
      <c r="D168" t="s">
        <v>12</v>
      </c>
      <c r="E168">
        <v>500</v>
      </c>
      <c r="F168" s="1">
        <v>45627</v>
      </c>
    </row>
    <row r="169" spans="1:6" x14ac:dyDescent="0.35">
      <c r="A169" t="s">
        <v>245</v>
      </c>
      <c r="B169">
        <v>1167</v>
      </c>
      <c r="C169">
        <v>500</v>
      </c>
      <c r="D169" t="s">
        <v>12</v>
      </c>
      <c r="E169">
        <v>500</v>
      </c>
      <c r="F169" s="1">
        <v>45658</v>
      </c>
    </row>
    <row r="170" spans="1:6" x14ac:dyDescent="0.35">
      <c r="A170" t="s">
        <v>246</v>
      </c>
      <c r="B170">
        <v>1175</v>
      </c>
      <c r="C170">
        <v>500</v>
      </c>
      <c r="D170" t="s">
        <v>12</v>
      </c>
      <c r="E170">
        <v>500</v>
      </c>
      <c r="F170" s="1">
        <v>45474</v>
      </c>
    </row>
    <row r="171" spans="1:6" x14ac:dyDescent="0.35">
      <c r="A171" t="s">
        <v>247</v>
      </c>
      <c r="B171">
        <v>1175</v>
      </c>
      <c r="C171">
        <v>500</v>
      </c>
      <c r="D171" t="s">
        <v>12</v>
      </c>
      <c r="E171">
        <v>500</v>
      </c>
      <c r="F171" s="1">
        <v>45505</v>
      </c>
    </row>
    <row r="172" spans="1:6" x14ac:dyDescent="0.35">
      <c r="A172" t="s">
        <v>248</v>
      </c>
      <c r="B172">
        <v>1178</v>
      </c>
      <c r="C172">
        <v>50</v>
      </c>
      <c r="D172" t="s">
        <v>12</v>
      </c>
      <c r="E172">
        <v>50</v>
      </c>
      <c r="F172" s="1">
        <v>45658</v>
      </c>
    </row>
    <row r="173" spans="1:6" x14ac:dyDescent="0.35">
      <c r="A173" t="s">
        <v>249</v>
      </c>
      <c r="B173">
        <v>1178</v>
      </c>
      <c r="C173">
        <v>50</v>
      </c>
      <c r="D173" t="s">
        <v>12</v>
      </c>
      <c r="E173">
        <v>50</v>
      </c>
      <c r="F173" s="1">
        <v>45689</v>
      </c>
    </row>
    <row r="174" spans="1:6" x14ac:dyDescent="0.35">
      <c r="A174" t="s">
        <v>250</v>
      </c>
      <c r="B174">
        <v>1181</v>
      </c>
      <c r="C174">
        <v>50</v>
      </c>
      <c r="D174" t="s">
        <v>12</v>
      </c>
      <c r="E174">
        <v>50</v>
      </c>
      <c r="F174" s="1">
        <v>45292</v>
      </c>
    </row>
    <row r="175" spans="1:6" x14ac:dyDescent="0.35">
      <c r="A175" t="s">
        <v>251</v>
      </c>
      <c r="B175">
        <v>1181</v>
      </c>
      <c r="C175">
        <v>50</v>
      </c>
      <c r="D175" t="s">
        <v>12</v>
      </c>
      <c r="E175">
        <v>50</v>
      </c>
      <c r="F175" s="1">
        <v>45323</v>
      </c>
    </row>
    <row r="176" spans="1:6" x14ac:dyDescent="0.35">
      <c r="A176" t="s">
        <v>252</v>
      </c>
      <c r="B176">
        <v>1181</v>
      </c>
      <c r="C176">
        <v>50</v>
      </c>
      <c r="D176" t="s">
        <v>12</v>
      </c>
      <c r="E176">
        <v>50</v>
      </c>
      <c r="F176" s="1">
        <v>45352</v>
      </c>
    </row>
    <row r="177" spans="1:6" x14ac:dyDescent="0.35">
      <c r="A177" t="s">
        <v>253</v>
      </c>
      <c r="B177">
        <v>1181</v>
      </c>
      <c r="C177">
        <v>50</v>
      </c>
      <c r="D177" t="s">
        <v>12</v>
      </c>
      <c r="E177">
        <v>50</v>
      </c>
      <c r="F177" s="1">
        <v>45383</v>
      </c>
    </row>
    <row r="178" spans="1:6" x14ac:dyDescent="0.35">
      <c r="A178" t="s">
        <v>254</v>
      </c>
      <c r="B178">
        <v>1181</v>
      </c>
      <c r="C178">
        <v>50</v>
      </c>
      <c r="D178" t="s">
        <v>12</v>
      </c>
      <c r="E178">
        <v>50</v>
      </c>
      <c r="F178" s="1">
        <v>45413</v>
      </c>
    </row>
    <row r="179" spans="1:6" x14ac:dyDescent="0.35">
      <c r="A179" t="s">
        <v>255</v>
      </c>
      <c r="B179">
        <v>1185</v>
      </c>
      <c r="C179">
        <v>200</v>
      </c>
      <c r="D179" t="s">
        <v>12</v>
      </c>
      <c r="E179">
        <v>200</v>
      </c>
      <c r="F179" s="1">
        <v>45627</v>
      </c>
    </row>
    <row r="180" spans="1:6" x14ac:dyDescent="0.35">
      <c r="A180" t="s">
        <v>256</v>
      </c>
      <c r="B180">
        <v>1185</v>
      </c>
      <c r="C180">
        <v>200</v>
      </c>
      <c r="D180" t="s">
        <v>12</v>
      </c>
      <c r="E180">
        <v>200</v>
      </c>
      <c r="F180" s="1">
        <v>45658</v>
      </c>
    </row>
    <row r="181" spans="1:6" x14ac:dyDescent="0.35">
      <c r="A181" t="s">
        <v>257</v>
      </c>
      <c r="B181">
        <v>1185</v>
      </c>
      <c r="C181">
        <v>200</v>
      </c>
      <c r="D181" t="s">
        <v>12</v>
      </c>
      <c r="E181">
        <v>200</v>
      </c>
      <c r="F181" s="1">
        <v>45689</v>
      </c>
    </row>
    <row r="182" spans="1:6" x14ac:dyDescent="0.35">
      <c r="A182" t="s">
        <v>258</v>
      </c>
      <c r="B182">
        <v>1185</v>
      </c>
      <c r="C182">
        <v>200</v>
      </c>
      <c r="D182" t="s">
        <v>12</v>
      </c>
      <c r="E182">
        <v>200</v>
      </c>
      <c r="F182" s="1">
        <v>45717</v>
      </c>
    </row>
    <row r="183" spans="1:6" x14ac:dyDescent="0.35">
      <c r="A183" t="s">
        <v>259</v>
      </c>
      <c r="B183">
        <v>1185</v>
      </c>
      <c r="C183">
        <v>200</v>
      </c>
      <c r="D183" t="s">
        <v>12</v>
      </c>
      <c r="E183">
        <v>200</v>
      </c>
      <c r="F183" s="1">
        <v>45748</v>
      </c>
    </row>
    <row r="184" spans="1:6" x14ac:dyDescent="0.35">
      <c r="A184" t="s">
        <v>260</v>
      </c>
      <c r="B184">
        <v>1185</v>
      </c>
      <c r="C184">
        <v>200</v>
      </c>
      <c r="D184" t="s">
        <v>12</v>
      </c>
      <c r="E184">
        <v>200</v>
      </c>
      <c r="F184" s="1">
        <v>45778</v>
      </c>
    </row>
    <row r="185" spans="1:6" x14ac:dyDescent="0.35">
      <c r="A185" t="s">
        <v>261</v>
      </c>
      <c r="B185">
        <v>1185</v>
      </c>
      <c r="C185">
        <v>200</v>
      </c>
      <c r="D185" t="s">
        <v>12</v>
      </c>
      <c r="E185">
        <v>200</v>
      </c>
      <c r="F185" s="1">
        <v>45809</v>
      </c>
    </row>
    <row r="186" spans="1:6" x14ac:dyDescent="0.35">
      <c r="A186" t="s">
        <v>262</v>
      </c>
      <c r="B186">
        <v>1188</v>
      </c>
      <c r="C186">
        <v>200</v>
      </c>
      <c r="D186" t="s">
        <v>12</v>
      </c>
      <c r="E186">
        <v>200</v>
      </c>
      <c r="F186" s="1">
        <v>45474</v>
      </c>
    </row>
    <row r="187" spans="1:6" x14ac:dyDescent="0.35">
      <c r="A187" t="s">
        <v>263</v>
      </c>
      <c r="B187">
        <v>1188</v>
      </c>
      <c r="C187">
        <v>200</v>
      </c>
      <c r="D187" t="s">
        <v>12</v>
      </c>
      <c r="E187">
        <v>200</v>
      </c>
      <c r="F187" s="1">
        <v>45505</v>
      </c>
    </row>
    <row r="188" spans="1:6" x14ac:dyDescent="0.35">
      <c r="A188" t="s">
        <v>264</v>
      </c>
      <c r="B188">
        <v>1188</v>
      </c>
      <c r="C188">
        <v>200</v>
      </c>
      <c r="D188" t="s">
        <v>12</v>
      </c>
      <c r="E188">
        <v>200</v>
      </c>
      <c r="F188" s="1">
        <v>45536</v>
      </c>
    </row>
    <row r="189" spans="1:6" x14ac:dyDescent="0.35">
      <c r="A189" t="s">
        <v>265</v>
      </c>
      <c r="B189">
        <v>1193</v>
      </c>
      <c r="C189">
        <v>200</v>
      </c>
      <c r="D189" t="s">
        <v>12</v>
      </c>
      <c r="E189">
        <v>200</v>
      </c>
      <c r="F189" s="1">
        <v>45292</v>
      </c>
    </row>
    <row r="190" spans="1:6" x14ac:dyDescent="0.35">
      <c r="A190" t="s">
        <v>266</v>
      </c>
      <c r="B190">
        <v>1193</v>
      </c>
      <c r="C190">
        <v>200</v>
      </c>
      <c r="D190" t="s">
        <v>12</v>
      </c>
      <c r="E190">
        <v>200</v>
      </c>
      <c r="F190" s="1">
        <v>45323</v>
      </c>
    </row>
    <row r="191" spans="1:6" x14ac:dyDescent="0.35">
      <c r="A191" t="s">
        <v>267</v>
      </c>
      <c r="B191">
        <v>1193</v>
      </c>
      <c r="C191">
        <v>200</v>
      </c>
      <c r="D191" t="s">
        <v>12</v>
      </c>
      <c r="E191">
        <v>200</v>
      </c>
      <c r="F191" s="1">
        <v>45352</v>
      </c>
    </row>
    <row r="192" spans="1:6" x14ac:dyDescent="0.35">
      <c r="A192" t="s">
        <v>268</v>
      </c>
      <c r="B192">
        <v>1193</v>
      </c>
      <c r="C192">
        <v>200</v>
      </c>
      <c r="D192" t="s">
        <v>12</v>
      </c>
      <c r="E192">
        <v>200</v>
      </c>
      <c r="F192" s="1">
        <v>45383</v>
      </c>
    </row>
    <row r="193" spans="1:6" x14ac:dyDescent="0.35">
      <c r="A193" t="s">
        <v>269</v>
      </c>
      <c r="B193">
        <v>1193</v>
      </c>
      <c r="C193">
        <v>200</v>
      </c>
      <c r="D193" t="s">
        <v>12</v>
      </c>
      <c r="E193">
        <v>200</v>
      </c>
      <c r="F193" s="1">
        <v>45413</v>
      </c>
    </row>
    <row r="194" spans="1:6" x14ac:dyDescent="0.35">
      <c r="A194" t="s">
        <v>270</v>
      </c>
      <c r="B194">
        <v>1193</v>
      </c>
      <c r="C194">
        <v>200</v>
      </c>
      <c r="D194" t="s">
        <v>12</v>
      </c>
      <c r="E194">
        <v>200</v>
      </c>
      <c r="F194" s="1">
        <v>45444</v>
      </c>
    </row>
    <row r="195" spans="1:6" x14ac:dyDescent="0.35">
      <c r="A195" t="s">
        <v>271</v>
      </c>
      <c r="B195">
        <v>1193</v>
      </c>
      <c r="C195">
        <v>200</v>
      </c>
      <c r="D195" t="s">
        <v>12</v>
      </c>
      <c r="E195">
        <v>200</v>
      </c>
      <c r="F195" s="1">
        <v>45474</v>
      </c>
    </row>
    <row r="196" spans="1:6" x14ac:dyDescent="0.35">
      <c r="A196" t="s">
        <v>272</v>
      </c>
      <c r="B196">
        <v>1193</v>
      </c>
      <c r="C196">
        <v>200</v>
      </c>
      <c r="D196" t="s">
        <v>12</v>
      </c>
      <c r="E196">
        <v>200</v>
      </c>
      <c r="F196" s="1">
        <v>45505</v>
      </c>
    </row>
    <row r="197" spans="1:6" x14ac:dyDescent="0.35">
      <c r="A197" t="s">
        <v>273</v>
      </c>
      <c r="B197">
        <v>1193</v>
      </c>
      <c r="C197">
        <v>200</v>
      </c>
      <c r="D197" t="s">
        <v>12</v>
      </c>
      <c r="E197">
        <v>200</v>
      </c>
      <c r="F197" s="1">
        <v>45536</v>
      </c>
    </row>
    <row r="198" spans="1:6" x14ac:dyDescent="0.35">
      <c r="A198" t="s">
        <v>274</v>
      </c>
      <c r="B198">
        <v>1193</v>
      </c>
      <c r="C198">
        <v>200</v>
      </c>
      <c r="D198" t="s">
        <v>12</v>
      </c>
      <c r="E198">
        <v>200</v>
      </c>
      <c r="F198" s="1">
        <v>45566</v>
      </c>
    </row>
    <row r="199" spans="1:6" x14ac:dyDescent="0.35">
      <c r="A199" t="s">
        <v>275</v>
      </c>
      <c r="B199">
        <v>1193</v>
      </c>
      <c r="C199">
        <v>200</v>
      </c>
      <c r="D199" t="s">
        <v>12</v>
      </c>
      <c r="E199">
        <v>200</v>
      </c>
      <c r="F199" s="1">
        <v>45597</v>
      </c>
    </row>
    <row r="200" spans="1:6" x14ac:dyDescent="0.35">
      <c r="A200" t="s">
        <v>276</v>
      </c>
      <c r="B200">
        <v>1193</v>
      </c>
      <c r="C200">
        <v>200</v>
      </c>
      <c r="D200" t="s">
        <v>12</v>
      </c>
      <c r="E200">
        <v>200</v>
      </c>
      <c r="F200" s="1">
        <v>45627</v>
      </c>
    </row>
    <row r="201" spans="1:6" x14ac:dyDescent="0.35">
      <c r="A201" t="s">
        <v>277</v>
      </c>
      <c r="B201">
        <v>1193</v>
      </c>
      <c r="C201">
        <v>200</v>
      </c>
      <c r="D201" t="s">
        <v>12</v>
      </c>
      <c r="E201">
        <v>200</v>
      </c>
      <c r="F201" s="1">
        <v>45658</v>
      </c>
    </row>
    <row r="202" spans="1:6" x14ac:dyDescent="0.35">
      <c r="A202" t="s">
        <v>278</v>
      </c>
      <c r="B202">
        <v>1193</v>
      </c>
      <c r="C202">
        <v>200</v>
      </c>
      <c r="D202" t="s">
        <v>12</v>
      </c>
      <c r="E202">
        <v>200</v>
      </c>
      <c r="F202" s="1">
        <v>45689</v>
      </c>
    </row>
    <row r="203" spans="1:6" x14ac:dyDescent="0.35">
      <c r="A203" t="s">
        <v>279</v>
      </c>
      <c r="B203">
        <v>1193</v>
      </c>
      <c r="C203">
        <v>200</v>
      </c>
      <c r="D203" t="s">
        <v>12</v>
      </c>
      <c r="E203">
        <v>200</v>
      </c>
      <c r="F203" s="1">
        <v>45717</v>
      </c>
    </row>
    <row r="204" spans="1:6" x14ac:dyDescent="0.35">
      <c r="A204" t="s">
        <v>280</v>
      </c>
      <c r="B204">
        <v>1197</v>
      </c>
      <c r="C204">
        <v>50</v>
      </c>
      <c r="D204" t="s">
        <v>12</v>
      </c>
      <c r="E204">
        <v>50</v>
      </c>
      <c r="F204" s="1">
        <v>45717</v>
      </c>
    </row>
    <row r="205" spans="1:6" x14ac:dyDescent="0.35">
      <c r="A205" t="s">
        <v>281</v>
      </c>
      <c r="B205">
        <v>1197</v>
      </c>
      <c r="C205">
        <v>50</v>
      </c>
      <c r="D205" t="s">
        <v>12</v>
      </c>
      <c r="E205">
        <v>50</v>
      </c>
      <c r="F205" s="1">
        <v>45748</v>
      </c>
    </row>
    <row r="206" spans="1:6" x14ac:dyDescent="0.35">
      <c r="A206" t="s">
        <v>282</v>
      </c>
      <c r="B206">
        <v>1197</v>
      </c>
      <c r="C206">
        <v>50</v>
      </c>
      <c r="D206" t="s">
        <v>12</v>
      </c>
      <c r="E206">
        <v>50</v>
      </c>
      <c r="F206" s="1">
        <v>45778</v>
      </c>
    </row>
    <row r="207" spans="1:6" x14ac:dyDescent="0.35">
      <c r="A207" t="s">
        <v>283</v>
      </c>
      <c r="B207">
        <v>1197</v>
      </c>
      <c r="C207">
        <v>50</v>
      </c>
      <c r="D207" t="s">
        <v>12</v>
      </c>
      <c r="E207">
        <v>50</v>
      </c>
      <c r="F207" s="1">
        <v>45809</v>
      </c>
    </row>
    <row r="208" spans="1:6" x14ac:dyDescent="0.35">
      <c r="A208" t="s">
        <v>284</v>
      </c>
      <c r="B208">
        <v>1200</v>
      </c>
      <c r="C208">
        <v>200</v>
      </c>
      <c r="D208" t="s">
        <v>12</v>
      </c>
      <c r="E208">
        <v>200</v>
      </c>
      <c r="F208" s="1">
        <v>45352</v>
      </c>
    </row>
    <row r="209" spans="1:6" x14ac:dyDescent="0.35">
      <c r="A209" t="s">
        <v>285</v>
      </c>
      <c r="B209">
        <v>1200</v>
      </c>
      <c r="C209">
        <v>200</v>
      </c>
      <c r="D209" t="s">
        <v>12</v>
      </c>
      <c r="E209">
        <v>200</v>
      </c>
      <c r="F209" s="1">
        <v>45383</v>
      </c>
    </row>
    <row r="210" spans="1:6" x14ac:dyDescent="0.35">
      <c r="A210" t="s">
        <v>286</v>
      </c>
      <c r="B210">
        <v>1200</v>
      </c>
      <c r="C210">
        <v>200</v>
      </c>
      <c r="D210" t="s">
        <v>12</v>
      </c>
      <c r="E210">
        <v>200</v>
      </c>
      <c r="F210" s="1">
        <v>45413</v>
      </c>
    </row>
    <row r="211" spans="1:6" x14ac:dyDescent="0.35">
      <c r="A211" t="s">
        <v>287</v>
      </c>
      <c r="B211">
        <v>1200</v>
      </c>
      <c r="C211">
        <v>200</v>
      </c>
      <c r="D211" t="s">
        <v>12</v>
      </c>
      <c r="E211">
        <v>200</v>
      </c>
      <c r="F211" s="1">
        <v>45444</v>
      </c>
    </row>
    <row r="212" spans="1:6" x14ac:dyDescent="0.35">
      <c r="A212" t="s">
        <v>288</v>
      </c>
      <c r="B212">
        <v>1200</v>
      </c>
      <c r="C212">
        <v>200</v>
      </c>
      <c r="D212" t="s">
        <v>12</v>
      </c>
      <c r="E212">
        <v>200</v>
      </c>
      <c r="F212" s="1">
        <v>45474</v>
      </c>
    </row>
    <row r="213" spans="1:6" x14ac:dyDescent="0.35">
      <c r="A213" t="s">
        <v>289</v>
      </c>
      <c r="B213">
        <v>1200</v>
      </c>
      <c r="C213">
        <v>200</v>
      </c>
      <c r="D213" t="s">
        <v>12</v>
      </c>
      <c r="E213">
        <v>200</v>
      </c>
      <c r="F213" s="1">
        <v>45505</v>
      </c>
    </row>
    <row r="214" spans="1:6" x14ac:dyDescent="0.35">
      <c r="A214" t="s">
        <v>290</v>
      </c>
      <c r="B214">
        <v>1200</v>
      </c>
      <c r="C214">
        <v>200</v>
      </c>
      <c r="D214" t="s">
        <v>12</v>
      </c>
      <c r="E214">
        <v>200</v>
      </c>
      <c r="F214" s="1">
        <v>45536</v>
      </c>
    </row>
    <row r="215" spans="1:6" x14ac:dyDescent="0.35">
      <c r="A215" t="s">
        <v>291</v>
      </c>
      <c r="B215">
        <v>1200</v>
      </c>
      <c r="C215">
        <v>200</v>
      </c>
      <c r="D215" t="s">
        <v>12</v>
      </c>
      <c r="E215">
        <v>200</v>
      </c>
      <c r="F215" s="1">
        <v>45566</v>
      </c>
    </row>
    <row r="216" spans="1:6" x14ac:dyDescent="0.35">
      <c r="A216" t="s">
        <v>292</v>
      </c>
      <c r="B216">
        <v>1200</v>
      </c>
      <c r="C216">
        <v>200</v>
      </c>
      <c r="D216" t="s">
        <v>12</v>
      </c>
      <c r="E216">
        <v>200</v>
      </c>
      <c r="F216" s="1">
        <v>45597</v>
      </c>
    </row>
    <row r="217" spans="1:6" x14ac:dyDescent="0.35">
      <c r="A217" t="s">
        <v>293</v>
      </c>
      <c r="B217">
        <v>1200</v>
      </c>
      <c r="C217">
        <v>200</v>
      </c>
      <c r="D217" t="s">
        <v>12</v>
      </c>
      <c r="E217">
        <v>200</v>
      </c>
      <c r="F217" s="1">
        <v>45627</v>
      </c>
    </row>
    <row r="218" spans="1:6" x14ac:dyDescent="0.35">
      <c r="A218" t="s">
        <v>294</v>
      </c>
      <c r="B218">
        <v>1200</v>
      </c>
      <c r="C218">
        <v>200</v>
      </c>
      <c r="D218" t="s">
        <v>12</v>
      </c>
      <c r="E218">
        <v>200</v>
      </c>
      <c r="F218" s="1">
        <v>45658</v>
      </c>
    </row>
    <row r="219" spans="1:6" x14ac:dyDescent="0.35">
      <c r="A219" t="s">
        <v>295</v>
      </c>
      <c r="B219">
        <v>1200</v>
      </c>
      <c r="C219">
        <v>200</v>
      </c>
      <c r="D219" t="s">
        <v>12</v>
      </c>
      <c r="E219">
        <v>200</v>
      </c>
      <c r="F219" s="1">
        <v>45689</v>
      </c>
    </row>
    <row r="220" spans="1:6" x14ac:dyDescent="0.35">
      <c r="A220" t="s">
        <v>296</v>
      </c>
      <c r="B220">
        <v>1200</v>
      </c>
      <c r="C220">
        <v>200</v>
      </c>
      <c r="D220" t="s">
        <v>12</v>
      </c>
      <c r="E220">
        <v>200</v>
      </c>
      <c r="F220" s="1">
        <v>45717</v>
      </c>
    </row>
    <row r="221" spans="1:6" x14ac:dyDescent="0.35">
      <c r="A221" t="s">
        <v>297</v>
      </c>
      <c r="B221">
        <v>1200</v>
      </c>
      <c r="C221">
        <v>200</v>
      </c>
      <c r="D221" t="s">
        <v>12</v>
      </c>
      <c r="E221">
        <v>200</v>
      </c>
      <c r="F221" s="1">
        <v>45748</v>
      </c>
    </row>
    <row r="222" spans="1:6" x14ac:dyDescent="0.35">
      <c r="A222" t="s">
        <v>298</v>
      </c>
      <c r="B222">
        <v>1200</v>
      </c>
      <c r="C222">
        <v>200</v>
      </c>
      <c r="D222" t="s">
        <v>12</v>
      </c>
      <c r="E222">
        <v>200</v>
      </c>
      <c r="F222" s="1">
        <v>45778</v>
      </c>
    </row>
    <row r="223" spans="1:6" x14ac:dyDescent="0.35">
      <c r="A223" t="s">
        <v>299</v>
      </c>
      <c r="B223">
        <v>1210</v>
      </c>
      <c r="C223">
        <v>500</v>
      </c>
      <c r="D223" t="s">
        <v>12</v>
      </c>
      <c r="E223">
        <v>500</v>
      </c>
      <c r="F223" s="1">
        <v>45505</v>
      </c>
    </row>
    <row r="224" spans="1:6" x14ac:dyDescent="0.35">
      <c r="A224" t="s">
        <v>300</v>
      </c>
      <c r="B224">
        <v>1210</v>
      </c>
      <c r="C224">
        <v>500</v>
      </c>
      <c r="D224" t="s">
        <v>12</v>
      </c>
      <c r="E224">
        <v>500</v>
      </c>
      <c r="F224" s="1">
        <v>45536</v>
      </c>
    </row>
    <row r="225" spans="1:6" x14ac:dyDescent="0.35">
      <c r="A225" t="s">
        <v>301</v>
      </c>
      <c r="B225">
        <v>1210</v>
      </c>
      <c r="C225">
        <v>500</v>
      </c>
      <c r="D225" t="s">
        <v>12</v>
      </c>
      <c r="E225">
        <v>500</v>
      </c>
      <c r="F225" s="1">
        <v>45566</v>
      </c>
    </row>
    <row r="226" spans="1:6" x14ac:dyDescent="0.35">
      <c r="A226" t="s">
        <v>302</v>
      </c>
      <c r="B226">
        <v>1210</v>
      </c>
      <c r="C226">
        <v>500</v>
      </c>
      <c r="D226" t="s">
        <v>12</v>
      </c>
      <c r="E226">
        <v>500</v>
      </c>
      <c r="F226" s="1">
        <v>45597</v>
      </c>
    </row>
    <row r="227" spans="1:6" x14ac:dyDescent="0.35">
      <c r="A227" t="s">
        <v>303</v>
      </c>
      <c r="B227">
        <v>1210</v>
      </c>
      <c r="C227">
        <v>500</v>
      </c>
      <c r="D227" t="s">
        <v>12</v>
      </c>
      <c r="E227">
        <v>500</v>
      </c>
      <c r="F227" s="1">
        <v>45627</v>
      </c>
    </row>
    <row r="228" spans="1:6" x14ac:dyDescent="0.35">
      <c r="A228" t="s">
        <v>304</v>
      </c>
      <c r="B228">
        <v>1210</v>
      </c>
      <c r="C228">
        <v>500</v>
      </c>
      <c r="D228" t="s">
        <v>12</v>
      </c>
      <c r="E228">
        <v>500</v>
      </c>
      <c r="F228" s="1">
        <v>45658</v>
      </c>
    </row>
    <row r="229" spans="1:6" x14ac:dyDescent="0.35">
      <c r="A229" t="s">
        <v>305</v>
      </c>
      <c r="B229">
        <v>1210</v>
      </c>
      <c r="C229">
        <v>500</v>
      </c>
      <c r="D229" t="s">
        <v>12</v>
      </c>
      <c r="E229">
        <v>500</v>
      </c>
      <c r="F229" s="1">
        <v>45689</v>
      </c>
    </row>
    <row r="230" spans="1:6" x14ac:dyDescent="0.35">
      <c r="A230" t="s">
        <v>306</v>
      </c>
      <c r="B230">
        <v>1214</v>
      </c>
      <c r="C230">
        <v>500</v>
      </c>
      <c r="D230" t="s">
        <v>12</v>
      </c>
      <c r="E230">
        <v>500</v>
      </c>
      <c r="F230" s="1">
        <v>45352</v>
      </c>
    </row>
    <row r="231" spans="1:6" x14ac:dyDescent="0.35">
      <c r="A231" t="s">
        <v>307</v>
      </c>
      <c r="B231">
        <v>1214</v>
      </c>
      <c r="C231">
        <v>500</v>
      </c>
      <c r="D231" t="s">
        <v>12</v>
      </c>
      <c r="E231">
        <v>500</v>
      </c>
      <c r="F231" s="1">
        <v>45383</v>
      </c>
    </row>
    <row r="232" spans="1:6" x14ac:dyDescent="0.35">
      <c r="A232" t="s">
        <v>308</v>
      </c>
      <c r="B232">
        <v>1214</v>
      </c>
      <c r="C232">
        <v>500</v>
      </c>
      <c r="D232" t="s">
        <v>12</v>
      </c>
      <c r="E232">
        <v>500</v>
      </c>
      <c r="F232" s="1">
        <v>45413</v>
      </c>
    </row>
    <row r="233" spans="1:6" x14ac:dyDescent="0.35">
      <c r="A233" t="s">
        <v>309</v>
      </c>
      <c r="B233">
        <v>1214</v>
      </c>
      <c r="C233">
        <v>500</v>
      </c>
      <c r="D233" t="s">
        <v>12</v>
      </c>
      <c r="E233">
        <v>500</v>
      </c>
      <c r="F233" s="1">
        <v>45444</v>
      </c>
    </row>
    <row r="234" spans="1:6" x14ac:dyDescent="0.35">
      <c r="A234" t="s">
        <v>310</v>
      </c>
      <c r="B234">
        <v>1214</v>
      </c>
      <c r="C234">
        <v>500</v>
      </c>
      <c r="D234" t="s">
        <v>12</v>
      </c>
      <c r="E234">
        <v>500</v>
      </c>
      <c r="F234" s="1">
        <v>45474</v>
      </c>
    </row>
    <row r="235" spans="1:6" x14ac:dyDescent="0.35">
      <c r="A235" t="s">
        <v>311</v>
      </c>
      <c r="B235">
        <v>1214</v>
      </c>
      <c r="C235">
        <v>500</v>
      </c>
      <c r="D235" t="s">
        <v>12</v>
      </c>
      <c r="E235">
        <v>500</v>
      </c>
      <c r="F235" s="1">
        <v>45505</v>
      </c>
    </row>
    <row r="236" spans="1:6" x14ac:dyDescent="0.35">
      <c r="A236" t="s">
        <v>312</v>
      </c>
      <c r="B236">
        <v>1214</v>
      </c>
      <c r="C236">
        <v>500</v>
      </c>
      <c r="D236" t="s">
        <v>12</v>
      </c>
      <c r="E236">
        <v>500</v>
      </c>
      <c r="F236" s="1">
        <v>45536</v>
      </c>
    </row>
    <row r="237" spans="1:6" x14ac:dyDescent="0.35">
      <c r="A237" t="s">
        <v>313</v>
      </c>
      <c r="B237">
        <v>1214</v>
      </c>
      <c r="C237">
        <v>500</v>
      </c>
      <c r="D237" t="s">
        <v>12</v>
      </c>
      <c r="E237">
        <v>500</v>
      </c>
      <c r="F237" s="1">
        <v>45566</v>
      </c>
    </row>
    <row r="238" spans="1:6" x14ac:dyDescent="0.35">
      <c r="A238" t="s">
        <v>314</v>
      </c>
      <c r="B238">
        <v>1214</v>
      </c>
      <c r="C238">
        <v>500</v>
      </c>
      <c r="D238" t="s">
        <v>12</v>
      </c>
      <c r="E238">
        <v>500</v>
      </c>
      <c r="F238" s="1">
        <v>45597</v>
      </c>
    </row>
    <row r="239" spans="1:6" x14ac:dyDescent="0.35">
      <c r="A239" t="s">
        <v>315</v>
      </c>
      <c r="B239">
        <v>1220</v>
      </c>
      <c r="C239">
        <v>50</v>
      </c>
      <c r="D239" t="s">
        <v>12</v>
      </c>
      <c r="E239">
        <v>50</v>
      </c>
      <c r="F239" s="1">
        <v>45352</v>
      </c>
    </row>
    <row r="240" spans="1:6" x14ac:dyDescent="0.35">
      <c r="A240" t="s">
        <v>316</v>
      </c>
      <c r="B240">
        <v>1220</v>
      </c>
      <c r="C240">
        <v>50</v>
      </c>
      <c r="D240" t="s">
        <v>12</v>
      </c>
      <c r="E240">
        <v>50</v>
      </c>
      <c r="F240" s="1">
        <v>45383</v>
      </c>
    </row>
    <row r="241" spans="1:6" x14ac:dyDescent="0.35">
      <c r="A241" t="s">
        <v>317</v>
      </c>
      <c r="B241">
        <v>1220</v>
      </c>
      <c r="C241">
        <v>50</v>
      </c>
      <c r="D241" t="s">
        <v>12</v>
      </c>
      <c r="E241">
        <v>50</v>
      </c>
      <c r="F241" s="1">
        <v>45413</v>
      </c>
    </row>
    <row r="242" spans="1:6" x14ac:dyDescent="0.35">
      <c r="A242" t="s">
        <v>318</v>
      </c>
      <c r="B242">
        <v>1220</v>
      </c>
      <c r="C242">
        <v>50</v>
      </c>
      <c r="D242" t="s">
        <v>12</v>
      </c>
      <c r="E242">
        <v>50</v>
      </c>
      <c r="F242" s="1">
        <v>45444</v>
      </c>
    </row>
    <row r="243" spans="1:6" x14ac:dyDescent="0.35">
      <c r="A243" t="s">
        <v>319</v>
      </c>
      <c r="B243">
        <v>1220</v>
      </c>
      <c r="C243">
        <v>50</v>
      </c>
      <c r="D243" t="s">
        <v>12</v>
      </c>
      <c r="E243">
        <v>50</v>
      </c>
      <c r="F243" s="1">
        <v>45474</v>
      </c>
    </row>
    <row r="244" spans="1:6" x14ac:dyDescent="0.35">
      <c r="A244" t="s">
        <v>320</v>
      </c>
      <c r="B244">
        <v>1220</v>
      </c>
      <c r="C244">
        <v>50</v>
      </c>
      <c r="D244" t="s">
        <v>12</v>
      </c>
      <c r="E244">
        <v>50</v>
      </c>
      <c r="F244" s="1">
        <v>45505</v>
      </c>
    </row>
    <row r="245" spans="1:6" x14ac:dyDescent="0.35">
      <c r="A245" t="s">
        <v>321</v>
      </c>
      <c r="B245">
        <v>1220</v>
      </c>
      <c r="C245">
        <v>50</v>
      </c>
      <c r="D245" t="s">
        <v>12</v>
      </c>
      <c r="E245">
        <v>50</v>
      </c>
      <c r="F245" s="1">
        <v>45536</v>
      </c>
    </row>
    <row r="246" spans="1:6" x14ac:dyDescent="0.35">
      <c r="A246" t="s">
        <v>322</v>
      </c>
      <c r="B246">
        <v>1220</v>
      </c>
      <c r="C246">
        <v>50</v>
      </c>
      <c r="D246" t="s">
        <v>12</v>
      </c>
      <c r="E246">
        <v>50</v>
      </c>
      <c r="F246" s="1">
        <v>45566</v>
      </c>
    </row>
    <row r="247" spans="1:6" x14ac:dyDescent="0.35">
      <c r="A247" t="s">
        <v>323</v>
      </c>
      <c r="B247">
        <v>1222</v>
      </c>
      <c r="C247">
        <v>200</v>
      </c>
      <c r="D247" t="s">
        <v>12</v>
      </c>
      <c r="E247">
        <v>200</v>
      </c>
      <c r="F247" s="1">
        <v>45323</v>
      </c>
    </row>
    <row r="248" spans="1:6" x14ac:dyDescent="0.35">
      <c r="A248" t="s">
        <v>324</v>
      </c>
      <c r="B248">
        <v>1222</v>
      </c>
      <c r="C248">
        <v>200</v>
      </c>
      <c r="D248" t="s">
        <v>12</v>
      </c>
      <c r="E248">
        <v>200</v>
      </c>
      <c r="F248" s="1">
        <v>45352</v>
      </c>
    </row>
    <row r="249" spans="1:6" x14ac:dyDescent="0.35">
      <c r="A249" t="s">
        <v>325</v>
      </c>
      <c r="B249">
        <v>1222</v>
      </c>
      <c r="C249">
        <v>200</v>
      </c>
      <c r="D249" t="s">
        <v>12</v>
      </c>
      <c r="E249">
        <v>200</v>
      </c>
      <c r="F249" s="1">
        <v>45383</v>
      </c>
    </row>
    <row r="250" spans="1:6" x14ac:dyDescent="0.35">
      <c r="A250" t="s">
        <v>326</v>
      </c>
      <c r="B250">
        <v>1222</v>
      </c>
      <c r="C250">
        <v>200</v>
      </c>
      <c r="D250" t="s">
        <v>12</v>
      </c>
      <c r="E250">
        <v>200</v>
      </c>
      <c r="F250" s="1">
        <v>45413</v>
      </c>
    </row>
    <row r="251" spans="1:6" x14ac:dyDescent="0.35">
      <c r="A251" t="s">
        <v>327</v>
      </c>
      <c r="B251">
        <v>1222</v>
      </c>
      <c r="C251">
        <v>200</v>
      </c>
      <c r="D251" t="s">
        <v>12</v>
      </c>
      <c r="E251">
        <v>200</v>
      </c>
      <c r="F251" s="1">
        <v>45444</v>
      </c>
    </row>
    <row r="252" spans="1:6" x14ac:dyDescent="0.35">
      <c r="A252" t="s">
        <v>328</v>
      </c>
      <c r="B252">
        <v>1222</v>
      </c>
      <c r="C252">
        <v>200</v>
      </c>
      <c r="D252" t="s">
        <v>12</v>
      </c>
      <c r="E252">
        <v>200</v>
      </c>
      <c r="F252" s="1">
        <v>45474</v>
      </c>
    </row>
    <row r="253" spans="1:6" x14ac:dyDescent="0.35">
      <c r="A253" t="s">
        <v>329</v>
      </c>
      <c r="B253">
        <v>1222</v>
      </c>
      <c r="C253">
        <v>200</v>
      </c>
      <c r="D253" t="s">
        <v>12</v>
      </c>
      <c r="E253">
        <v>200</v>
      </c>
      <c r="F253" s="1">
        <v>45505</v>
      </c>
    </row>
    <row r="254" spans="1:6" x14ac:dyDescent="0.35">
      <c r="A254" t="s">
        <v>330</v>
      </c>
      <c r="B254">
        <v>1222</v>
      </c>
      <c r="C254">
        <v>200</v>
      </c>
      <c r="D254" t="s">
        <v>12</v>
      </c>
      <c r="E254">
        <v>200</v>
      </c>
      <c r="F254" s="1">
        <v>45536</v>
      </c>
    </row>
    <row r="255" spans="1:6" x14ac:dyDescent="0.35">
      <c r="A255" t="s">
        <v>331</v>
      </c>
      <c r="B255">
        <v>1222</v>
      </c>
      <c r="C255">
        <v>200</v>
      </c>
      <c r="D255" t="s">
        <v>12</v>
      </c>
      <c r="E255">
        <v>200</v>
      </c>
      <c r="F255" s="1">
        <v>45566</v>
      </c>
    </row>
    <row r="256" spans="1:6" x14ac:dyDescent="0.35">
      <c r="A256" t="s">
        <v>332</v>
      </c>
      <c r="B256">
        <v>1222</v>
      </c>
      <c r="C256">
        <v>200</v>
      </c>
      <c r="D256" t="s">
        <v>12</v>
      </c>
      <c r="E256">
        <v>200</v>
      </c>
      <c r="F256" s="1">
        <v>45597</v>
      </c>
    </row>
    <row r="257" spans="1:6" x14ac:dyDescent="0.35">
      <c r="A257" t="s">
        <v>333</v>
      </c>
      <c r="B257">
        <v>1222</v>
      </c>
      <c r="C257">
        <v>200</v>
      </c>
      <c r="D257" t="s">
        <v>12</v>
      </c>
      <c r="E257">
        <v>200</v>
      </c>
      <c r="F257" s="1">
        <v>45627</v>
      </c>
    </row>
    <row r="258" spans="1:6" x14ac:dyDescent="0.35">
      <c r="A258" t="s">
        <v>334</v>
      </c>
      <c r="B258">
        <v>1222</v>
      </c>
      <c r="C258">
        <v>200</v>
      </c>
      <c r="D258" t="s">
        <v>12</v>
      </c>
      <c r="E258">
        <v>200</v>
      </c>
      <c r="F258" s="1">
        <v>45658</v>
      </c>
    </row>
    <row r="259" spans="1:6" x14ac:dyDescent="0.35">
      <c r="A259" t="s">
        <v>335</v>
      </c>
      <c r="B259">
        <v>1222</v>
      </c>
      <c r="C259">
        <v>200</v>
      </c>
      <c r="D259" t="s">
        <v>12</v>
      </c>
      <c r="E259">
        <v>200</v>
      </c>
      <c r="F259" s="1">
        <v>45689</v>
      </c>
    </row>
    <row r="260" spans="1:6" x14ac:dyDescent="0.35">
      <c r="A260" t="s">
        <v>336</v>
      </c>
      <c r="B260">
        <v>1222</v>
      </c>
      <c r="C260">
        <v>200</v>
      </c>
      <c r="D260" t="s">
        <v>12</v>
      </c>
      <c r="E260">
        <v>200</v>
      </c>
      <c r="F260" s="1">
        <v>45717</v>
      </c>
    </row>
    <row r="261" spans="1:6" x14ac:dyDescent="0.35">
      <c r="A261" t="s">
        <v>337</v>
      </c>
      <c r="B261">
        <v>1223</v>
      </c>
      <c r="C261">
        <v>500</v>
      </c>
      <c r="D261" t="s">
        <v>12</v>
      </c>
      <c r="E261">
        <v>500</v>
      </c>
      <c r="F261" s="1">
        <v>45689</v>
      </c>
    </row>
    <row r="262" spans="1:6" x14ac:dyDescent="0.35">
      <c r="A262" t="s">
        <v>338</v>
      </c>
      <c r="B262">
        <v>1223</v>
      </c>
      <c r="C262">
        <v>500</v>
      </c>
      <c r="D262" t="s">
        <v>12</v>
      </c>
      <c r="E262">
        <v>500</v>
      </c>
      <c r="F262" s="1">
        <v>45717</v>
      </c>
    </row>
    <row r="263" spans="1:6" x14ac:dyDescent="0.35">
      <c r="A263" t="s">
        <v>339</v>
      </c>
      <c r="B263">
        <v>1223</v>
      </c>
      <c r="C263">
        <v>500</v>
      </c>
      <c r="D263" t="s">
        <v>12</v>
      </c>
      <c r="E263">
        <v>500</v>
      </c>
      <c r="F263" s="1">
        <v>45748</v>
      </c>
    </row>
    <row r="264" spans="1:6" x14ac:dyDescent="0.35">
      <c r="A264" t="s">
        <v>340</v>
      </c>
      <c r="B264">
        <v>1225</v>
      </c>
      <c r="C264">
        <v>500</v>
      </c>
      <c r="D264" t="s">
        <v>12</v>
      </c>
      <c r="E264">
        <v>500</v>
      </c>
      <c r="F264" s="1">
        <v>45809</v>
      </c>
    </row>
    <row r="265" spans="1:6" x14ac:dyDescent="0.35">
      <c r="A265" t="s">
        <v>341</v>
      </c>
      <c r="B265">
        <v>1226</v>
      </c>
      <c r="C265">
        <v>50</v>
      </c>
      <c r="D265" t="s">
        <v>12</v>
      </c>
      <c r="E265">
        <v>50</v>
      </c>
      <c r="F265" s="1">
        <v>45566</v>
      </c>
    </row>
    <row r="266" spans="1:6" x14ac:dyDescent="0.35">
      <c r="A266" t="s">
        <v>342</v>
      </c>
      <c r="B266">
        <v>1226</v>
      </c>
      <c r="C266">
        <v>50</v>
      </c>
      <c r="D266" t="s">
        <v>12</v>
      </c>
      <c r="E266">
        <v>50</v>
      </c>
      <c r="F266" s="1">
        <v>45597</v>
      </c>
    </row>
    <row r="267" spans="1:6" x14ac:dyDescent="0.35">
      <c r="A267" t="s">
        <v>343</v>
      </c>
      <c r="B267">
        <v>1226</v>
      </c>
      <c r="C267">
        <v>50</v>
      </c>
      <c r="D267" t="s">
        <v>12</v>
      </c>
      <c r="E267">
        <v>50</v>
      </c>
      <c r="F267" s="1">
        <v>45627</v>
      </c>
    </row>
    <row r="268" spans="1:6" x14ac:dyDescent="0.35">
      <c r="A268" t="s">
        <v>344</v>
      </c>
      <c r="B268">
        <v>1226</v>
      </c>
      <c r="C268">
        <v>50</v>
      </c>
      <c r="D268" t="s">
        <v>12</v>
      </c>
      <c r="E268">
        <v>50</v>
      </c>
      <c r="F268" s="1">
        <v>45658</v>
      </c>
    </row>
    <row r="269" spans="1:6" x14ac:dyDescent="0.35">
      <c r="A269" t="s">
        <v>345</v>
      </c>
      <c r="B269">
        <v>1226</v>
      </c>
      <c r="C269">
        <v>50</v>
      </c>
      <c r="D269" t="s">
        <v>12</v>
      </c>
      <c r="E269">
        <v>50</v>
      </c>
      <c r="F269" s="1">
        <v>45689</v>
      </c>
    </row>
    <row r="270" spans="1:6" x14ac:dyDescent="0.35">
      <c r="A270" t="s">
        <v>346</v>
      </c>
      <c r="B270">
        <v>1226</v>
      </c>
      <c r="C270">
        <v>50</v>
      </c>
      <c r="D270" t="s">
        <v>12</v>
      </c>
      <c r="E270">
        <v>50</v>
      </c>
      <c r="F270" s="1">
        <v>45717</v>
      </c>
    </row>
    <row r="271" spans="1:6" x14ac:dyDescent="0.35">
      <c r="A271" t="s">
        <v>347</v>
      </c>
      <c r="B271">
        <v>1229</v>
      </c>
      <c r="C271">
        <v>500</v>
      </c>
      <c r="D271" t="s">
        <v>12</v>
      </c>
      <c r="E271">
        <v>500</v>
      </c>
      <c r="F271" s="1">
        <v>45658</v>
      </c>
    </row>
    <row r="272" spans="1:6" x14ac:dyDescent="0.35">
      <c r="A272" t="s">
        <v>348</v>
      </c>
      <c r="B272">
        <v>1229</v>
      </c>
      <c r="C272">
        <v>500</v>
      </c>
      <c r="D272" t="s">
        <v>12</v>
      </c>
      <c r="E272">
        <v>500</v>
      </c>
      <c r="F272" s="1">
        <v>45689</v>
      </c>
    </row>
    <row r="273" spans="1:6" x14ac:dyDescent="0.35">
      <c r="A273" t="s">
        <v>349</v>
      </c>
      <c r="B273">
        <v>1229</v>
      </c>
      <c r="C273">
        <v>500</v>
      </c>
      <c r="D273" t="s">
        <v>12</v>
      </c>
      <c r="E273">
        <v>500</v>
      </c>
      <c r="F273" s="1">
        <v>45717</v>
      </c>
    </row>
    <row r="274" spans="1:6" x14ac:dyDescent="0.35">
      <c r="A274" t="s">
        <v>350</v>
      </c>
      <c r="B274">
        <v>1229</v>
      </c>
      <c r="C274">
        <v>500</v>
      </c>
      <c r="D274" t="s">
        <v>12</v>
      </c>
      <c r="E274">
        <v>500</v>
      </c>
      <c r="F274" s="1">
        <v>45748</v>
      </c>
    </row>
    <row r="275" spans="1:6" x14ac:dyDescent="0.35">
      <c r="A275" t="s">
        <v>351</v>
      </c>
      <c r="B275">
        <v>1234</v>
      </c>
      <c r="C275">
        <v>50</v>
      </c>
      <c r="D275" t="s">
        <v>12</v>
      </c>
      <c r="E275">
        <v>50</v>
      </c>
      <c r="F275" s="1">
        <v>45566</v>
      </c>
    </row>
    <row r="276" spans="1:6" x14ac:dyDescent="0.35">
      <c r="A276" t="s">
        <v>352</v>
      </c>
      <c r="B276">
        <v>1234</v>
      </c>
      <c r="C276">
        <v>50</v>
      </c>
      <c r="D276" t="s">
        <v>12</v>
      </c>
      <c r="E276">
        <v>50</v>
      </c>
      <c r="F276" s="1">
        <v>45597</v>
      </c>
    </row>
    <row r="277" spans="1:6" x14ac:dyDescent="0.35">
      <c r="A277" t="s">
        <v>353</v>
      </c>
      <c r="B277">
        <v>1234</v>
      </c>
      <c r="C277">
        <v>50</v>
      </c>
      <c r="D277" t="s">
        <v>12</v>
      </c>
      <c r="E277">
        <v>50</v>
      </c>
      <c r="F277" s="1">
        <v>45627</v>
      </c>
    </row>
    <row r="278" spans="1:6" x14ac:dyDescent="0.35">
      <c r="A278" t="s">
        <v>354</v>
      </c>
      <c r="B278">
        <v>1234</v>
      </c>
      <c r="C278">
        <v>50</v>
      </c>
      <c r="D278" t="s">
        <v>12</v>
      </c>
      <c r="E278">
        <v>50</v>
      </c>
      <c r="F278" s="1">
        <v>45658</v>
      </c>
    </row>
    <row r="279" spans="1:6" x14ac:dyDescent="0.35">
      <c r="A279" t="s">
        <v>355</v>
      </c>
      <c r="B279">
        <v>1234</v>
      </c>
      <c r="C279">
        <v>50</v>
      </c>
      <c r="D279" t="s">
        <v>12</v>
      </c>
      <c r="E279">
        <v>50</v>
      </c>
      <c r="F279" s="1">
        <v>45689</v>
      </c>
    </row>
    <row r="280" spans="1:6" x14ac:dyDescent="0.35">
      <c r="A280" t="s">
        <v>356</v>
      </c>
      <c r="B280">
        <v>1235</v>
      </c>
      <c r="C280">
        <v>500</v>
      </c>
      <c r="D280" t="s">
        <v>12</v>
      </c>
      <c r="E280">
        <v>500</v>
      </c>
      <c r="F280" s="1">
        <v>45689</v>
      </c>
    </row>
    <row r="281" spans="1:6" x14ac:dyDescent="0.35">
      <c r="A281" t="s">
        <v>357</v>
      </c>
      <c r="B281">
        <v>1235</v>
      </c>
      <c r="C281">
        <v>500</v>
      </c>
      <c r="D281" t="s">
        <v>12</v>
      </c>
      <c r="E281">
        <v>500</v>
      </c>
      <c r="F281" s="1">
        <v>45717</v>
      </c>
    </row>
    <row r="282" spans="1:6" x14ac:dyDescent="0.35">
      <c r="A282" t="s">
        <v>358</v>
      </c>
      <c r="B282">
        <v>1239</v>
      </c>
      <c r="C282">
        <v>200</v>
      </c>
      <c r="D282" t="s">
        <v>12</v>
      </c>
      <c r="E282">
        <v>200</v>
      </c>
      <c r="F282" s="1">
        <v>45413</v>
      </c>
    </row>
    <row r="283" spans="1:6" x14ac:dyDescent="0.35">
      <c r="A283" t="s">
        <v>359</v>
      </c>
      <c r="B283">
        <v>1239</v>
      </c>
      <c r="C283">
        <v>200</v>
      </c>
      <c r="D283" t="s">
        <v>12</v>
      </c>
      <c r="E283">
        <v>200</v>
      </c>
      <c r="F283" s="1">
        <v>45444</v>
      </c>
    </row>
    <row r="284" spans="1:6" x14ac:dyDescent="0.35">
      <c r="A284" t="s">
        <v>360</v>
      </c>
      <c r="B284">
        <v>1239</v>
      </c>
      <c r="C284">
        <v>200</v>
      </c>
      <c r="D284" t="s">
        <v>12</v>
      </c>
      <c r="E284">
        <v>200</v>
      </c>
      <c r="F284" s="1">
        <v>45474</v>
      </c>
    </row>
    <row r="285" spans="1:6" x14ac:dyDescent="0.35">
      <c r="A285" t="s">
        <v>361</v>
      </c>
      <c r="B285">
        <v>1239</v>
      </c>
      <c r="C285">
        <v>200</v>
      </c>
      <c r="D285" t="s">
        <v>12</v>
      </c>
      <c r="E285">
        <v>200</v>
      </c>
      <c r="F285" s="1">
        <v>45505</v>
      </c>
    </row>
    <row r="286" spans="1:6" x14ac:dyDescent="0.35">
      <c r="A286" t="s">
        <v>362</v>
      </c>
      <c r="B286">
        <v>1239</v>
      </c>
      <c r="C286">
        <v>200</v>
      </c>
      <c r="D286" t="s">
        <v>12</v>
      </c>
      <c r="E286">
        <v>200</v>
      </c>
      <c r="F286" s="1">
        <v>45536</v>
      </c>
    </row>
    <row r="287" spans="1:6" x14ac:dyDescent="0.35">
      <c r="A287" t="s">
        <v>363</v>
      </c>
      <c r="B287">
        <v>1239</v>
      </c>
      <c r="C287">
        <v>200</v>
      </c>
      <c r="D287" t="s">
        <v>12</v>
      </c>
      <c r="E287">
        <v>200</v>
      </c>
      <c r="F287" s="1">
        <v>45566</v>
      </c>
    </row>
    <row r="288" spans="1:6" x14ac:dyDescent="0.35">
      <c r="A288" t="s">
        <v>364</v>
      </c>
      <c r="B288">
        <v>1239</v>
      </c>
      <c r="C288">
        <v>200</v>
      </c>
      <c r="D288" t="s">
        <v>12</v>
      </c>
      <c r="E288">
        <v>200</v>
      </c>
      <c r="F288" s="1">
        <v>45597</v>
      </c>
    </row>
    <row r="289" spans="1:6" x14ac:dyDescent="0.35">
      <c r="A289" t="s">
        <v>365</v>
      </c>
      <c r="B289">
        <v>1239</v>
      </c>
      <c r="C289">
        <v>200</v>
      </c>
      <c r="D289" t="s">
        <v>12</v>
      </c>
      <c r="E289">
        <v>200</v>
      </c>
      <c r="F289" s="1">
        <v>45627</v>
      </c>
    </row>
    <row r="290" spans="1:6" x14ac:dyDescent="0.35">
      <c r="A290" t="s">
        <v>366</v>
      </c>
      <c r="B290">
        <v>1239</v>
      </c>
      <c r="C290">
        <v>200</v>
      </c>
      <c r="D290" t="s">
        <v>12</v>
      </c>
      <c r="E290">
        <v>200</v>
      </c>
      <c r="F290" s="1">
        <v>45658</v>
      </c>
    </row>
    <row r="291" spans="1:6" x14ac:dyDescent="0.35">
      <c r="A291" t="s">
        <v>367</v>
      </c>
      <c r="B291">
        <v>1239</v>
      </c>
      <c r="C291">
        <v>200</v>
      </c>
      <c r="D291" t="s">
        <v>12</v>
      </c>
      <c r="E291">
        <v>200</v>
      </c>
      <c r="F291" s="1">
        <v>45689</v>
      </c>
    </row>
    <row r="292" spans="1:6" x14ac:dyDescent="0.35">
      <c r="A292" t="s">
        <v>368</v>
      </c>
      <c r="B292">
        <v>1239</v>
      </c>
      <c r="C292">
        <v>200</v>
      </c>
      <c r="D292" t="s">
        <v>12</v>
      </c>
      <c r="E292">
        <v>200</v>
      </c>
      <c r="F292" s="1">
        <v>45717</v>
      </c>
    </row>
    <row r="293" spans="1:6" x14ac:dyDescent="0.35">
      <c r="A293" t="s">
        <v>369</v>
      </c>
      <c r="B293">
        <v>1239</v>
      </c>
      <c r="C293">
        <v>200</v>
      </c>
      <c r="D293" t="s">
        <v>12</v>
      </c>
      <c r="E293">
        <v>200</v>
      </c>
      <c r="F293" s="1">
        <v>45748</v>
      </c>
    </row>
    <row r="294" spans="1:6" x14ac:dyDescent="0.35">
      <c r="A294" t="s">
        <v>370</v>
      </c>
      <c r="B294">
        <v>1239</v>
      </c>
      <c r="C294">
        <v>200</v>
      </c>
      <c r="D294" t="s">
        <v>12</v>
      </c>
      <c r="E294">
        <v>200</v>
      </c>
      <c r="F294" s="1">
        <v>45778</v>
      </c>
    </row>
    <row r="295" spans="1:6" x14ac:dyDescent="0.35">
      <c r="A295" t="s">
        <v>371</v>
      </c>
      <c r="B295">
        <v>1241</v>
      </c>
      <c r="C295">
        <v>200</v>
      </c>
      <c r="D295" t="s">
        <v>12</v>
      </c>
      <c r="E295">
        <v>200</v>
      </c>
      <c r="F295" s="1">
        <v>45536</v>
      </c>
    </row>
    <row r="296" spans="1:6" x14ac:dyDescent="0.35">
      <c r="A296" t="s">
        <v>372</v>
      </c>
      <c r="B296">
        <v>1241</v>
      </c>
      <c r="C296">
        <v>200</v>
      </c>
      <c r="D296" t="s">
        <v>12</v>
      </c>
      <c r="E296">
        <v>200</v>
      </c>
      <c r="F296" s="1">
        <v>45566</v>
      </c>
    </row>
    <row r="297" spans="1:6" x14ac:dyDescent="0.35">
      <c r="A297" t="s">
        <v>373</v>
      </c>
      <c r="B297">
        <v>1241</v>
      </c>
      <c r="C297">
        <v>200</v>
      </c>
      <c r="D297" t="s">
        <v>12</v>
      </c>
      <c r="E297">
        <v>200</v>
      </c>
      <c r="F297" s="1">
        <v>45597</v>
      </c>
    </row>
    <row r="298" spans="1:6" x14ac:dyDescent="0.35">
      <c r="A298" t="s">
        <v>374</v>
      </c>
      <c r="B298">
        <v>1241</v>
      </c>
      <c r="C298">
        <v>200</v>
      </c>
      <c r="D298" t="s">
        <v>12</v>
      </c>
      <c r="E298">
        <v>200</v>
      </c>
      <c r="F298" s="1">
        <v>45627</v>
      </c>
    </row>
    <row r="299" spans="1:6" x14ac:dyDescent="0.35">
      <c r="A299" t="s">
        <v>375</v>
      </c>
      <c r="B299">
        <v>1241</v>
      </c>
      <c r="C299">
        <v>200</v>
      </c>
      <c r="D299" t="s">
        <v>12</v>
      </c>
      <c r="E299">
        <v>200</v>
      </c>
      <c r="F299" s="1">
        <v>45658</v>
      </c>
    </row>
    <row r="300" spans="1:6" x14ac:dyDescent="0.35">
      <c r="A300" t="s">
        <v>376</v>
      </c>
      <c r="B300">
        <v>1241</v>
      </c>
      <c r="C300">
        <v>200</v>
      </c>
      <c r="D300" t="s">
        <v>12</v>
      </c>
      <c r="E300">
        <v>200</v>
      </c>
      <c r="F300" s="1">
        <v>45689</v>
      </c>
    </row>
    <row r="301" spans="1:6" x14ac:dyDescent="0.35">
      <c r="A301" t="s">
        <v>377</v>
      </c>
      <c r="B301">
        <v>1241</v>
      </c>
      <c r="C301">
        <v>200</v>
      </c>
      <c r="D301" t="s">
        <v>12</v>
      </c>
      <c r="E301">
        <v>200</v>
      </c>
      <c r="F301" s="1">
        <v>45717</v>
      </c>
    </row>
    <row r="302" spans="1:6" x14ac:dyDescent="0.35">
      <c r="A302" t="s">
        <v>378</v>
      </c>
      <c r="B302">
        <v>1242</v>
      </c>
      <c r="C302">
        <v>50</v>
      </c>
      <c r="D302" t="s">
        <v>12</v>
      </c>
      <c r="E302">
        <v>50</v>
      </c>
      <c r="F302" s="1">
        <v>45717</v>
      </c>
    </row>
    <row r="303" spans="1:6" x14ac:dyDescent="0.35">
      <c r="A303" t="s">
        <v>379</v>
      </c>
      <c r="B303">
        <v>1242</v>
      </c>
      <c r="C303">
        <v>50</v>
      </c>
      <c r="D303" t="s">
        <v>12</v>
      </c>
      <c r="E303">
        <v>50</v>
      </c>
      <c r="F303" s="1">
        <v>45748</v>
      </c>
    </row>
    <row r="304" spans="1:6" x14ac:dyDescent="0.35">
      <c r="A304" t="s">
        <v>380</v>
      </c>
      <c r="B304">
        <v>1242</v>
      </c>
      <c r="C304">
        <v>50</v>
      </c>
      <c r="D304" t="s">
        <v>12</v>
      </c>
      <c r="E304">
        <v>50</v>
      </c>
      <c r="F304" s="1">
        <v>45778</v>
      </c>
    </row>
    <row r="305" spans="1:6" x14ac:dyDescent="0.35">
      <c r="A305" t="s">
        <v>381</v>
      </c>
      <c r="B305">
        <v>1242</v>
      </c>
      <c r="C305">
        <v>50</v>
      </c>
      <c r="D305" t="s">
        <v>12</v>
      </c>
      <c r="E305">
        <v>50</v>
      </c>
      <c r="F305" s="1">
        <v>45809</v>
      </c>
    </row>
    <row r="306" spans="1:6" x14ac:dyDescent="0.35">
      <c r="A306" t="s">
        <v>382</v>
      </c>
      <c r="B306">
        <v>1247</v>
      </c>
      <c r="C306">
        <v>200</v>
      </c>
      <c r="D306" t="s">
        <v>12</v>
      </c>
      <c r="E306">
        <v>200</v>
      </c>
      <c r="F306" s="1">
        <v>45413</v>
      </c>
    </row>
    <row r="307" spans="1:6" x14ac:dyDescent="0.35">
      <c r="A307" t="s">
        <v>383</v>
      </c>
      <c r="B307">
        <v>1247</v>
      </c>
      <c r="C307">
        <v>200</v>
      </c>
      <c r="D307" t="s">
        <v>12</v>
      </c>
      <c r="E307">
        <v>200</v>
      </c>
      <c r="F307" s="1">
        <v>45444</v>
      </c>
    </row>
    <row r="308" spans="1:6" x14ac:dyDescent="0.35">
      <c r="A308" t="s">
        <v>384</v>
      </c>
      <c r="B308">
        <v>1247</v>
      </c>
      <c r="C308">
        <v>200</v>
      </c>
      <c r="D308" t="s">
        <v>12</v>
      </c>
      <c r="E308">
        <v>200</v>
      </c>
      <c r="F308" s="1">
        <v>45474</v>
      </c>
    </row>
    <row r="309" spans="1:6" x14ac:dyDescent="0.35">
      <c r="A309" t="s">
        <v>385</v>
      </c>
      <c r="B309">
        <v>1257</v>
      </c>
      <c r="C309">
        <v>500</v>
      </c>
      <c r="D309" t="s">
        <v>12</v>
      </c>
      <c r="E309">
        <v>500</v>
      </c>
      <c r="F309" s="1">
        <v>45352</v>
      </c>
    </row>
    <row r="310" spans="1:6" x14ac:dyDescent="0.35">
      <c r="A310" t="s">
        <v>386</v>
      </c>
      <c r="B310">
        <v>1257</v>
      </c>
      <c r="C310">
        <v>500</v>
      </c>
      <c r="D310" t="s">
        <v>12</v>
      </c>
      <c r="E310">
        <v>500</v>
      </c>
      <c r="F310" s="1">
        <v>45383</v>
      </c>
    </row>
    <row r="311" spans="1:6" x14ac:dyDescent="0.35">
      <c r="A311" t="s">
        <v>387</v>
      </c>
      <c r="B311">
        <v>1257</v>
      </c>
      <c r="C311">
        <v>500</v>
      </c>
      <c r="D311" t="s">
        <v>12</v>
      </c>
      <c r="E311">
        <v>500</v>
      </c>
      <c r="F311" s="1">
        <v>45413</v>
      </c>
    </row>
    <row r="312" spans="1:6" x14ac:dyDescent="0.35">
      <c r="A312" t="s">
        <v>388</v>
      </c>
      <c r="B312">
        <v>1263</v>
      </c>
      <c r="C312">
        <v>50</v>
      </c>
      <c r="D312" t="s">
        <v>12</v>
      </c>
      <c r="E312">
        <v>50</v>
      </c>
      <c r="F312" s="1">
        <v>45658</v>
      </c>
    </row>
    <row r="313" spans="1:6" x14ac:dyDescent="0.35">
      <c r="A313" t="s">
        <v>389</v>
      </c>
      <c r="B313">
        <v>1263</v>
      </c>
      <c r="C313">
        <v>50</v>
      </c>
      <c r="D313" t="s">
        <v>12</v>
      </c>
      <c r="E313">
        <v>50</v>
      </c>
      <c r="F313" s="1">
        <v>45689</v>
      </c>
    </row>
    <row r="314" spans="1:6" x14ac:dyDescent="0.35">
      <c r="A314" t="s">
        <v>390</v>
      </c>
      <c r="B314">
        <v>1263</v>
      </c>
      <c r="C314">
        <v>50</v>
      </c>
      <c r="D314" t="s">
        <v>12</v>
      </c>
      <c r="E314">
        <v>50</v>
      </c>
      <c r="F314" s="1">
        <v>45717</v>
      </c>
    </row>
    <row r="315" spans="1:6" x14ac:dyDescent="0.35">
      <c r="A315" t="s">
        <v>391</v>
      </c>
      <c r="B315">
        <v>1263</v>
      </c>
      <c r="C315">
        <v>50</v>
      </c>
      <c r="D315" t="s">
        <v>12</v>
      </c>
      <c r="E315">
        <v>50</v>
      </c>
      <c r="F315" s="1">
        <v>45748</v>
      </c>
    </row>
    <row r="316" spans="1:6" x14ac:dyDescent="0.35">
      <c r="A316" t="s">
        <v>392</v>
      </c>
      <c r="B316">
        <v>1263</v>
      </c>
      <c r="C316">
        <v>50</v>
      </c>
      <c r="D316" t="s">
        <v>12</v>
      </c>
      <c r="E316">
        <v>50</v>
      </c>
      <c r="F316" s="1">
        <v>45778</v>
      </c>
    </row>
    <row r="317" spans="1:6" x14ac:dyDescent="0.35">
      <c r="A317" t="s">
        <v>393</v>
      </c>
      <c r="B317">
        <v>1263</v>
      </c>
      <c r="C317">
        <v>50</v>
      </c>
      <c r="D317" t="s">
        <v>12</v>
      </c>
      <c r="E317">
        <v>50</v>
      </c>
      <c r="F317" s="1">
        <v>45809</v>
      </c>
    </row>
    <row r="318" spans="1:6" x14ac:dyDescent="0.35">
      <c r="A318" t="s">
        <v>394</v>
      </c>
      <c r="B318">
        <v>1265</v>
      </c>
      <c r="C318">
        <v>50</v>
      </c>
      <c r="D318" t="s">
        <v>12</v>
      </c>
      <c r="E318">
        <v>50</v>
      </c>
      <c r="F318" s="1">
        <v>45352</v>
      </c>
    </row>
    <row r="319" spans="1:6" x14ac:dyDescent="0.35">
      <c r="A319" t="s">
        <v>395</v>
      </c>
      <c r="B319">
        <v>1265</v>
      </c>
      <c r="C319">
        <v>50</v>
      </c>
      <c r="D319" t="s">
        <v>12</v>
      </c>
      <c r="E319">
        <v>50</v>
      </c>
      <c r="F319" s="1">
        <v>45383</v>
      </c>
    </row>
    <row r="320" spans="1:6" x14ac:dyDescent="0.35">
      <c r="A320" t="s">
        <v>396</v>
      </c>
      <c r="B320">
        <v>1265</v>
      </c>
      <c r="C320">
        <v>50</v>
      </c>
      <c r="D320" t="s">
        <v>12</v>
      </c>
      <c r="E320">
        <v>50</v>
      </c>
      <c r="F320" s="1">
        <v>45413</v>
      </c>
    </row>
    <row r="321" spans="1:6" x14ac:dyDescent="0.35">
      <c r="A321" t="s">
        <v>397</v>
      </c>
      <c r="B321">
        <v>1265</v>
      </c>
      <c r="C321">
        <v>50</v>
      </c>
      <c r="D321" t="s">
        <v>12</v>
      </c>
      <c r="E321">
        <v>50</v>
      </c>
      <c r="F321" s="1">
        <v>45444</v>
      </c>
    </row>
    <row r="322" spans="1:6" x14ac:dyDescent="0.35">
      <c r="A322" t="s">
        <v>398</v>
      </c>
      <c r="B322">
        <v>1268</v>
      </c>
      <c r="C322">
        <v>500</v>
      </c>
      <c r="D322" t="s">
        <v>12</v>
      </c>
      <c r="E322">
        <v>500</v>
      </c>
      <c r="F322" s="1">
        <v>45413</v>
      </c>
    </row>
    <row r="323" spans="1:6" x14ac:dyDescent="0.35">
      <c r="A323" t="s">
        <v>399</v>
      </c>
      <c r="B323">
        <v>1268</v>
      </c>
      <c r="C323">
        <v>500</v>
      </c>
      <c r="D323" t="s">
        <v>12</v>
      </c>
      <c r="E323">
        <v>500</v>
      </c>
      <c r="F323" s="1">
        <v>45444</v>
      </c>
    </row>
    <row r="324" spans="1:6" x14ac:dyDescent="0.35">
      <c r="A324" t="s">
        <v>400</v>
      </c>
      <c r="B324">
        <v>1268</v>
      </c>
      <c r="C324">
        <v>500</v>
      </c>
      <c r="D324" t="s">
        <v>12</v>
      </c>
      <c r="E324">
        <v>500</v>
      </c>
      <c r="F324" s="1">
        <v>45474</v>
      </c>
    </row>
    <row r="325" spans="1:6" x14ac:dyDescent="0.35">
      <c r="A325" t="s">
        <v>401</v>
      </c>
      <c r="B325">
        <v>1268</v>
      </c>
      <c r="C325">
        <v>500</v>
      </c>
      <c r="D325" t="s">
        <v>12</v>
      </c>
      <c r="E325">
        <v>500</v>
      </c>
      <c r="F325" s="1">
        <v>45505</v>
      </c>
    </row>
    <row r="326" spans="1:6" x14ac:dyDescent="0.35">
      <c r="A326" t="s">
        <v>402</v>
      </c>
      <c r="B326">
        <v>1268</v>
      </c>
      <c r="C326">
        <v>500</v>
      </c>
      <c r="D326" t="s">
        <v>12</v>
      </c>
      <c r="E326">
        <v>500</v>
      </c>
      <c r="F326" s="1">
        <v>45536</v>
      </c>
    </row>
    <row r="327" spans="1:6" x14ac:dyDescent="0.35">
      <c r="A327" t="s">
        <v>403</v>
      </c>
      <c r="B327">
        <v>1268</v>
      </c>
      <c r="C327">
        <v>500</v>
      </c>
      <c r="D327" t="s">
        <v>12</v>
      </c>
      <c r="E327">
        <v>500</v>
      </c>
      <c r="F327" s="1">
        <v>45566</v>
      </c>
    </row>
    <row r="328" spans="1:6" x14ac:dyDescent="0.35">
      <c r="A328" t="s">
        <v>404</v>
      </c>
      <c r="B328">
        <v>1268</v>
      </c>
      <c r="C328">
        <v>500</v>
      </c>
      <c r="D328" t="s">
        <v>12</v>
      </c>
      <c r="E328">
        <v>500</v>
      </c>
      <c r="F328" s="1">
        <v>45597</v>
      </c>
    </row>
    <row r="329" spans="1:6" x14ac:dyDescent="0.35">
      <c r="A329" t="s">
        <v>405</v>
      </c>
      <c r="B329">
        <v>1268</v>
      </c>
      <c r="C329">
        <v>500</v>
      </c>
      <c r="D329" t="s">
        <v>12</v>
      </c>
      <c r="E329">
        <v>500</v>
      </c>
      <c r="F329" s="1">
        <v>45627</v>
      </c>
    </row>
    <row r="330" spans="1:6" x14ac:dyDescent="0.35">
      <c r="A330" t="s">
        <v>406</v>
      </c>
      <c r="B330">
        <v>1268</v>
      </c>
      <c r="C330">
        <v>500</v>
      </c>
      <c r="D330" t="s">
        <v>12</v>
      </c>
      <c r="E330">
        <v>500</v>
      </c>
      <c r="F330" s="1">
        <v>45658</v>
      </c>
    </row>
    <row r="331" spans="1:6" x14ac:dyDescent="0.35">
      <c r="A331" t="s">
        <v>407</v>
      </c>
      <c r="B331">
        <v>1268</v>
      </c>
      <c r="C331">
        <v>500</v>
      </c>
      <c r="D331" t="s">
        <v>12</v>
      </c>
      <c r="E331">
        <v>500</v>
      </c>
      <c r="F331" s="1">
        <v>45689</v>
      </c>
    </row>
    <row r="332" spans="1:6" x14ac:dyDescent="0.35">
      <c r="A332" t="s">
        <v>408</v>
      </c>
      <c r="B332">
        <v>1268</v>
      </c>
      <c r="C332">
        <v>500</v>
      </c>
      <c r="D332" t="s">
        <v>12</v>
      </c>
      <c r="E332">
        <v>500</v>
      </c>
      <c r="F332" s="1">
        <v>45717</v>
      </c>
    </row>
    <row r="333" spans="1:6" x14ac:dyDescent="0.35">
      <c r="A333" t="s">
        <v>409</v>
      </c>
      <c r="B333">
        <v>1268</v>
      </c>
      <c r="C333">
        <v>500</v>
      </c>
      <c r="D333" t="s">
        <v>12</v>
      </c>
      <c r="E333">
        <v>500</v>
      </c>
      <c r="F333" s="1">
        <v>45748</v>
      </c>
    </row>
    <row r="334" spans="1:6" x14ac:dyDescent="0.35">
      <c r="A334" t="s">
        <v>410</v>
      </c>
      <c r="B334">
        <v>1268</v>
      </c>
      <c r="C334">
        <v>500</v>
      </c>
      <c r="D334" t="s">
        <v>12</v>
      </c>
      <c r="E334">
        <v>500</v>
      </c>
      <c r="F334" s="1">
        <v>45778</v>
      </c>
    </row>
    <row r="335" spans="1:6" x14ac:dyDescent="0.35">
      <c r="A335" t="s">
        <v>411</v>
      </c>
      <c r="B335">
        <v>1273</v>
      </c>
      <c r="C335">
        <v>200</v>
      </c>
      <c r="D335" t="s">
        <v>12</v>
      </c>
      <c r="E335">
        <v>200</v>
      </c>
      <c r="F335" s="1">
        <v>45566</v>
      </c>
    </row>
    <row r="336" spans="1:6" x14ac:dyDescent="0.35">
      <c r="A336" t="s">
        <v>412</v>
      </c>
      <c r="B336">
        <v>1273</v>
      </c>
      <c r="C336">
        <v>200</v>
      </c>
      <c r="D336" t="s">
        <v>12</v>
      </c>
      <c r="E336">
        <v>200</v>
      </c>
      <c r="F336" s="1">
        <v>45597</v>
      </c>
    </row>
    <row r="337" spans="1:6" x14ac:dyDescent="0.35">
      <c r="A337" t="s">
        <v>413</v>
      </c>
      <c r="B337">
        <v>1273</v>
      </c>
      <c r="C337">
        <v>200</v>
      </c>
      <c r="D337" t="s">
        <v>12</v>
      </c>
      <c r="E337">
        <v>200</v>
      </c>
      <c r="F337" s="1">
        <v>45627</v>
      </c>
    </row>
    <row r="338" spans="1:6" x14ac:dyDescent="0.35">
      <c r="A338" t="s">
        <v>414</v>
      </c>
      <c r="B338">
        <v>1273</v>
      </c>
      <c r="C338">
        <v>200</v>
      </c>
      <c r="D338" t="s">
        <v>12</v>
      </c>
      <c r="E338">
        <v>200</v>
      </c>
      <c r="F338" s="1">
        <v>45658</v>
      </c>
    </row>
    <row r="339" spans="1:6" x14ac:dyDescent="0.35">
      <c r="A339" t="s">
        <v>415</v>
      </c>
      <c r="B339">
        <v>1273</v>
      </c>
      <c r="C339">
        <v>200</v>
      </c>
      <c r="D339" t="s">
        <v>12</v>
      </c>
      <c r="E339">
        <v>200</v>
      </c>
      <c r="F339" s="1">
        <v>45689</v>
      </c>
    </row>
    <row r="340" spans="1:6" x14ac:dyDescent="0.35">
      <c r="A340" t="s">
        <v>416</v>
      </c>
      <c r="B340">
        <v>1273</v>
      </c>
      <c r="C340">
        <v>200</v>
      </c>
      <c r="D340" t="s">
        <v>12</v>
      </c>
      <c r="E340">
        <v>200</v>
      </c>
      <c r="F340" s="1">
        <v>45717</v>
      </c>
    </row>
    <row r="341" spans="1:6" x14ac:dyDescent="0.35">
      <c r="A341" t="s">
        <v>417</v>
      </c>
      <c r="B341">
        <v>1273</v>
      </c>
      <c r="C341">
        <v>200</v>
      </c>
      <c r="D341" t="s">
        <v>12</v>
      </c>
      <c r="E341">
        <v>200</v>
      </c>
      <c r="F341" s="1">
        <v>45748</v>
      </c>
    </row>
    <row r="342" spans="1:6" x14ac:dyDescent="0.35">
      <c r="A342" t="s">
        <v>418</v>
      </c>
      <c r="B342">
        <v>1276</v>
      </c>
      <c r="C342">
        <v>200</v>
      </c>
      <c r="D342" t="s">
        <v>12</v>
      </c>
      <c r="E342">
        <v>200</v>
      </c>
      <c r="F342" s="1">
        <v>45689</v>
      </c>
    </row>
    <row r="343" spans="1:6" x14ac:dyDescent="0.35">
      <c r="A343" t="s">
        <v>419</v>
      </c>
      <c r="B343">
        <v>1276</v>
      </c>
      <c r="C343">
        <v>200</v>
      </c>
      <c r="D343" t="s">
        <v>12</v>
      </c>
      <c r="E343">
        <v>200</v>
      </c>
      <c r="F343" s="1">
        <v>45717</v>
      </c>
    </row>
    <row r="344" spans="1:6" x14ac:dyDescent="0.35">
      <c r="A344" t="s">
        <v>420</v>
      </c>
      <c r="B344">
        <v>1277</v>
      </c>
      <c r="C344">
        <v>500</v>
      </c>
      <c r="D344" t="s">
        <v>12</v>
      </c>
      <c r="E344">
        <v>500</v>
      </c>
      <c r="F344" s="1">
        <v>45809</v>
      </c>
    </row>
    <row r="345" spans="1:6" x14ac:dyDescent="0.35">
      <c r="A345" t="s">
        <v>421</v>
      </c>
      <c r="B345">
        <v>1278</v>
      </c>
      <c r="C345">
        <v>500</v>
      </c>
      <c r="D345" t="s">
        <v>12</v>
      </c>
      <c r="E345">
        <v>500</v>
      </c>
      <c r="F345" s="1">
        <v>45748</v>
      </c>
    </row>
    <row r="346" spans="1:6" x14ac:dyDescent="0.35">
      <c r="A346" t="s">
        <v>422</v>
      </c>
      <c r="B346">
        <v>1278</v>
      </c>
      <c r="C346">
        <v>500</v>
      </c>
      <c r="D346" t="s">
        <v>12</v>
      </c>
      <c r="E346">
        <v>500</v>
      </c>
      <c r="F346" s="1">
        <v>45778</v>
      </c>
    </row>
    <row r="347" spans="1:6" x14ac:dyDescent="0.35">
      <c r="A347" t="s">
        <v>423</v>
      </c>
      <c r="B347">
        <v>1282</v>
      </c>
      <c r="C347">
        <v>200</v>
      </c>
      <c r="D347" t="s">
        <v>12</v>
      </c>
      <c r="E347">
        <v>200</v>
      </c>
      <c r="F347" s="1">
        <v>45352</v>
      </c>
    </row>
    <row r="348" spans="1:6" x14ac:dyDescent="0.35">
      <c r="A348" t="s">
        <v>424</v>
      </c>
      <c r="B348">
        <v>1282</v>
      </c>
      <c r="C348">
        <v>200</v>
      </c>
      <c r="D348" t="s">
        <v>12</v>
      </c>
      <c r="E348">
        <v>200</v>
      </c>
      <c r="F348" s="1">
        <v>45383</v>
      </c>
    </row>
    <row r="349" spans="1:6" x14ac:dyDescent="0.35">
      <c r="A349" t="s">
        <v>425</v>
      </c>
      <c r="B349">
        <v>1282</v>
      </c>
      <c r="C349">
        <v>200</v>
      </c>
      <c r="D349" t="s">
        <v>12</v>
      </c>
      <c r="E349">
        <v>200</v>
      </c>
      <c r="F349" s="1">
        <v>45413</v>
      </c>
    </row>
    <row r="350" spans="1:6" x14ac:dyDescent="0.35">
      <c r="A350" t="s">
        <v>426</v>
      </c>
      <c r="B350">
        <v>1282</v>
      </c>
      <c r="C350">
        <v>200</v>
      </c>
      <c r="D350" t="s">
        <v>12</v>
      </c>
      <c r="E350">
        <v>200</v>
      </c>
      <c r="F350" s="1">
        <v>45444</v>
      </c>
    </row>
    <row r="351" spans="1:6" x14ac:dyDescent="0.35">
      <c r="A351" t="s">
        <v>427</v>
      </c>
      <c r="B351">
        <v>1282</v>
      </c>
      <c r="C351">
        <v>200</v>
      </c>
      <c r="D351" t="s">
        <v>12</v>
      </c>
      <c r="E351">
        <v>200</v>
      </c>
      <c r="F351" s="1">
        <v>45474</v>
      </c>
    </row>
    <row r="352" spans="1:6" x14ac:dyDescent="0.35">
      <c r="A352" t="s">
        <v>428</v>
      </c>
      <c r="B352">
        <v>1282</v>
      </c>
      <c r="C352">
        <v>200</v>
      </c>
      <c r="D352" t="s">
        <v>12</v>
      </c>
      <c r="E352">
        <v>200</v>
      </c>
      <c r="F352" s="1">
        <v>45505</v>
      </c>
    </row>
    <row r="353" spans="1:6" x14ac:dyDescent="0.35">
      <c r="A353" t="s">
        <v>429</v>
      </c>
      <c r="B353">
        <v>1282</v>
      </c>
      <c r="C353">
        <v>200</v>
      </c>
      <c r="D353" t="s">
        <v>12</v>
      </c>
      <c r="E353">
        <v>200</v>
      </c>
      <c r="F353" s="1">
        <v>45536</v>
      </c>
    </row>
    <row r="354" spans="1:6" x14ac:dyDescent="0.35">
      <c r="A354" t="s">
        <v>430</v>
      </c>
      <c r="B354">
        <v>1282</v>
      </c>
      <c r="C354">
        <v>200</v>
      </c>
      <c r="D354" t="s">
        <v>12</v>
      </c>
      <c r="E354">
        <v>200</v>
      </c>
      <c r="F354" s="1">
        <v>45566</v>
      </c>
    </row>
    <row r="355" spans="1:6" x14ac:dyDescent="0.35">
      <c r="A355" t="s">
        <v>431</v>
      </c>
      <c r="B355">
        <v>1282</v>
      </c>
      <c r="C355">
        <v>200</v>
      </c>
      <c r="D355" t="s">
        <v>12</v>
      </c>
      <c r="E355">
        <v>200</v>
      </c>
      <c r="F355" s="1">
        <v>45597</v>
      </c>
    </row>
    <row r="356" spans="1:6" x14ac:dyDescent="0.35">
      <c r="A356" t="s">
        <v>432</v>
      </c>
      <c r="B356">
        <v>1282</v>
      </c>
      <c r="C356">
        <v>200</v>
      </c>
      <c r="D356" t="s">
        <v>12</v>
      </c>
      <c r="E356">
        <v>200</v>
      </c>
      <c r="F356" s="1">
        <v>45627</v>
      </c>
    </row>
    <row r="357" spans="1:6" x14ac:dyDescent="0.35">
      <c r="A357" t="s">
        <v>433</v>
      </c>
      <c r="B357">
        <v>1282</v>
      </c>
      <c r="C357">
        <v>200</v>
      </c>
      <c r="D357" t="s">
        <v>12</v>
      </c>
      <c r="E357">
        <v>200</v>
      </c>
      <c r="F357" s="1">
        <v>45658</v>
      </c>
    </row>
    <row r="358" spans="1:6" x14ac:dyDescent="0.35">
      <c r="A358" t="s">
        <v>434</v>
      </c>
      <c r="B358">
        <v>1282</v>
      </c>
      <c r="C358">
        <v>200</v>
      </c>
      <c r="D358" t="s">
        <v>12</v>
      </c>
      <c r="E358">
        <v>200</v>
      </c>
      <c r="F358" s="1">
        <v>45689</v>
      </c>
    </row>
    <row r="359" spans="1:6" x14ac:dyDescent="0.35">
      <c r="A359" t="s">
        <v>435</v>
      </c>
      <c r="B359">
        <v>1282</v>
      </c>
      <c r="C359">
        <v>200</v>
      </c>
      <c r="D359" t="s">
        <v>12</v>
      </c>
      <c r="E359">
        <v>200</v>
      </c>
      <c r="F359" s="1">
        <v>45717</v>
      </c>
    </row>
    <row r="360" spans="1:6" x14ac:dyDescent="0.35">
      <c r="A360" t="s">
        <v>436</v>
      </c>
      <c r="B360">
        <v>1282</v>
      </c>
      <c r="C360">
        <v>200</v>
      </c>
      <c r="D360" t="s">
        <v>12</v>
      </c>
      <c r="E360">
        <v>200</v>
      </c>
      <c r="F360" s="1">
        <v>45748</v>
      </c>
    </row>
    <row r="361" spans="1:6" x14ac:dyDescent="0.35">
      <c r="A361" t="s">
        <v>437</v>
      </c>
      <c r="B361">
        <v>1282</v>
      </c>
      <c r="C361">
        <v>200</v>
      </c>
      <c r="D361" t="s">
        <v>12</v>
      </c>
      <c r="E361">
        <v>200</v>
      </c>
      <c r="F361" s="1">
        <v>45778</v>
      </c>
    </row>
    <row r="362" spans="1:6" x14ac:dyDescent="0.35">
      <c r="A362" t="s">
        <v>438</v>
      </c>
      <c r="B362">
        <v>1282</v>
      </c>
      <c r="C362">
        <v>200</v>
      </c>
      <c r="D362" t="s">
        <v>12</v>
      </c>
      <c r="E362">
        <v>200</v>
      </c>
      <c r="F362" s="1">
        <v>45809</v>
      </c>
    </row>
    <row r="363" spans="1:6" x14ac:dyDescent="0.35">
      <c r="A363" t="s">
        <v>439</v>
      </c>
      <c r="B363">
        <v>1287</v>
      </c>
      <c r="C363">
        <v>50</v>
      </c>
      <c r="D363" t="s">
        <v>12</v>
      </c>
      <c r="E363">
        <v>50</v>
      </c>
      <c r="F363" s="1">
        <v>45689</v>
      </c>
    </row>
    <row r="364" spans="1:6" x14ac:dyDescent="0.35">
      <c r="A364" t="s">
        <v>440</v>
      </c>
      <c r="B364">
        <v>1287</v>
      </c>
      <c r="C364">
        <v>50</v>
      </c>
      <c r="D364" t="s">
        <v>12</v>
      </c>
      <c r="E364">
        <v>50</v>
      </c>
      <c r="F364" s="1">
        <v>45717</v>
      </c>
    </row>
    <row r="365" spans="1:6" x14ac:dyDescent="0.35">
      <c r="A365" t="s">
        <v>441</v>
      </c>
      <c r="B365">
        <v>1287</v>
      </c>
      <c r="C365">
        <v>50</v>
      </c>
      <c r="D365" t="s">
        <v>12</v>
      </c>
      <c r="E365">
        <v>50</v>
      </c>
      <c r="F365" s="1">
        <v>45748</v>
      </c>
    </row>
    <row r="366" spans="1:6" x14ac:dyDescent="0.35">
      <c r="A366" t="s">
        <v>442</v>
      </c>
      <c r="B366">
        <v>1291</v>
      </c>
      <c r="C366">
        <v>50</v>
      </c>
      <c r="D366" t="s">
        <v>12</v>
      </c>
      <c r="E366">
        <v>50</v>
      </c>
      <c r="F366" s="1">
        <v>45474</v>
      </c>
    </row>
    <row r="367" spans="1:6" x14ac:dyDescent="0.35">
      <c r="A367" t="s">
        <v>443</v>
      </c>
      <c r="B367">
        <v>1291</v>
      </c>
      <c r="C367">
        <v>50</v>
      </c>
      <c r="D367" t="s">
        <v>12</v>
      </c>
      <c r="E367">
        <v>50</v>
      </c>
      <c r="F367" s="1">
        <v>45505</v>
      </c>
    </row>
    <row r="368" spans="1:6" x14ac:dyDescent="0.35">
      <c r="A368" t="s">
        <v>444</v>
      </c>
      <c r="B368">
        <v>1292</v>
      </c>
      <c r="C368">
        <v>50</v>
      </c>
      <c r="D368" t="s">
        <v>12</v>
      </c>
      <c r="E368">
        <v>50</v>
      </c>
      <c r="F368" s="1">
        <v>45383</v>
      </c>
    </row>
    <row r="369" spans="1:6" x14ac:dyDescent="0.35">
      <c r="A369" t="s">
        <v>445</v>
      </c>
      <c r="B369">
        <v>1292</v>
      </c>
      <c r="C369">
        <v>50</v>
      </c>
      <c r="D369" t="s">
        <v>12</v>
      </c>
      <c r="E369">
        <v>50</v>
      </c>
      <c r="F369" s="1">
        <v>45413</v>
      </c>
    </row>
    <row r="370" spans="1:6" x14ac:dyDescent="0.35">
      <c r="A370" t="s">
        <v>446</v>
      </c>
      <c r="B370">
        <v>1292</v>
      </c>
      <c r="C370">
        <v>50</v>
      </c>
      <c r="D370" t="s">
        <v>12</v>
      </c>
      <c r="E370">
        <v>50</v>
      </c>
      <c r="F370" s="1">
        <v>45444</v>
      </c>
    </row>
    <row r="371" spans="1:6" x14ac:dyDescent="0.35">
      <c r="A371" t="s">
        <v>447</v>
      </c>
      <c r="B371">
        <v>1292</v>
      </c>
      <c r="C371">
        <v>50</v>
      </c>
      <c r="D371" t="s">
        <v>12</v>
      </c>
      <c r="E371">
        <v>50</v>
      </c>
      <c r="F371" s="1">
        <v>45474</v>
      </c>
    </row>
    <row r="372" spans="1:6" x14ac:dyDescent="0.35">
      <c r="A372" t="s">
        <v>448</v>
      </c>
      <c r="B372">
        <v>1294</v>
      </c>
      <c r="C372">
        <v>500</v>
      </c>
      <c r="D372" t="s">
        <v>12</v>
      </c>
      <c r="E372">
        <v>500</v>
      </c>
      <c r="F372" s="1">
        <v>45352</v>
      </c>
    </row>
    <row r="373" spans="1:6" x14ac:dyDescent="0.35">
      <c r="A373" t="s">
        <v>449</v>
      </c>
      <c r="B373">
        <v>1294</v>
      </c>
      <c r="C373">
        <v>500</v>
      </c>
      <c r="D373" t="s">
        <v>12</v>
      </c>
      <c r="E373">
        <v>500</v>
      </c>
      <c r="F373" s="1">
        <v>45383</v>
      </c>
    </row>
    <row r="374" spans="1:6" x14ac:dyDescent="0.35">
      <c r="A374" t="s">
        <v>450</v>
      </c>
      <c r="B374">
        <v>1294</v>
      </c>
      <c r="C374">
        <v>500</v>
      </c>
      <c r="D374" t="s">
        <v>12</v>
      </c>
      <c r="E374">
        <v>500</v>
      </c>
      <c r="F374" s="1">
        <v>45413</v>
      </c>
    </row>
    <row r="375" spans="1:6" x14ac:dyDescent="0.35">
      <c r="A375" t="s">
        <v>451</v>
      </c>
      <c r="B375">
        <v>1294</v>
      </c>
      <c r="C375">
        <v>500</v>
      </c>
      <c r="D375" t="s">
        <v>12</v>
      </c>
      <c r="E375">
        <v>500</v>
      </c>
      <c r="F375" s="1">
        <v>45444</v>
      </c>
    </row>
    <row r="376" spans="1:6" x14ac:dyDescent="0.35">
      <c r="A376" t="s">
        <v>452</v>
      </c>
      <c r="B376">
        <v>1294</v>
      </c>
      <c r="C376">
        <v>500</v>
      </c>
      <c r="D376" t="s">
        <v>12</v>
      </c>
      <c r="E376">
        <v>500</v>
      </c>
      <c r="F376" s="1">
        <v>45474</v>
      </c>
    </row>
    <row r="377" spans="1:6" x14ac:dyDescent="0.35">
      <c r="A377" t="s">
        <v>453</v>
      </c>
      <c r="B377">
        <v>1294</v>
      </c>
      <c r="C377">
        <v>500</v>
      </c>
      <c r="D377" t="s">
        <v>12</v>
      </c>
      <c r="E377">
        <v>500</v>
      </c>
      <c r="F377" s="1">
        <v>45505</v>
      </c>
    </row>
    <row r="378" spans="1:6" x14ac:dyDescent="0.35">
      <c r="A378" t="s">
        <v>454</v>
      </c>
      <c r="B378">
        <v>1294</v>
      </c>
      <c r="C378">
        <v>500</v>
      </c>
      <c r="D378" t="s">
        <v>12</v>
      </c>
      <c r="E378">
        <v>500</v>
      </c>
      <c r="F378" s="1">
        <v>45536</v>
      </c>
    </row>
    <row r="379" spans="1:6" x14ac:dyDescent="0.35">
      <c r="A379" t="s">
        <v>455</v>
      </c>
      <c r="B379">
        <v>1294</v>
      </c>
      <c r="C379">
        <v>500</v>
      </c>
      <c r="D379" t="s">
        <v>12</v>
      </c>
      <c r="E379">
        <v>500</v>
      </c>
      <c r="F379" s="1">
        <v>45566</v>
      </c>
    </row>
    <row r="380" spans="1:6" x14ac:dyDescent="0.35">
      <c r="A380" t="s">
        <v>456</v>
      </c>
      <c r="B380">
        <v>1294</v>
      </c>
      <c r="C380">
        <v>500</v>
      </c>
      <c r="D380" t="s">
        <v>12</v>
      </c>
      <c r="E380">
        <v>500</v>
      </c>
      <c r="F380" s="1">
        <v>45597</v>
      </c>
    </row>
    <row r="381" spans="1:6" x14ac:dyDescent="0.35">
      <c r="A381" t="s">
        <v>457</v>
      </c>
      <c r="B381">
        <v>1294</v>
      </c>
      <c r="C381">
        <v>500</v>
      </c>
      <c r="D381" t="s">
        <v>12</v>
      </c>
      <c r="E381">
        <v>500</v>
      </c>
      <c r="F381" s="1">
        <v>45627</v>
      </c>
    </row>
    <row r="382" spans="1:6" x14ac:dyDescent="0.35">
      <c r="A382" t="s">
        <v>458</v>
      </c>
      <c r="B382">
        <v>1294</v>
      </c>
      <c r="C382">
        <v>500</v>
      </c>
      <c r="D382" t="s">
        <v>12</v>
      </c>
      <c r="E382">
        <v>500</v>
      </c>
      <c r="F382" s="1">
        <v>45658</v>
      </c>
    </row>
    <row r="383" spans="1:6" x14ac:dyDescent="0.35">
      <c r="A383" t="s">
        <v>459</v>
      </c>
      <c r="B383">
        <v>1294</v>
      </c>
      <c r="C383">
        <v>500</v>
      </c>
      <c r="D383" t="s">
        <v>12</v>
      </c>
      <c r="E383">
        <v>500</v>
      </c>
      <c r="F383" s="1">
        <v>45689</v>
      </c>
    </row>
    <row r="384" spans="1:6" x14ac:dyDescent="0.35">
      <c r="A384" t="s">
        <v>460</v>
      </c>
      <c r="B384">
        <v>1294</v>
      </c>
      <c r="C384">
        <v>500</v>
      </c>
      <c r="D384" t="s">
        <v>12</v>
      </c>
      <c r="E384">
        <v>500</v>
      </c>
      <c r="F384" s="1">
        <v>45717</v>
      </c>
    </row>
    <row r="385" spans="1:6" x14ac:dyDescent="0.35">
      <c r="A385" t="s">
        <v>461</v>
      </c>
      <c r="B385">
        <v>1294</v>
      </c>
      <c r="C385">
        <v>500</v>
      </c>
      <c r="D385" t="s">
        <v>12</v>
      </c>
      <c r="E385">
        <v>500</v>
      </c>
      <c r="F385" s="1">
        <v>45748</v>
      </c>
    </row>
    <row r="386" spans="1:6" x14ac:dyDescent="0.35">
      <c r="A386" t="s">
        <v>462</v>
      </c>
      <c r="B386">
        <v>1294</v>
      </c>
      <c r="C386">
        <v>500</v>
      </c>
      <c r="D386" t="s">
        <v>12</v>
      </c>
      <c r="E386">
        <v>500</v>
      </c>
      <c r="F386" s="1">
        <v>45778</v>
      </c>
    </row>
    <row r="387" spans="1:6" x14ac:dyDescent="0.35">
      <c r="A387" t="s">
        <v>463</v>
      </c>
      <c r="B387">
        <v>1308</v>
      </c>
      <c r="C387">
        <v>50</v>
      </c>
      <c r="D387" t="s">
        <v>12</v>
      </c>
      <c r="E387">
        <v>50</v>
      </c>
      <c r="F387" s="1">
        <v>45413</v>
      </c>
    </row>
    <row r="388" spans="1:6" x14ac:dyDescent="0.35">
      <c r="A388" t="s">
        <v>464</v>
      </c>
      <c r="B388">
        <v>1308</v>
      </c>
      <c r="C388">
        <v>50</v>
      </c>
      <c r="D388" t="s">
        <v>12</v>
      </c>
      <c r="E388">
        <v>50</v>
      </c>
      <c r="F388" s="1">
        <v>45444</v>
      </c>
    </row>
    <row r="389" spans="1:6" x14ac:dyDescent="0.35">
      <c r="A389" t="s">
        <v>465</v>
      </c>
      <c r="B389">
        <v>1308</v>
      </c>
      <c r="C389">
        <v>50</v>
      </c>
      <c r="D389" t="s">
        <v>12</v>
      </c>
      <c r="E389">
        <v>50</v>
      </c>
      <c r="F389" s="1">
        <v>45474</v>
      </c>
    </row>
    <row r="390" spans="1:6" x14ac:dyDescent="0.35">
      <c r="A390" t="s">
        <v>466</v>
      </c>
      <c r="B390">
        <v>1308</v>
      </c>
      <c r="C390">
        <v>50</v>
      </c>
      <c r="D390" t="s">
        <v>12</v>
      </c>
      <c r="E390">
        <v>50</v>
      </c>
      <c r="F390" s="1">
        <v>45505</v>
      </c>
    </row>
    <row r="391" spans="1:6" x14ac:dyDescent="0.35">
      <c r="A391" t="s">
        <v>467</v>
      </c>
      <c r="B391">
        <v>1308</v>
      </c>
      <c r="C391">
        <v>50</v>
      </c>
      <c r="D391" t="s">
        <v>12</v>
      </c>
      <c r="E391">
        <v>50</v>
      </c>
      <c r="F391" s="1">
        <v>45536</v>
      </c>
    </row>
    <row r="392" spans="1:6" x14ac:dyDescent="0.35">
      <c r="A392" t="s">
        <v>468</v>
      </c>
      <c r="B392">
        <v>1308</v>
      </c>
      <c r="C392">
        <v>50</v>
      </c>
      <c r="D392" t="s">
        <v>12</v>
      </c>
      <c r="E392">
        <v>50</v>
      </c>
      <c r="F392" s="1">
        <v>45566</v>
      </c>
    </row>
    <row r="393" spans="1:6" x14ac:dyDescent="0.35">
      <c r="A393" t="s">
        <v>469</v>
      </c>
      <c r="B393">
        <v>1308</v>
      </c>
      <c r="C393">
        <v>50</v>
      </c>
      <c r="D393" t="s">
        <v>12</v>
      </c>
      <c r="E393">
        <v>50</v>
      </c>
      <c r="F393" s="1">
        <v>45597</v>
      </c>
    </row>
    <row r="394" spans="1:6" x14ac:dyDescent="0.35">
      <c r="A394" t="s">
        <v>470</v>
      </c>
      <c r="B394">
        <v>1308</v>
      </c>
      <c r="C394">
        <v>50</v>
      </c>
      <c r="D394" t="s">
        <v>12</v>
      </c>
      <c r="E394">
        <v>50</v>
      </c>
      <c r="F394" s="1">
        <v>45627</v>
      </c>
    </row>
    <row r="395" spans="1:6" x14ac:dyDescent="0.35">
      <c r="A395" t="s">
        <v>471</v>
      </c>
      <c r="B395">
        <v>1308</v>
      </c>
      <c r="C395">
        <v>50</v>
      </c>
      <c r="D395" t="s">
        <v>12</v>
      </c>
      <c r="E395">
        <v>50</v>
      </c>
      <c r="F395" s="1">
        <v>45658</v>
      </c>
    </row>
    <row r="396" spans="1:6" x14ac:dyDescent="0.35">
      <c r="A396" t="s">
        <v>472</v>
      </c>
      <c r="B396">
        <v>1308</v>
      </c>
      <c r="C396">
        <v>50</v>
      </c>
      <c r="D396" t="s">
        <v>12</v>
      </c>
      <c r="E396">
        <v>50</v>
      </c>
      <c r="F396" s="1">
        <v>45689</v>
      </c>
    </row>
    <row r="397" spans="1:6" x14ac:dyDescent="0.35">
      <c r="A397" t="s">
        <v>473</v>
      </c>
      <c r="B397">
        <v>1308</v>
      </c>
      <c r="C397">
        <v>50</v>
      </c>
      <c r="D397" t="s">
        <v>12</v>
      </c>
      <c r="E397">
        <v>50</v>
      </c>
      <c r="F397" s="1">
        <v>45717</v>
      </c>
    </row>
    <row r="398" spans="1:6" x14ac:dyDescent="0.35">
      <c r="A398" t="s">
        <v>474</v>
      </c>
      <c r="B398">
        <v>1309</v>
      </c>
      <c r="C398">
        <v>50</v>
      </c>
      <c r="D398" t="s">
        <v>12</v>
      </c>
      <c r="E398">
        <v>50</v>
      </c>
      <c r="F398" s="1">
        <v>45505</v>
      </c>
    </row>
    <row r="399" spans="1:6" x14ac:dyDescent="0.35">
      <c r="A399" t="s">
        <v>475</v>
      </c>
      <c r="B399">
        <v>1309</v>
      </c>
      <c r="C399">
        <v>50</v>
      </c>
      <c r="D399" t="s">
        <v>12</v>
      </c>
      <c r="E399">
        <v>50</v>
      </c>
      <c r="F399" s="1">
        <v>45536</v>
      </c>
    </row>
    <row r="400" spans="1:6" x14ac:dyDescent="0.35">
      <c r="A400" t="s">
        <v>476</v>
      </c>
      <c r="B400">
        <v>1309</v>
      </c>
      <c r="C400">
        <v>50</v>
      </c>
      <c r="D400" t="s">
        <v>12</v>
      </c>
      <c r="E400">
        <v>50</v>
      </c>
      <c r="F400" s="1">
        <v>45566</v>
      </c>
    </row>
    <row r="401" spans="1:6" x14ac:dyDescent="0.35">
      <c r="A401" t="s">
        <v>477</v>
      </c>
      <c r="B401">
        <v>1312</v>
      </c>
      <c r="C401">
        <v>50</v>
      </c>
      <c r="D401" t="s">
        <v>12</v>
      </c>
      <c r="E401">
        <v>50</v>
      </c>
      <c r="F401" s="1">
        <v>45597</v>
      </c>
    </row>
    <row r="402" spans="1:6" x14ac:dyDescent="0.35">
      <c r="A402" t="s">
        <v>478</v>
      </c>
      <c r="B402">
        <v>1312</v>
      </c>
      <c r="C402">
        <v>50</v>
      </c>
      <c r="D402" t="s">
        <v>12</v>
      </c>
      <c r="E402">
        <v>50</v>
      </c>
      <c r="F402" s="1">
        <v>45627</v>
      </c>
    </row>
    <row r="403" spans="1:6" x14ac:dyDescent="0.35">
      <c r="A403" t="s">
        <v>479</v>
      </c>
      <c r="B403">
        <v>1312</v>
      </c>
      <c r="C403">
        <v>50</v>
      </c>
      <c r="D403" t="s">
        <v>12</v>
      </c>
      <c r="E403">
        <v>50</v>
      </c>
      <c r="F403" s="1">
        <v>45658</v>
      </c>
    </row>
    <row r="404" spans="1:6" x14ac:dyDescent="0.35">
      <c r="A404" t="s">
        <v>480</v>
      </c>
      <c r="B404">
        <v>1312</v>
      </c>
      <c r="C404">
        <v>50</v>
      </c>
      <c r="D404" t="s">
        <v>12</v>
      </c>
      <c r="E404">
        <v>50</v>
      </c>
      <c r="F404" s="1">
        <v>45689</v>
      </c>
    </row>
    <row r="405" spans="1:6" x14ac:dyDescent="0.35">
      <c r="A405" t="s">
        <v>481</v>
      </c>
      <c r="B405">
        <v>1313</v>
      </c>
      <c r="C405">
        <v>500</v>
      </c>
      <c r="D405" t="s">
        <v>12</v>
      </c>
      <c r="E405">
        <v>500</v>
      </c>
      <c r="F405" s="1">
        <v>45323</v>
      </c>
    </row>
    <row r="406" spans="1:6" x14ac:dyDescent="0.35">
      <c r="A406" t="s">
        <v>482</v>
      </c>
      <c r="B406">
        <v>1313</v>
      </c>
      <c r="C406">
        <v>500</v>
      </c>
      <c r="D406" t="s">
        <v>12</v>
      </c>
      <c r="E406">
        <v>500</v>
      </c>
      <c r="F406" s="1">
        <v>45352</v>
      </c>
    </row>
    <row r="407" spans="1:6" x14ac:dyDescent="0.35">
      <c r="A407" t="s">
        <v>483</v>
      </c>
      <c r="B407">
        <v>1313</v>
      </c>
      <c r="C407">
        <v>500</v>
      </c>
      <c r="D407" t="s">
        <v>12</v>
      </c>
      <c r="E407">
        <v>500</v>
      </c>
      <c r="F407" s="1">
        <v>45383</v>
      </c>
    </row>
    <row r="408" spans="1:6" x14ac:dyDescent="0.35">
      <c r="A408" t="s">
        <v>484</v>
      </c>
      <c r="B408">
        <v>1313</v>
      </c>
      <c r="C408">
        <v>500</v>
      </c>
      <c r="D408" t="s">
        <v>12</v>
      </c>
      <c r="E408">
        <v>500</v>
      </c>
      <c r="F408" s="1">
        <v>45413</v>
      </c>
    </row>
    <row r="409" spans="1:6" x14ac:dyDescent="0.35">
      <c r="A409" t="s">
        <v>485</v>
      </c>
      <c r="B409">
        <v>1313</v>
      </c>
      <c r="C409">
        <v>500</v>
      </c>
      <c r="D409" t="s">
        <v>12</v>
      </c>
      <c r="E409">
        <v>500</v>
      </c>
      <c r="F409" s="1">
        <v>45444</v>
      </c>
    </row>
    <row r="410" spans="1:6" x14ac:dyDescent="0.35">
      <c r="A410" t="s">
        <v>486</v>
      </c>
      <c r="B410">
        <v>1313</v>
      </c>
      <c r="C410">
        <v>500</v>
      </c>
      <c r="D410" t="s">
        <v>12</v>
      </c>
      <c r="E410">
        <v>500</v>
      </c>
      <c r="F410" s="1">
        <v>45474</v>
      </c>
    </row>
    <row r="411" spans="1:6" x14ac:dyDescent="0.35">
      <c r="A411" t="s">
        <v>487</v>
      </c>
      <c r="B411">
        <v>1313</v>
      </c>
      <c r="C411">
        <v>500</v>
      </c>
      <c r="D411" t="s">
        <v>12</v>
      </c>
      <c r="E411">
        <v>500</v>
      </c>
      <c r="F411" s="1">
        <v>45505</v>
      </c>
    </row>
    <row r="412" spans="1:6" x14ac:dyDescent="0.35">
      <c r="A412" t="s">
        <v>488</v>
      </c>
      <c r="B412">
        <v>1313</v>
      </c>
      <c r="C412">
        <v>500</v>
      </c>
      <c r="D412" t="s">
        <v>12</v>
      </c>
      <c r="E412">
        <v>500</v>
      </c>
      <c r="F412" s="1">
        <v>45536</v>
      </c>
    </row>
    <row r="413" spans="1:6" x14ac:dyDescent="0.35">
      <c r="A413" t="s">
        <v>489</v>
      </c>
      <c r="B413">
        <v>1313</v>
      </c>
      <c r="C413">
        <v>500</v>
      </c>
      <c r="D413" t="s">
        <v>12</v>
      </c>
      <c r="E413">
        <v>500</v>
      </c>
      <c r="F413" s="1">
        <v>45566</v>
      </c>
    </row>
    <row r="414" spans="1:6" x14ac:dyDescent="0.35">
      <c r="A414" t="s">
        <v>490</v>
      </c>
      <c r="B414">
        <v>1313</v>
      </c>
      <c r="C414">
        <v>500</v>
      </c>
      <c r="D414" t="s">
        <v>12</v>
      </c>
      <c r="E414">
        <v>500</v>
      </c>
      <c r="F414" s="1">
        <v>45597</v>
      </c>
    </row>
    <row r="415" spans="1:6" x14ac:dyDescent="0.35">
      <c r="A415" t="s">
        <v>491</v>
      </c>
      <c r="B415">
        <v>1313</v>
      </c>
      <c r="C415">
        <v>500</v>
      </c>
      <c r="D415" t="s">
        <v>12</v>
      </c>
      <c r="E415">
        <v>500</v>
      </c>
      <c r="F415" s="1">
        <v>45627</v>
      </c>
    </row>
    <row r="416" spans="1:6" x14ac:dyDescent="0.35">
      <c r="A416" t="s">
        <v>492</v>
      </c>
      <c r="B416">
        <v>1313</v>
      </c>
      <c r="C416">
        <v>500</v>
      </c>
      <c r="D416" t="s">
        <v>12</v>
      </c>
      <c r="E416">
        <v>500</v>
      </c>
      <c r="F416" s="1">
        <v>45658</v>
      </c>
    </row>
    <row r="417" spans="1:6" x14ac:dyDescent="0.35">
      <c r="A417" t="s">
        <v>493</v>
      </c>
      <c r="B417">
        <v>1313</v>
      </c>
      <c r="C417">
        <v>500</v>
      </c>
      <c r="D417" t="s">
        <v>12</v>
      </c>
      <c r="E417">
        <v>500</v>
      </c>
      <c r="F417" s="1">
        <v>45689</v>
      </c>
    </row>
    <row r="418" spans="1:6" x14ac:dyDescent="0.35">
      <c r="A418" t="s">
        <v>494</v>
      </c>
      <c r="B418">
        <v>1332</v>
      </c>
      <c r="C418">
        <v>200</v>
      </c>
      <c r="D418" t="s">
        <v>12</v>
      </c>
      <c r="E418">
        <v>200</v>
      </c>
      <c r="F418" s="1">
        <v>45658</v>
      </c>
    </row>
    <row r="419" spans="1:6" x14ac:dyDescent="0.35">
      <c r="A419" t="s">
        <v>495</v>
      </c>
      <c r="B419">
        <v>1332</v>
      </c>
      <c r="C419">
        <v>200</v>
      </c>
      <c r="D419" t="s">
        <v>12</v>
      </c>
      <c r="E419">
        <v>200</v>
      </c>
      <c r="F419" s="1">
        <v>45689</v>
      </c>
    </row>
    <row r="420" spans="1:6" x14ac:dyDescent="0.35">
      <c r="A420" t="s">
        <v>496</v>
      </c>
      <c r="B420">
        <v>1332</v>
      </c>
      <c r="C420">
        <v>200</v>
      </c>
      <c r="D420" t="s">
        <v>12</v>
      </c>
      <c r="E420">
        <v>200</v>
      </c>
      <c r="F420" s="1">
        <v>45717</v>
      </c>
    </row>
    <row r="421" spans="1:6" x14ac:dyDescent="0.35">
      <c r="A421" t="s">
        <v>497</v>
      </c>
      <c r="B421">
        <v>1337</v>
      </c>
      <c r="C421">
        <v>50</v>
      </c>
      <c r="D421" t="s">
        <v>12</v>
      </c>
      <c r="E421">
        <v>50</v>
      </c>
      <c r="F421" s="1">
        <v>45505</v>
      </c>
    </row>
    <row r="422" spans="1:6" x14ac:dyDescent="0.35">
      <c r="A422" t="s">
        <v>498</v>
      </c>
      <c r="B422">
        <v>1337</v>
      </c>
      <c r="C422">
        <v>50</v>
      </c>
      <c r="D422" t="s">
        <v>12</v>
      </c>
      <c r="E422">
        <v>50</v>
      </c>
      <c r="F422" s="1">
        <v>45536</v>
      </c>
    </row>
    <row r="423" spans="1:6" x14ac:dyDescent="0.35">
      <c r="A423" t="s">
        <v>499</v>
      </c>
      <c r="B423">
        <v>1337</v>
      </c>
      <c r="C423">
        <v>50</v>
      </c>
      <c r="D423" t="s">
        <v>12</v>
      </c>
      <c r="E423">
        <v>50</v>
      </c>
      <c r="F423" s="1">
        <v>45566</v>
      </c>
    </row>
    <row r="424" spans="1:6" x14ac:dyDescent="0.35">
      <c r="A424" t="s">
        <v>500</v>
      </c>
      <c r="B424">
        <v>1337</v>
      </c>
      <c r="C424">
        <v>50</v>
      </c>
      <c r="D424" t="s">
        <v>12</v>
      </c>
      <c r="E424">
        <v>50</v>
      </c>
      <c r="F424" s="1">
        <v>45597</v>
      </c>
    </row>
    <row r="425" spans="1:6" x14ac:dyDescent="0.35">
      <c r="A425" t="s">
        <v>501</v>
      </c>
      <c r="B425">
        <v>1346</v>
      </c>
      <c r="C425">
        <v>200</v>
      </c>
      <c r="D425" t="s">
        <v>12</v>
      </c>
      <c r="E425">
        <v>200</v>
      </c>
      <c r="F425" s="1">
        <v>45352</v>
      </c>
    </row>
    <row r="426" spans="1:6" x14ac:dyDescent="0.35">
      <c r="A426" t="s">
        <v>502</v>
      </c>
      <c r="B426">
        <v>1346</v>
      </c>
      <c r="C426">
        <v>200</v>
      </c>
      <c r="D426" t="s">
        <v>12</v>
      </c>
      <c r="E426">
        <v>200</v>
      </c>
      <c r="F426" s="1">
        <v>45383</v>
      </c>
    </row>
    <row r="427" spans="1:6" x14ac:dyDescent="0.35">
      <c r="A427" t="s">
        <v>503</v>
      </c>
      <c r="B427">
        <v>1346</v>
      </c>
      <c r="C427">
        <v>200</v>
      </c>
      <c r="D427" t="s">
        <v>12</v>
      </c>
      <c r="E427">
        <v>200</v>
      </c>
      <c r="F427" s="1">
        <v>45413</v>
      </c>
    </row>
    <row r="428" spans="1:6" x14ac:dyDescent="0.35">
      <c r="A428" t="s">
        <v>504</v>
      </c>
      <c r="B428">
        <v>1346</v>
      </c>
      <c r="C428">
        <v>200</v>
      </c>
      <c r="D428" t="s">
        <v>12</v>
      </c>
      <c r="E428">
        <v>200</v>
      </c>
      <c r="F428" s="1">
        <v>45444</v>
      </c>
    </row>
    <row r="429" spans="1:6" x14ac:dyDescent="0.35">
      <c r="A429" t="s">
        <v>505</v>
      </c>
      <c r="B429">
        <v>1347</v>
      </c>
      <c r="C429">
        <v>50</v>
      </c>
      <c r="D429" t="s">
        <v>12</v>
      </c>
      <c r="E429">
        <v>50</v>
      </c>
      <c r="F429" s="1">
        <v>45597</v>
      </c>
    </row>
    <row r="430" spans="1:6" x14ac:dyDescent="0.35">
      <c r="A430" t="s">
        <v>506</v>
      </c>
      <c r="B430">
        <v>1347</v>
      </c>
      <c r="C430">
        <v>50</v>
      </c>
      <c r="D430" t="s">
        <v>12</v>
      </c>
      <c r="E430">
        <v>50</v>
      </c>
      <c r="F430" s="1">
        <v>45627</v>
      </c>
    </row>
    <row r="431" spans="1:6" x14ac:dyDescent="0.35">
      <c r="A431" t="s">
        <v>507</v>
      </c>
      <c r="B431">
        <v>1347</v>
      </c>
      <c r="C431">
        <v>50</v>
      </c>
      <c r="D431" t="s">
        <v>12</v>
      </c>
      <c r="E431">
        <v>50</v>
      </c>
      <c r="F431" s="1">
        <v>45658</v>
      </c>
    </row>
    <row r="432" spans="1:6" x14ac:dyDescent="0.35">
      <c r="A432" t="s">
        <v>508</v>
      </c>
      <c r="B432">
        <v>1347</v>
      </c>
      <c r="C432">
        <v>50</v>
      </c>
      <c r="D432" t="s">
        <v>12</v>
      </c>
      <c r="E432">
        <v>50</v>
      </c>
      <c r="F432" s="1">
        <v>45689</v>
      </c>
    </row>
    <row r="433" spans="1:6" x14ac:dyDescent="0.35">
      <c r="A433" t="s">
        <v>509</v>
      </c>
      <c r="B433">
        <v>1347</v>
      </c>
      <c r="C433">
        <v>50</v>
      </c>
      <c r="D433" t="s">
        <v>12</v>
      </c>
      <c r="E433">
        <v>50</v>
      </c>
      <c r="F433" s="1">
        <v>45717</v>
      </c>
    </row>
    <row r="434" spans="1:6" x14ac:dyDescent="0.35">
      <c r="A434" t="s">
        <v>510</v>
      </c>
      <c r="B434">
        <v>1347</v>
      </c>
      <c r="C434">
        <v>50</v>
      </c>
      <c r="D434" t="s">
        <v>12</v>
      </c>
      <c r="E434">
        <v>50</v>
      </c>
      <c r="F434" s="1">
        <v>45748</v>
      </c>
    </row>
    <row r="435" spans="1:6" x14ac:dyDescent="0.35">
      <c r="A435" t="s">
        <v>511</v>
      </c>
      <c r="B435">
        <v>1352</v>
      </c>
      <c r="C435">
        <v>500</v>
      </c>
      <c r="D435" t="s">
        <v>12</v>
      </c>
      <c r="E435">
        <v>500</v>
      </c>
      <c r="F435" s="1">
        <v>45323</v>
      </c>
    </row>
    <row r="436" spans="1:6" x14ac:dyDescent="0.35">
      <c r="A436" t="s">
        <v>512</v>
      </c>
      <c r="B436">
        <v>1352</v>
      </c>
      <c r="C436">
        <v>500</v>
      </c>
      <c r="D436" t="s">
        <v>12</v>
      </c>
      <c r="E436">
        <v>500</v>
      </c>
      <c r="F436" s="1">
        <v>45352</v>
      </c>
    </row>
    <row r="437" spans="1:6" x14ac:dyDescent="0.35">
      <c r="A437" t="s">
        <v>513</v>
      </c>
      <c r="B437">
        <v>1352</v>
      </c>
      <c r="C437">
        <v>500</v>
      </c>
      <c r="D437" t="s">
        <v>12</v>
      </c>
      <c r="E437">
        <v>500</v>
      </c>
      <c r="F437" s="1">
        <v>45383</v>
      </c>
    </row>
    <row r="438" spans="1:6" x14ac:dyDescent="0.35">
      <c r="A438" t="s">
        <v>514</v>
      </c>
      <c r="B438">
        <v>1352</v>
      </c>
      <c r="C438">
        <v>500</v>
      </c>
      <c r="D438" t="s">
        <v>12</v>
      </c>
      <c r="E438">
        <v>500</v>
      </c>
      <c r="F438" s="1">
        <v>45413</v>
      </c>
    </row>
    <row r="439" spans="1:6" x14ac:dyDescent="0.35">
      <c r="A439" t="s">
        <v>515</v>
      </c>
      <c r="B439">
        <v>1352</v>
      </c>
      <c r="C439">
        <v>500</v>
      </c>
      <c r="D439" t="s">
        <v>12</v>
      </c>
      <c r="E439">
        <v>500</v>
      </c>
      <c r="F439" s="1">
        <v>45444</v>
      </c>
    </row>
    <row r="440" spans="1:6" x14ac:dyDescent="0.35">
      <c r="A440" t="s">
        <v>516</v>
      </c>
      <c r="B440">
        <v>1352</v>
      </c>
      <c r="C440">
        <v>500</v>
      </c>
      <c r="D440" t="s">
        <v>12</v>
      </c>
      <c r="E440">
        <v>500</v>
      </c>
      <c r="F440" s="1">
        <v>45474</v>
      </c>
    </row>
    <row r="441" spans="1:6" x14ac:dyDescent="0.35">
      <c r="A441" t="s">
        <v>517</v>
      </c>
      <c r="B441">
        <v>1352</v>
      </c>
      <c r="C441">
        <v>500</v>
      </c>
      <c r="D441" t="s">
        <v>12</v>
      </c>
      <c r="E441">
        <v>500</v>
      </c>
      <c r="F441" s="1">
        <v>45505</v>
      </c>
    </row>
    <row r="442" spans="1:6" x14ac:dyDescent="0.35">
      <c r="A442" t="s">
        <v>518</v>
      </c>
      <c r="B442">
        <v>1352</v>
      </c>
      <c r="C442">
        <v>500</v>
      </c>
      <c r="D442" t="s">
        <v>12</v>
      </c>
      <c r="E442">
        <v>500</v>
      </c>
      <c r="F442" s="1">
        <v>45536</v>
      </c>
    </row>
    <row r="443" spans="1:6" x14ac:dyDescent="0.35">
      <c r="A443" t="s">
        <v>519</v>
      </c>
      <c r="B443">
        <v>1352</v>
      </c>
      <c r="C443">
        <v>500</v>
      </c>
      <c r="D443" t="s">
        <v>12</v>
      </c>
      <c r="E443">
        <v>500</v>
      </c>
      <c r="F443" s="1">
        <v>45566</v>
      </c>
    </row>
    <row r="444" spans="1:6" x14ac:dyDescent="0.35">
      <c r="A444" t="s">
        <v>520</v>
      </c>
      <c r="B444">
        <v>1355</v>
      </c>
      <c r="C444">
        <v>500</v>
      </c>
      <c r="D444" t="s">
        <v>12</v>
      </c>
      <c r="E444">
        <v>500</v>
      </c>
      <c r="F444" s="1">
        <v>45627</v>
      </c>
    </row>
    <row r="445" spans="1:6" x14ac:dyDescent="0.35">
      <c r="A445" t="s">
        <v>521</v>
      </c>
      <c r="B445">
        <v>1355</v>
      </c>
      <c r="C445">
        <v>500</v>
      </c>
      <c r="D445" t="s">
        <v>12</v>
      </c>
      <c r="E445">
        <v>500</v>
      </c>
      <c r="F445" s="1">
        <v>45658</v>
      </c>
    </row>
    <row r="446" spans="1:6" x14ac:dyDescent="0.35">
      <c r="A446" t="s">
        <v>522</v>
      </c>
      <c r="B446">
        <v>1355</v>
      </c>
      <c r="C446">
        <v>500</v>
      </c>
      <c r="D446" t="s">
        <v>12</v>
      </c>
      <c r="E446">
        <v>500</v>
      </c>
      <c r="F446" s="1">
        <v>45689</v>
      </c>
    </row>
    <row r="447" spans="1:6" x14ac:dyDescent="0.35">
      <c r="A447" t="s">
        <v>523</v>
      </c>
      <c r="B447">
        <v>1355</v>
      </c>
      <c r="C447">
        <v>500</v>
      </c>
      <c r="D447" t="s">
        <v>12</v>
      </c>
      <c r="E447">
        <v>500</v>
      </c>
      <c r="F447" s="1">
        <v>45717</v>
      </c>
    </row>
    <row r="448" spans="1:6" x14ac:dyDescent="0.35">
      <c r="A448" t="s">
        <v>524</v>
      </c>
      <c r="B448">
        <v>1358</v>
      </c>
      <c r="C448">
        <v>500</v>
      </c>
      <c r="D448" t="s">
        <v>12</v>
      </c>
      <c r="E448">
        <v>500</v>
      </c>
      <c r="F448" s="1">
        <v>45444</v>
      </c>
    </row>
    <row r="449" spans="1:6" x14ac:dyDescent="0.35">
      <c r="A449" t="s">
        <v>525</v>
      </c>
      <c r="B449">
        <v>1358</v>
      </c>
      <c r="C449">
        <v>500</v>
      </c>
      <c r="D449" t="s">
        <v>12</v>
      </c>
      <c r="E449">
        <v>500</v>
      </c>
      <c r="F449" s="1">
        <v>45474</v>
      </c>
    </row>
    <row r="450" spans="1:6" x14ac:dyDescent="0.35">
      <c r="A450" t="s">
        <v>526</v>
      </c>
      <c r="B450">
        <v>1358</v>
      </c>
      <c r="C450">
        <v>500</v>
      </c>
      <c r="D450" t="s">
        <v>12</v>
      </c>
      <c r="E450">
        <v>500</v>
      </c>
      <c r="F450" s="1">
        <v>45505</v>
      </c>
    </row>
    <row r="451" spans="1:6" x14ac:dyDescent="0.35">
      <c r="A451" t="s">
        <v>527</v>
      </c>
      <c r="B451">
        <v>1358</v>
      </c>
      <c r="C451">
        <v>500</v>
      </c>
      <c r="D451" t="s">
        <v>12</v>
      </c>
      <c r="E451">
        <v>500</v>
      </c>
      <c r="F451" s="1">
        <v>45536</v>
      </c>
    </row>
    <row r="452" spans="1:6" x14ac:dyDescent="0.35">
      <c r="A452" t="s">
        <v>528</v>
      </c>
      <c r="B452">
        <v>1358</v>
      </c>
      <c r="C452">
        <v>500</v>
      </c>
      <c r="D452" t="s">
        <v>12</v>
      </c>
      <c r="E452">
        <v>500</v>
      </c>
      <c r="F452" s="1">
        <v>45566</v>
      </c>
    </row>
    <row r="453" spans="1:6" x14ac:dyDescent="0.35">
      <c r="A453" t="s">
        <v>529</v>
      </c>
      <c r="B453">
        <v>1358</v>
      </c>
      <c r="C453">
        <v>500</v>
      </c>
      <c r="D453" t="s">
        <v>12</v>
      </c>
      <c r="E453">
        <v>500</v>
      </c>
      <c r="F453" s="1">
        <v>45597</v>
      </c>
    </row>
    <row r="454" spans="1:6" x14ac:dyDescent="0.35">
      <c r="A454" t="s">
        <v>530</v>
      </c>
      <c r="B454">
        <v>1358</v>
      </c>
      <c r="C454">
        <v>500</v>
      </c>
      <c r="D454" t="s">
        <v>12</v>
      </c>
      <c r="E454">
        <v>500</v>
      </c>
      <c r="F454" s="1">
        <v>45627</v>
      </c>
    </row>
    <row r="455" spans="1:6" x14ac:dyDescent="0.35">
      <c r="A455" t="s">
        <v>531</v>
      </c>
      <c r="B455">
        <v>1358</v>
      </c>
      <c r="C455">
        <v>500</v>
      </c>
      <c r="D455" t="s">
        <v>12</v>
      </c>
      <c r="E455">
        <v>500</v>
      </c>
      <c r="F455" s="1">
        <v>45658</v>
      </c>
    </row>
    <row r="456" spans="1:6" x14ac:dyDescent="0.35">
      <c r="A456" t="s">
        <v>532</v>
      </c>
      <c r="B456">
        <v>1358</v>
      </c>
      <c r="C456">
        <v>500</v>
      </c>
      <c r="D456" t="s">
        <v>12</v>
      </c>
      <c r="E456">
        <v>500</v>
      </c>
      <c r="F456" s="1">
        <v>45689</v>
      </c>
    </row>
    <row r="457" spans="1:6" x14ac:dyDescent="0.35">
      <c r="A457" t="s">
        <v>533</v>
      </c>
      <c r="B457">
        <v>1358</v>
      </c>
      <c r="C457">
        <v>500</v>
      </c>
      <c r="D457" t="s">
        <v>12</v>
      </c>
      <c r="E457">
        <v>500</v>
      </c>
      <c r="F457" s="1">
        <v>45717</v>
      </c>
    </row>
    <row r="458" spans="1:6" x14ac:dyDescent="0.35">
      <c r="A458" t="s">
        <v>534</v>
      </c>
      <c r="B458">
        <v>1359</v>
      </c>
      <c r="C458">
        <v>50</v>
      </c>
      <c r="D458" t="s">
        <v>12</v>
      </c>
      <c r="E458">
        <v>50</v>
      </c>
      <c r="F458" s="1">
        <v>45748</v>
      </c>
    </row>
    <row r="459" spans="1:6" x14ac:dyDescent="0.35">
      <c r="A459" t="s">
        <v>535</v>
      </c>
      <c r="B459">
        <v>1359</v>
      </c>
      <c r="C459">
        <v>50</v>
      </c>
      <c r="D459" t="s">
        <v>12</v>
      </c>
      <c r="E459">
        <v>50</v>
      </c>
      <c r="F459" s="1">
        <v>45778</v>
      </c>
    </row>
    <row r="460" spans="1:6" x14ac:dyDescent="0.35">
      <c r="A460" t="s">
        <v>536</v>
      </c>
      <c r="B460">
        <v>1359</v>
      </c>
      <c r="C460">
        <v>50</v>
      </c>
      <c r="D460" t="s">
        <v>12</v>
      </c>
      <c r="E460">
        <v>50</v>
      </c>
      <c r="F460" s="1">
        <v>45809</v>
      </c>
    </row>
    <row r="461" spans="1:6" x14ac:dyDescent="0.35">
      <c r="A461" t="s">
        <v>537</v>
      </c>
      <c r="B461">
        <v>1379</v>
      </c>
      <c r="C461">
        <v>50</v>
      </c>
      <c r="D461" t="s">
        <v>12</v>
      </c>
      <c r="E461">
        <v>50</v>
      </c>
      <c r="F461" s="1">
        <v>45536</v>
      </c>
    </row>
    <row r="462" spans="1:6" x14ac:dyDescent="0.35">
      <c r="A462" t="s">
        <v>538</v>
      </c>
      <c r="B462">
        <v>1379</v>
      </c>
      <c r="C462">
        <v>50</v>
      </c>
      <c r="D462" t="s">
        <v>12</v>
      </c>
      <c r="E462">
        <v>50</v>
      </c>
      <c r="F462" s="1">
        <v>45566</v>
      </c>
    </row>
    <row r="463" spans="1:6" x14ac:dyDescent="0.35">
      <c r="A463" t="s">
        <v>539</v>
      </c>
      <c r="B463">
        <v>1379</v>
      </c>
      <c r="C463">
        <v>50</v>
      </c>
      <c r="D463" t="s">
        <v>12</v>
      </c>
      <c r="E463">
        <v>50</v>
      </c>
      <c r="F463" s="1">
        <v>45597</v>
      </c>
    </row>
    <row r="464" spans="1:6" x14ac:dyDescent="0.35">
      <c r="A464" t="s">
        <v>540</v>
      </c>
      <c r="B464">
        <v>1379</v>
      </c>
      <c r="C464">
        <v>50</v>
      </c>
      <c r="D464" t="s">
        <v>12</v>
      </c>
      <c r="E464">
        <v>50</v>
      </c>
      <c r="F464" s="1">
        <v>45627</v>
      </c>
    </row>
    <row r="465" spans="1:6" x14ac:dyDescent="0.35">
      <c r="A465" t="s">
        <v>541</v>
      </c>
      <c r="B465">
        <v>1379</v>
      </c>
      <c r="C465">
        <v>50</v>
      </c>
      <c r="D465" t="s">
        <v>12</v>
      </c>
      <c r="E465">
        <v>50</v>
      </c>
      <c r="F465" s="1">
        <v>45658</v>
      </c>
    </row>
    <row r="466" spans="1:6" x14ac:dyDescent="0.35">
      <c r="A466" t="s">
        <v>542</v>
      </c>
      <c r="B466">
        <v>1379</v>
      </c>
      <c r="C466">
        <v>50</v>
      </c>
      <c r="D466" t="s">
        <v>12</v>
      </c>
      <c r="E466">
        <v>50</v>
      </c>
      <c r="F466" s="1">
        <v>45689</v>
      </c>
    </row>
    <row r="467" spans="1:6" x14ac:dyDescent="0.35">
      <c r="A467" t="s">
        <v>543</v>
      </c>
      <c r="B467">
        <v>1380</v>
      </c>
      <c r="C467">
        <v>200</v>
      </c>
      <c r="D467" t="s">
        <v>12</v>
      </c>
      <c r="E467">
        <v>200</v>
      </c>
      <c r="F467" s="1">
        <v>45352</v>
      </c>
    </row>
    <row r="468" spans="1:6" x14ac:dyDescent="0.35">
      <c r="A468" t="s">
        <v>544</v>
      </c>
      <c r="B468">
        <v>1380</v>
      </c>
      <c r="C468">
        <v>200</v>
      </c>
      <c r="D468" t="s">
        <v>12</v>
      </c>
      <c r="E468">
        <v>200</v>
      </c>
      <c r="F468" s="1">
        <v>45383</v>
      </c>
    </row>
    <row r="469" spans="1:6" x14ac:dyDescent="0.35">
      <c r="A469" t="s">
        <v>545</v>
      </c>
      <c r="B469">
        <v>1380</v>
      </c>
      <c r="C469">
        <v>200</v>
      </c>
      <c r="D469" t="s">
        <v>12</v>
      </c>
      <c r="E469">
        <v>200</v>
      </c>
      <c r="F469" s="1">
        <v>45413</v>
      </c>
    </row>
    <row r="470" spans="1:6" x14ac:dyDescent="0.35">
      <c r="A470" t="s">
        <v>546</v>
      </c>
      <c r="B470">
        <v>1380</v>
      </c>
      <c r="C470">
        <v>200</v>
      </c>
      <c r="D470" t="s">
        <v>12</v>
      </c>
      <c r="E470">
        <v>200</v>
      </c>
      <c r="F470" s="1">
        <v>45444</v>
      </c>
    </row>
    <row r="471" spans="1:6" x14ac:dyDescent="0.35">
      <c r="A471" t="s">
        <v>547</v>
      </c>
      <c r="B471">
        <v>1380</v>
      </c>
      <c r="C471">
        <v>200</v>
      </c>
      <c r="D471" t="s">
        <v>12</v>
      </c>
      <c r="E471">
        <v>200</v>
      </c>
      <c r="F471" s="1">
        <v>45474</v>
      </c>
    </row>
    <row r="472" spans="1:6" x14ac:dyDescent="0.35">
      <c r="A472" t="s">
        <v>548</v>
      </c>
      <c r="B472">
        <v>1380</v>
      </c>
      <c r="C472">
        <v>200</v>
      </c>
      <c r="D472" t="s">
        <v>12</v>
      </c>
      <c r="E472">
        <v>200</v>
      </c>
      <c r="F472" s="1">
        <v>45505</v>
      </c>
    </row>
    <row r="473" spans="1:6" x14ac:dyDescent="0.35">
      <c r="A473" t="s">
        <v>549</v>
      </c>
      <c r="B473">
        <v>1380</v>
      </c>
      <c r="C473">
        <v>200</v>
      </c>
      <c r="D473" t="s">
        <v>12</v>
      </c>
      <c r="E473">
        <v>200</v>
      </c>
      <c r="F473" s="1">
        <v>45536</v>
      </c>
    </row>
    <row r="474" spans="1:6" x14ac:dyDescent="0.35">
      <c r="A474" t="s">
        <v>550</v>
      </c>
      <c r="B474">
        <v>1380</v>
      </c>
      <c r="C474">
        <v>200</v>
      </c>
      <c r="D474" t="s">
        <v>12</v>
      </c>
      <c r="E474">
        <v>200</v>
      </c>
      <c r="F474" s="1">
        <v>45566</v>
      </c>
    </row>
    <row r="475" spans="1:6" x14ac:dyDescent="0.35">
      <c r="A475" t="s">
        <v>551</v>
      </c>
      <c r="B475">
        <v>1380</v>
      </c>
      <c r="C475">
        <v>200</v>
      </c>
      <c r="D475" t="s">
        <v>12</v>
      </c>
      <c r="E475">
        <v>200</v>
      </c>
      <c r="F475" s="1">
        <v>45597</v>
      </c>
    </row>
    <row r="476" spans="1:6" x14ac:dyDescent="0.35">
      <c r="A476" t="s">
        <v>552</v>
      </c>
      <c r="B476">
        <v>1380</v>
      </c>
      <c r="C476">
        <v>200</v>
      </c>
      <c r="D476" t="s">
        <v>12</v>
      </c>
      <c r="E476">
        <v>200</v>
      </c>
      <c r="F476" s="1">
        <v>45627</v>
      </c>
    </row>
    <row r="477" spans="1:6" x14ac:dyDescent="0.35">
      <c r="A477" t="s">
        <v>553</v>
      </c>
      <c r="B477">
        <v>1380</v>
      </c>
      <c r="C477">
        <v>200</v>
      </c>
      <c r="D477" t="s">
        <v>12</v>
      </c>
      <c r="E477">
        <v>200</v>
      </c>
      <c r="F477" s="1">
        <v>45658</v>
      </c>
    </row>
    <row r="478" spans="1:6" x14ac:dyDescent="0.35">
      <c r="A478" t="s">
        <v>554</v>
      </c>
      <c r="B478">
        <v>1380</v>
      </c>
      <c r="C478">
        <v>200</v>
      </c>
      <c r="D478" t="s">
        <v>12</v>
      </c>
      <c r="E478">
        <v>200</v>
      </c>
      <c r="F478" s="1">
        <v>45689</v>
      </c>
    </row>
    <row r="479" spans="1:6" x14ac:dyDescent="0.35">
      <c r="A479" t="s">
        <v>555</v>
      </c>
      <c r="B479">
        <v>1380</v>
      </c>
      <c r="C479">
        <v>200</v>
      </c>
      <c r="D479" t="s">
        <v>12</v>
      </c>
      <c r="E479">
        <v>200</v>
      </c>
      <c r="F479" s="1">
        <v>45717</v>
      </c>
    </row>
    <row r="480" spans="1:6" x14ac:dyDescent="0.35">
      <c r="A480" t="s">
        <v>556</v>
      </c>
      <c r="B480">
        <v>1380</v>
      </c>
      <c r="C480">
        <v>200</v>
      </c>
      <c r="D480" t="s">
        <v>12</v>
      </c>
      <c r="E480">
        <v>200</v>
      </c>
      <c r="F480" s="1">
        <v>45748</v>
      </c>
    </row>
    <row r="481" spans="1:6" x14ac:dyDescent="0.35">
      <c r="A481" t="s">
        <v>557</v>
      </c>
      <c r="B481">
        <v>1380</v>
      </c>
      <c r="C481">
        <v>200</v>
      </c>
      <c r="D481" t="s">
        <v>12</v>
      </c>
      <c r="E481">
        <v>200</v>
      </c>
      <c r="F481" s="1">
        <v>45778</v>
      </c>
    </row>
    <row r="482" spans="1:6" x14ac:dyDescent="0.35">
      <c r="A482" t="s">
        <v>558</v>
      </c>
      <c r="B482">
        <v>1382</v>
      </c>
      <c r="C482">
        <v>200</v>
      </c>
      <c r="D482" t="s">
        <v>12</v>
      </c>
      <c r="E482">
        <v>200</v>
      </c>
      <c r="F482" s="1">
        <v>45748</v>
      </c>
    </row>
    <row r="483" spans="1:6" x14ac:dyDescent="0.35">
      <c r="A483" t="s">
        <v>559</v>
      </c>
      <c r="B483">
        <v>1382</v>
      </c>
      <c r="C483">
        <v>200</v>
      </c>
      <c r="D483" t="s">
        <v>12</v>
      </c>
      <c r="E483">
        <v>200</v>
      </c>
      <c r="F483" s="1">
        <v>45778</v>
      </c>
    </row>
    <row r="484" spans="1:6" x14ac:dyDescent="0.35">
      <c r="A484" t="s">
        <v>560</v>
      </c>
      <c r="B484">
        <v>1386</v>
      </c>
      <c r="C484">
        <v>500</v>
      </c>
      <c r="D484" t="s">
        <v>12</v>
      </c>
      <c r="E484">
        <v>500</v>
      </c>
      <c r="F484" s="1">
        <v>45383</v>
      </c>
    </row>
    <row r="485" spans="1:6" x14ac:dyDescent="0.35">
      <c r="A485" t="s">
        <v>561</v>
      </c>
      <c r="B485">
        <v>1386</v>
      </c>
      <c r="C485">
        <v>500</v>
      </c>
      <c r="D485" t="s">
        <v>12</v>
      </c>
      <c r="E485">
        <v>500</v>
      </c>
      <c r="F485" s="1">
        <v>45413</v>
      </c>
    </row>
    <row r="486" spans="1:6" x14ac:dyDescent="0.35">
      <c r="A486" t="s">
        <v>562</v>
      </c>
      <c r="B486">
        <v>1386</v>
      </c>
      <c r="C486">
        <v>500</v>
      </c>
      <c r="D486" t="s">
        <v>12</v>
      </c>
      <c r="E486">
        <v>500</v>
      </c>
      <c r="F486" s="1">
        <v>45444</v>
      </c>
    </row>
    <row r="487" spans="1:6" x14ac:dyDescent="0.35">
      <c r="A487" t="s">
        <v>563</v>
      </c>
      <c r="B487">
        <v>1386</v>
      </c>
      <c r="C487">
        <v>500</v>
      </c>
      <c r="D487" t="s">
        <v>12</v>
      </c>
      <c r="E487">
        <v>500</v>
      </c>
      <c r="F487" s="1">
        <v>45474</v>
      </c>
    </row>
    <row r="488" spans="1:6" x14ac:dyDescent="0.35">
      <c r="A488" t="s">
        <v>564</v>
      </c>
      <c r="B488">
        <v>1386</v>
      </c>
      <c r="C488">
        <v>500</v>
      </c>
      <c r="D488" t="s">
        <v>12</v>
      </c>
      <c r="E488">
        <v>500</v>
      </c>
      <c r="F488" s="1">
        <v>45505</v>
      </c>
    </row>
    <row r="489" spans="1:6" x14ac:dyDescent="0.35">
      <c r="A489" t="s">
        <v>565</v>
      </c>
      <c r="B489">
        <v>1386</v>
      </c>
      <c r="C489">
        <v>500</v>
      </c>
      <c r="D489" t="s">
        <v>12</v>
      </c>
      <c r="E489">
        <v>500</v>
      </c>
      <c r="F489" s="1">
        <v>45536</v>
      </c>
    </row>
    <row r="490" spans="1:6" x14ac:dyDescent="0.35">
      <c r="A490" t="s">
        <v>566</v>
      </c>
      <c r="B490">
        <v>1386</v>
      </c>
      <c r="C490">
        <v>500</v>
      </c>
      <c r="D490" t="s">
        <v>12</v>
      </c>
      <c r="E490">
        <v>500</v>
      </c>
      <c r="F490" s="1">
        <v>45566</v>
      </c>
    </row>
    <row r="491" spans="1:6" x14ac:dyDescent="0.35">
      <c r="A491" t="s">
        <v>567</v>
      </c>
      <c r="B491">
        <v>1393</v>
      </c>
      <c r="C491">
        <v>500</v>
      </c>
      <c r="D491" t="s">
        <v>12</v>
      </c>
      <c r="E491">
        <v>500</v>
      </c>
      <c r="F491" s="1">
        <v>45536</v>
      </c>
    </row>
    <row r="492" spans="1:6" x14ac:dyDescent="0.35">
      <c r="A492" t="s">
        <v>568</v>
      </c>
      <c r="B492">
        <v>1393</v>
      </c>
      <c r="C492">
        <v>500</v>
      </c>
      <c r="D492" t="s">
        <v>12</v>
      </c>
      <c r="E492">
        <v>500</v>
      </c>
      <c r="F492" s="1">
        <v>45566</v>
      </c>
    </row>
    <row r="493" spans="1:6" x14ac:dyDescent="0.35">
      <c r="A493" t="s">
        <v>569</v>
      </c>
      <c r="B493">
        <v>1393</v>
      </c>
      <c r="C493">
        <v>500</v>
      </c>
      <c r="D493" t="s">
        <v>12</v>
      </c>
      <c r="E493">
        <v>500</v>
      </c>
      <c r="F493" s="1">
        <v>45597</v>
      </c>
    </row>
    <row r="494" spans="1:6" x14ac:dyDescent="0.35">
      <c r="A494" t="s">
        <v>570</v>
      </c>
      <c r="B494">
        <v>1393</v>
      </c>
      <c r="C494">
        <v>500</v>
      </c>
      <c r="D494" t="s">
        <v>12</v>
      </c>
      <c r="E494">
        <v>500</v>
      </c>
      <c r="F494" s="1">
        <v>45627</v>
      </c>
    </row>
    <row r="495" spans="1:6" x14ac:dyDescent="0.35">
      <c r="A495" t="s">
        <v>571</v>
      </c>
      <c r="B495">
        <v>1393</v>
      </c>
      <c r="C495">
        <v>500</v>
      </c>
      <c r="D495" t="s">
        <v>12</v>
      </c>
      <c r="E495">
        <v>500</v>
      </c>
      <c r="F495" s="1">
        <v>45658</v>
      </c>
    </row>
    <row r="496" spans="1:6" x14ac:dyDescent="0.35">
      <c r="A496" t="s">
        <v>572</v>
      </c>
      <c r="B496">
        <v>1393</v>
      </c>
      <c r="C496">
        <v>500</v>
      </c>
      <c r="D496" t="s">
        <v>12</v>
      </c>
      <c r="E496">
        <v>500</v>
      </c>
      <c r="F496" s="1">
        <v>45689</v>
      </c>
    </row>
    <row r="497" spans="1:6" x14ac:dyDescent="0.35">
      <c r="A497" t="s">
        <v>573</v>
      </c>
      <c r="B497">
        <v>1393</v>
      </c>
      <c r="C497">
        <v>500</v>
      </c>
      <c r="D497" t="s">
        <v>12</v>
      </c>
      <c r="E497">
        <v>500</v>
      </c>
      <c r="F497" s="1">
        <v>45717</v>
      </c>
    </row>
    <row r="498" spans="1:6" x14ac:dyDescent="0.35">
      <c r="A498" t="s">
        <v>574</v>
      </c>
      <c r="B498">
        <v>1393</v>
      </c>
      <c r="C498">
        <v>500</v>
      </c>
      <c r="D498" t="s">
        <v>12</v>
      </c>
      <c r="E498">
        <v>500</v>
      </c>
      <c r="F498" s="1">
        <v>45748</v>
      </c>
    </row>
    <row r="499" spans="1:6" x14ac:dyDescent="0.35">
      <c r="A499" t="s">
        <v>575</v>
      </c>
      <c r="B499">
        <v>1397</v>
      </c>
      <c r="C499">
        <v>50</v>
      </c>
      <c r="D499" t="s">
        <v>12</v>
      </c>
      <c r="E499">
        <v>50</v>
      </c>
      <c r="F499" s="1">
        <v>45413</v>
      </c>
    </row>
    <row r="500" spans="1:6" x14ac:dyDescent="0.35">
      <c r="A500" t="s">
        <v>576</v>
      </c>
      <c r="B500">
        <v>1397</v>
      </c>
      <c r="C500">
        <v>50</v>
      </c>
      <c r="D500" t="s">
        <v>12</v>
      </c>
      <c r="E500">
        <v>50</v>
      </c>
      <c r="F500" s="1">
        <v>45444</v>
      </c>
    </row>
    <row r="501" spans="1:6" x14ac:dyDescent="0.35">
      <c r="A501" t="s">
        <v>577</v>
      </c>
      <c r="B501">
        <v>1397</v>
      </c>
      <c r="C501">
        <v>50</v>
      </c>
      <c r="D501" t="s">
        <v>12</v>
      </c>
      <c r="E501">
        <v>50</v>
      </c>
      <c r="F501" s="1">
        <v>45474</v>
      </c>
    </row>
    <row r="502" spans="1:6" x14ac:dyDescent="0.35">
      <c r="A502" t="s">
        <v>578</v>
      </c>
      <c r="B502">
        <v>1397</v>
      </c>
      <c r="C502">
        <v>50</v>
      </c>
      <c r="D502" t="s">
        <v>12</v>
      </c>
      <c r="E502">
        <v>50</v>
      </c>
      <c r="F502" s="1">
        <v>45505</v>
      </c>
    </row>
    <row r="503" spans="1:6" x14ac:dyDescent="0.35">
      <c r="A503" t="s">
        <v>579</v>
      </c>
      <c r="B503">
        <v>1397</v>
      </c>
      <c r="C503">
        <v>50</v>
      </c>
      <c r="D503" t="s">
        <v>12</v>
      </c>
      <c r="E503">
        <v>50</v>
      </c>
      <c r="F503" s="1">
        <v>45536</v>
      </c>
    </row>
    <row r="504" spans="1:6" x14ac:dyDescent="0.35">
      <c r="A504" t="s">
        <v>580</v>
      </c>
      <c r="B504">
        <v>1397</v>
      </c>
      <c r="C504">
        <v>50</v>
      </c>
      <c r="D504" t="s">
        <v>12</v>
      </c>
      <c r="E504">
        <v>50</v>
      </c>
      <c r="F504" s="1">
        <v>45566</v>
      </c>
    </row>
    <row r="505" spans="1:6" x14ac:dyDescent="0.35">
      <c r="A505" t="s">
        <v>581</v>
      </c>
      <c r="B505">
        <v>1397</v>
      </c>
      <c r="C505">
        <v>50</v>
      </c>
      <c r="D505" t="s">
        <v>12</v>
      </c>
      <c r="E505">
        <v>50</v>
      </c>
      <c r="F505" s="1">
        <v>45597</v>
      </c>
    </row>
    <row r="506" spans="1:6" x14ac:dyDescent="0.35">
      <c r="A506" t="s">
        <v>582</v>
      </c>
      <c r="B506">
        <v>1397</v>
      </c>
      <c r="C506">
        <v>50</v>
      </c>
      <c r="D506" t="s">
        <v>12</v>
      </c>
      <c r="E506">
        <v>50</v>
      </c>
      <c r="F506" s="1">
        <v>45627</v>
      </c>
    </row>
    <row r="507" spans="1:6" x14ac:dyDescent="0.35">
      <c r="A507" t="s">
        <v>583</v>
      </c>
      <c r="B507">
        <v>1397</v>
      </c>
      <c r="C507">
        <v>50</v>
      </c>
      <c r="D507" t="s">
        <v>12</v>
      </c>
      <c r="E507">
        <v>50</v>
      </c>
      <c r="F507" s="1">
        <v>45658</v>
      </c>
    </row>
    <row r="508" spans="1:6" x14ac:dyDescent="0.35">
      <c r="A508" t="s">
        <v>584</v>
      </c>
      <c r="B508">
        <v>1397</v>
      </c>
      <c r="C508">
        <v>50</v>
      </c>
      <c r="D508" t="s">
        <v>12</v>
      </c>
      <c r="E508">
        <v>50</v>
      </c>
      <c r="F508" s="1">
        <v>45689</v>
      </c>
    </row>
    <row r="509" spans="1:6" x14ac:dyDescent="0.35">
      <c r="A509" t="s">
        <v>585</v>
      </c>
      <c r="B509">
        <v>1397</v>
      </c>
      <c r="C509">
        <v>50</v>
      </c>
      <c r="D509" t="s">
        <v>12</v>
      </c>
      <c r="E509">
        <v>50</v>
      </c>
      <c r="F509" s="1">
        <v>45717</v>
      </c>
    </row>
    <row r="510" spans="1:6" x14ac:dyDescent="0.35">
      <c r="A510" t="s">
        <v>586</v>
      </c>
      <c r="B510">
        <v>1397</v>
      </c>
      <c r="C510">
        <v>50</v>
      </c>
      <c r="D510" t="s">
        <v>12</v>
      </c>
      <c r="E510">
        <v>50</v>
      </c>
      <c r="F510" s="1">
        <v>45748</v>
      </c>
    </row>
    <row r="511" spans="1:6" x14ac:dyDescent="0.35">
      <c r="A511" t="s">
        <v>587</v>
      </c>
      <c r="B511">
        <v>1401</v>
      </c>
      <c r="C511">
        <v>500</v>
      </c>
      <c r="D511" t="s">
        <v>12</v>
      </c>
      <c r="E511">
        <v>500</v>
      </c>
      <c r="F511" s="1">
        <v>45658</v>
      </c>
    </row>
    <row r="512" spans="1:6" x14ac:dyDescent="0.35">
      <c r="A512" t="s">
        <v>588</v>
      </c>
      <c r="B512">
        <v>1401</v>
      </c>
      <c r="C512">
        <v>500</v>
      </c>
      <c r="D512" t="s">
        <v>12</v>
      </c>
      <c r="E512">
        <v>500</v>
      </c>
      <c r="F512" s="1">
        <v>45689</v>
      </c>
    </row>
    <row r="513" spans="1:6" x14ac:dyDescent="0.35">
      <c r="A513" t="s">
        <v>589</v>
      </c>
      <c r="B513">
        <v>1401</v>
      </c>
      <c r="C513">
        <v>500</v>
      </c>
      <c r="D513" t="s">
        <v>12</v>
      </c>
      <c r="E513">
        <v>500</v>
      </c>
      <c r="F513" s="1">
        <v>45717</v>
      </c>
    </row>
    <row r="514" spans="1:6" x14ac:dyDescent="0.35">
      <c r="A514" t="s">
        <v>590</v>
      </c>
      <c r="B514">
        <v>1401</v>
      </c>
      <c r="C514">
        <v>500</v>
      </c>
      <c r="D514" t="s">
        <v>12</v>
      </c>
      <c r="E514">
        <v>500</v>
      </c>
      <c r="F514" s="1">
        <v>45748</v>
      </c>
    </row>
    <row r="515" spans="1:6" x14ac:dyDescent="0.35">
      <c r="A515" t="s">
        <v>591</v>
      </c>
      <c r="B515">
        <v>1401</v>
      </c>
      <c r="C515">
        <v>500</v>
      </c>
      <c r="D515" t="s">
        <v>12</v>
      </c>
      <c r="E515">
        <v>500</v>
      </c>
      <c r="F515" s="1">
        <v>45778</v>
      </c>
    </row>
    <row r="516" spans="1:6" x14ac:dyDescent="0.35">
      <c r="A516" t="s">
        <v>592</v>
      </c>
      <c r="B516">
        <v>1403</v>
      </c>
      <c r="C516">
        <v>200</v>
      </c>
      <c r="D516" t="s">
        <v>12</v>
      </c>
      <c r="E516">
        <v>200</v>
      </c>
      <c r="F516" s="1">
        <v>45717</v>
      </c>
    </row>
    <row r="517" spans="1:6" x14ac:dyDescent="0.35">
      <c r="A517" t="s">
        <v>593</v>
      </c>
      <c r="B517">
        <v>1403</v>
      </c>
      <c r="C517">
        <v>200</v>
      </c>
      <c r="D517" t="s">
        <v>12</v>
      </c>
      <c r="E517">
        <v>200</v>
      </c>
      <c r="F517" s="1">
        <v>45748</v>
      </c>
    </row>
    <row r="518" spans="1:6" x14ac:dyDescent="0.35">
      <c r="A518" t="s">
        <v>594</v>
      </c>
      <c r="B518">
        <v>1404</v>
      </c>
      <c r="C518">
        <v>50</v>
      </c>
      <c r="D518" t="s">
        <v>12</v>
      </c>
      <c r="E518">
        <v>50</v>
      </c>
      <c r="F518" s="1">
        <v>45748</v>
      </c>
    </row>
    <row r="519" spans="1:6" x14ac:dyDescent="0.35">
      <c r="A519" t="s">
        <v>595</v>
      </c>
      <c r="B519">
        <v>1404</v>
      </c>
      <c r="C519">
        <v>50</v>
      </c>
      <c r="D519" t="s">
        <v>12</v>
      </c>
      <c r="E519">
        <v>50</v>
      </c>
      <c r="F519" s="1">
        <v>45778</v>
      </c>
    </row>
    <row r="520" spans="1:6" x14ac:dyDescent="0.35">
      <c r="A520" t="s">
        <v>596</v>
      </c>
      <c r="B520">
        <v>1414</v>
      </c>
      <c r="C520">
        <v>500</v>
      </c>
      <c r="D520" t="s">
        <v>12</v>
      </c>
      <c r="E520">
        <v>500</v>
      </c>
      <c r="F520" s="1">
        <v>45689</v>
      </c>
    </row>
    <row r="521" spans="1:6" x14ac:dyDescent="0.35">
      <c r="A521" t="s">
        <v>597</v>
      </c>
      <c r="B521">
        <v>1414</v>
      </c>
      <c r="C521">
        <v>500</v>
      </c>
      <c r="D521" t="s">
        <v>12</v>
      </c>
      <c r="E521">
        <v>500</v>
      </c>
      <c r="F521" s="1">
        <v>45717</v>
      </c>
    </row>
    <row r="522" spans="1:6" x14ac:dyDescent="0.35">
      <c r="A522" t="s">
        <v>598</v>
      </c>
      <c r="B522">
        <v>1414</v>
      </c>
      <c r="C522">
        <v>500</v>
      </c>
      <c r="D522" t="s">
        <v>12</v>
      </c>
      <c r="E522">
        <v>500</v>
      </c>
      <c r="F522" s="1">
        <v>45748</v>
      </c>
    </row>
    <row r="523" spans="1:6" x14ac:dyDescent="0.35">
      <c r="A523" t="s">
        <v>599</v>
      </c>
      <c r="B523">
        <v>1414</v>
      </c>
      <c r="C523">
        <v>500</v>
      </c>
      <c r="D523" t="s">
        <v>12</v>
      </c>
      <c r="E523">
        <v>500</v>
      </c>
      <c r="F523" s="1">
        <v>45778</v>
      </c>
    </row>
    <row r="524" spans="1:6" x14ac:dyDescent="0.35">
      <c r="A524" t="s">
        <v>600</v>
      </c>
      <c r="B524">
        <v>1419</v>
      </c>
      <c r="C524">
        <v>200</v>
      </c>
      <c r="D524" t="s">
        <v>12</v>
      </c>
      <c r="E524">
        <v>200</v>
      </c>
      <c r="F524" s="1">
        <v>45658</v>
      </c>
    </row>
    <row r="525" spans="1:6" x14ac:dyDescent="0.35">
      <c r="A525" t="s">
        <v>601</v>
      </c>
      <c r="B525">
        <v>1419</v>
      </c>
      <c r="C525">
        <v>200</v>
      </c>
      <c r="D525" t="s">
        <v>12</v>
      </c>
      <c r="E525">
        <v>200</v>
      </c>
      <c r="F525" s="1">
        <v>45689</v>
      </c>
    </row>
    <row r="526" spans="1:6" x14ac:dyDescent="0.35">
      <c r="A526" t="s">
        <v>602</v>
      </c>
      <c r="B526">
        <v>1419</v>
      </c>
      <c r="C526">
        <v>200</v>
      </c>
      <c r="D526" t="s">
        <v>12</v>
      </c>
      <c r="E526">
        <v>200</v>
      </c>
      <c r="F526" s="1">
        <v>45717</v>
      </c>
    </row>
    <row r="527" spans="1:6" x14ac:dyDescent="0.35">
      <c r="A527" t="s">
        <v>603</v>
      </c>
      <c r="B527">
        <v>1424</v>
      </c>
      <c r="C527">
        <v>500</v>
      </c>
      <c r="D527" t="s">
        <v>12</v>
      </c>
      <c r="E527">
        <v>500</v>
      </c>
      <c r="F527" s="1">
        <v>45748</v>
      </c>
    </row>
    <row r="528" spans="1:6" x14ac:dyDescent="0.35">
      <c r="A528" t="s">
        <v>604</v>
      </c>
      <c r="B528">
        <v>1424</v>
      </c>
      <c r="C528">
        <v>500</v>
      </c>
      <c r="D528" t="s">
        <v>12</v>
      </c>
      <c r="E528">
        <v>500</v>
      </c>
      <c r="F528" s="1">
        <v>45778</v>
      </c>
    </row>
    <row r="529" spans="1:6" x14ac:dyDescent="0.35">
      <c r="A529" t="s">
        <v>605</v>
      </c>
      <c r="B529">
        <v>1428</v>
      </c>
      <c r="C529">
        <v>500</v>
      </c>
      <c r="D529" t="s">
        <v>12</v>
      </c>
      <c r="E529">
        <v>500</v>
      </c>
      <c r="F529" s="1">
        <v>45444</v>
      </c>
    </row>
    <row r="530" spans="1:6" x14ac:dyDescent="0.35">
      <c r="A530" t="s">
        <v>606</v>
      </c>
      <c r="B530">
        <v>1428</v>
      </c>
      <c r="C530">
        <v>500</v>
      </c>
      <c r="D530" t="s">
        <v>12</v>
      </c>
      <c r="E530">
        <v>500</v>
      </c>
      <c r="F530" s="1">
        <v>45474</v>
      </c>
    </row>
    <row r="531" spans="1:6" x14ac:dyDescent="0.35">
      <c r="A531" t="s">
        <v>607</v>
      </c>
      <c r="B531">
        <v>1428</v>
      </c>
      <c r="C531">
        <v>500</v>
      </c>
      <c r="D531" t="s">
        <v>12</v>
      </c>
      <c r="E531">
        <v>500</v>
      </c>
      <c r="F531" s="1">
        <v>45505</v>
      </c>
    </row>
    <row r="532" spans="1:6" x14ac:dyDescent="0.35">
      <c r="A532" t="s">
        <v>608</v>
      </c>
      <c r="B532">
        <v>1428</v>
      </c>
      <c r="C532">
        <v>500</v>
      </c>
      <c r="D532" t="s">
        <v>12</v>
      </c>
      <c r="E532">
        <v>500</v>
      </c>
      <c r="F532" s="1">
        <v>45536</v>
      </c>
    </row>
    <row r="533" spans="1:6" x14ac:dyDescent="0.35">
      <c r="A533" t="s">
        <v>609</v>
      </c>
      <c r="B533">
        <v>1428</v>
      </c>
      <c r="C533">
        <v>500</v>
      </c>
      <c r="D533" t="s">
        <v>12</v>
      </c>
      <c r="E533">
        <v>500</v>
      </c>
      <c r="F533" s="1">
        <v>45566</v>
      </c>
    </row>
    <row r="534" spans="1:6" x14ac:dyDescent="0.35">
      <c r="A534" t="s">
        <v>610</v>
      </c>
      <c r="B534">
        <v>1428</v>
      </c>
      <c r="C534">
        <v>500</v>
      </c>
      <c r="D534" t="s">
        <v>12</v>
      </c>
      <c r="E534">
        <v>500</v>
      </c>
      <c r="F534" s="1">
        <v>45597</v>
      </c>
    </row>
    <row r="535" spans="1:6" x14ac:dyDescent="0.35">
      <c r="A535" t="s">
        <v>611</v>
      </c>
      <c r="B535">
        <v>1428</v>
      </c>
      <c r="C535">
        <v>500</v>
      </c>
      <c r="D535" t="s">
        <v>12</v>
      </c>
      <c r="E535">
        <v>500</v>
      </c>
      <c r="F535" s="1">
        <v>45627</v>
      </c>
    </row>
    <row r="536" spans="1:6" x14ac:dyDescent="0.35">
      <c r="A536" t="s">
        <v>612</v>
      </c>
      <c r="B536">
        <v>1428</v>
      </c>
      <c r="C536">
        <v>500</v>
      </c>
      <c r="D536" t="s">
        <v>12</v>
      </c>
      <c r="E536">
        <v>500</v>
      </c>
      <c r="F536" s="1">
        <v>45658</v>
      </c>
    </row>
    <row r="537" spans="1:6" x14ac:dyDescent="0.35">
      <c r="A537" t="s">
        <v>613</v>
      </c>
      <c r="B537">
        <v>1428</v>
      </c>
      <c r="C537">
        <v>500</v>
      </c>
      <c r="D537" t="s">
        <v>12</v>
      </c>
      <c r="E537">
        <v>500</v>
      </c>
      <c r="F537" s="1">
        <v>45689</v>
      </c>
    </row>
    <row r="538" spans="1:6" x14ac:dyDescent="0.35">
      <c r="A538" t="s">
        <v>614</v>
      </c>
      <c r="B538">
        <v>1438</v>
      </c>
      <c r="C538">
        <v>200</v>
      </c>
      <c r="D538" t="s">
        <v>12</v>
      </c>
      <c r="E538">
        <v>200</v>
      </c>
      <c r="F538" s="1">
        <v>45717</v>
      </c>
    </row>
    <row r="539" spans="1:6" x14ac:dyDescent="0.35">
      <c r="A539" t="s">
        <v>615</v>
      </c>
      <c r="B539">
        <v>1438</v>
      </c>
      <c r="C539">
        <v>200</v>
      </c>
      <c r="D539" t="s">
        <v>12</v>
      </c>
      <c r="E539">
        <v>200</v>
      </c>
      <c r="F539" s="1">
        <v>45748</v>
      </c>
    </row>
    <row r="540" spans="1:6" x14ac:dyDescent="0.35">
      <c r="A540" t="s">
        <v>616</v>
      </c>
      <c r="B540">
        <v>1442</v>
      </c>
      <c r="C540">
        <v>50</v>
      </c>
      <c r="D540" t="s">
        <v>12</v>
      </c>
      <c r="E540">
        <v>50</v>
      </c>
      <c r="F540" s="1">
        <v>45658</v>
      </c>
    </row>
    <row r="541" spans="1:6" x14ac:dyDescent="0.35">
      <c r="A541" t="s">
        <v>617</v>
      </c>
      <c r="B541">
        <v>1442</v>
      </c>
      <c r="C541">
        <v>50</v>
      </c>
      <c r="D541" t="s">
        <v>12</v>
      </c>
      <c r="E541">
        <v>50</v>
      </c>
      <c r="F541" s="1">
        <v>45689</v>
      </c>
    </row>
    <row r="542" spans="1:6" x14ac:dyDescent="0.35">
      <c r="A542" t="s">
        <v>618</v>
      </c>
      <c r="B542">
        <v>1442</v>
      </c>
      <c r="C542">
        <v>50</v>
      </c>
      <c r="D542" t="s">
        <v>12</v>
      </c>
      <c r="E542">
        <v>50</v>
      </c>
      <c r="F542" s="1">
        <v>45717</v>
      </c>
    </row>
    <row r="543" spans="1:6" x14ac:dyDescent="0.35">
      <c r="A543" t="s">
        <v>619</v>
      </c>
      <c r="B543">
        <v>1443</v>
      </c>
      <c r="C543">
        <v>500</v>
      </c>
      <c r="D543" t="s">
        <v>12</v>
      </c>
      <c r="E543">
        <v>500</v>
      </c>
      <c r="F543" s="1">
        <v>45689</v>
      </c>
    </row>
    <row r="544" spans="1:6" x14ac:dyDescent="0.35">
      <c r="A544" t="s">
        <v>620</v>
      </c>
      <c r="B544">
        <v>1443</v>
      </c>
      <c r="C544">
        <v>500</v>
      </c>
      <c r="D544" t="s">
        <v>12</v>
      </c>
      <c r="E544">
        <v>500</v>
      </c>
      <c r="F544" s="1">
        <v>45717</v>
      </c>
    </row>
    <row r="545" spans="1:6" x14ac:dyDescent="0.35">
      <c r="A545" t="s">
        <v>621</v>
      </c>
      <c r="B545">
        <v>1443</v>
      </c>
      <c r="C545">
        <v>500</v>
      </c>
      <c r="D545" t="s">
        <v>12</v>
      </c>
      <c r="E545">
        <v>500</v>
      </c>
      <c r="F545" s="1">
        <v>45748</v>
      </c>
    </row>
    <row r="546" spans="1:6" x14ac:dyDescent="0.35">
      <c r="A546" t="s">
        <v>622</v>
      </c>
      <c r="B546">
        <v>1443</v>
      </c>
      <c r="C546">
        <v>500</v>
      </c>
      <c r="D546" t="s">
        <v>12</v>
      </c>
      <c r="E546">
        <v>500</v>
      </c>
      <c r="F546" s="1">
        <v>45778</v>
      </c>
    </row>
    <row r="547" spans="1:6" x14ac:dyDescent="0.35">
      <c r="A547" t="s">
        <v>623</v>
      </c>
      <c r="B547">
        <v>1443</v>
      </c>
      <c r="C547">
        <v>500</v>
      </c>
      <c r="D547" t="s">
        <v>12</v>
      </c>
      <c r="E547">
        <v>500</v>
      </c>
      <c r="F547" s="1">
        <v>45809</v>
      </c>
    </row>
    <row r="548" spans="1:6" x14ac:dyDescent="0.35">
      <c r="A548" t="s">
        <v>624</v>
      </c>
      <c r="B548">
        <v>1448</v>
      </c>
      <c r="C548">
        <v>200</v>
      </c>
      <c r="D548" t="s">
        <v>12</v>
      </c>
      <c r="E548">
        <v>200</v>
      </c>
      <c r="F548" s="1">
        <v>45444</v>
      </c>
    </row>
    <row r="549" spans="1:6" x14ac:dyDescent="0.35">
      <c r="A549" t="s">
        <v>625</v>
      </c>
      <c r="B549">
        <v>1448</v>
      </c>
      <c r="C549">
        <v>200</v>
      </c>
      <c r="D549" t="s">
        <v>12</v>
      </c>
      <c r="E549">
        <v>200</v>
      </c>
      <c r="F549" s="1">
        <v>45474</v>
      </c>
    </row>
    <row r="550" spans="1:6" x14ac:dyDescent="0.35">
      <c r="A550" t="s">
        <v>626</v>
      </c>
      <c r="B550">
        <v>1448</v>
      </c>
      <c r="C550">
        <v>200</v>
      </c>
      <c r="D550" t="s">
        <v>12</v>
      </c>
      <c r="E550">
        <v>200</v>
      </c>
      <c r="F550" s="1">
        <v>45505</v>
      </c>
    </row>
    <row r="551" spans="1:6" x14ac:dyDescent="0.35">
      <c r="A551" t="s">
        <v>627</v>
      </c>
      <c r="B551">
        <v>1450</v>
      </c>
      <c r="C551">
        <v>50</v>
      </c>
      <c r="D551" t="s">
        <v>12</v>
      </c>
      <c r="E551">
        <v>50</v>
      </c>
      <c r="F551" s="1">
        <v>45352</v>
      </c>
    </row>
    <row r="552" spans="1:6" x14ac:dyDescent="0.35">
      <c r="A552" t="s">
        <v>628</v>
      </c>
      <c r="B552">
        <v>1450</v>
      </c>
      <c r="C552">
        <v>50</v>
      </c>
      <c r="D552" t="s">
        <v>12</v>
      </c>
      <c r="E552">
        <v>50</v>
      </c>
      <c r="F552" s="1">
        <v>45383</v>
      </c>
    </row>
    <row r="553" spans="1:6" x14ac:dyDescent="0.35">
      <c r="A553" t="s">
        <v>629</v>
      </c>
      <c r="B553">
        <v>1450</v>
      </c>
      <c r="C553">
        <v>50</v>
      </c>
      <c r="D553" t="s">
        <v>12</v>
      </c>
      <c r="E553">
        <v>50</v>
      </c>
      <c r="F553" s="1">
        <v>45413</v>
      </c>
    </row>
    <row r="554" spans="1:6" x14ac:dyDescent="0.35">
      <c r="A554" t="s">
        <v>630</v>
      </c>
      <c r="B554">
        <v>1450</v>
      </c>
      <c r="C554">
        <v>50</v>
      </c>
      <c r="D554" t="s">
        <v>12</v>
      </c>
      <c r="E554">
        <v>50</v>
      </c>
      <c r="F554" s="1">
        <v>45444</v>
      </c>
    </row>
    <row r="555" spans="1:6" x14ac:dyDescent="0.35">
      <c r="A555" t="s">
        <v>631</v>
      </c>
      <c r="B555">
        <v>1450</v>
      </c>
      <c r="C555">
        <v>50</v>
      </c>
      <c r="D555" t="s">
        <v>12</v>
      </c>
      <c r="E555">
        <v>50</v>
      </c>
      <c r="F555" s="1">
        <v>45474</v>
      </c>
    </row>
    <row r="556" spans="1:6" x14ac:dyDescent="0.35">
      <c r="A556" t="s">
        <v>632</v>
      </c>
      <c r="B556">
        <v>1450</v>
      </c>
      <c r="C556">
        <v>50</v>
      </c>
      <c r="D556" t="s">
        <v>12</v>
      </c>
      <c r="E556">
        <v>50</v>
      </c>
      <c r="F556" s="1">
        <v>45505</v>
      </c>
    </row>
    <row r="557" spans="1:6" x14ac:dyDescent="0.35">
      <c r="A557" t="s">
        <v>633</v>
      </c>
      <c r="B557">
        <v>1450</v>
      </c>
      <c r="C557">
        <v>50</v>
      </c>
      <c r="D557" t="s">
        <v>12</v>
      </c>
      <c r="E557">
        <v>50</v>
      </c>
      <c r="F557" s="1">
        <v>45536</v>
      </c>
    </row>
    <row r="558" spans="1:6" x14ac:dyDescent="0.35">
      <c r="A558" t="s">
        <v>634</v>
      </c>
      <c r="B558">
        <v>1450</v>
      </c>
      <c r="C558">
        <v>50</v>
      </c>
      <c r="D558" t="s">
        <v>12</v>
      </c>
      <c r="E558">
        <v>50</v>
      </c>
      <c r="F558" s="1">
        <v>45566</v>
      </c>
    </row>
    <row r="559" spans="1:6" x14ac:dyDescent="0.35">
      <c r="A559" t="s">
        <v>635</v>
      </c>
      <c r="B559">
        <v>1450</v>
      </c>
      <c r="C559">
        <v>50</v>
      </c>
      <c r="D559" t="s">
        <v>12</v>
      </c>
      <c r="E559">
        <v>50</v>
      </c>
      <c r="F559" s="1">
        <v>45597</v>
      </c>
    </row>
    <row r="560" spans="1:6" x14ac:dyDescent="0.35">
      <c r="A560" t="s">
        <v>636</v>
      </c>
      <c r="B560">
        <v>1450</v>
      </c>
      <c r="C560">
        <v>50</v>
      </c>
      <c r="D560" t="s">
        <v>12</v>
      </c>
      <c r="E560">
        <v>50</v>
      </c>
      <c r="F560" s="1">
        <v>45627</v>
      </c>
    </row>
    <row r="561" spans="1:6" x14ac:dyDescent="0.35">
      <c r="A561" t="s">
        <v>637</v>
      </c>
      <c r="B561">
        <v>1450</v>
      </c>
      <c r="C561">
        <v>50</v>
      </c>
      <c r="D561" t="s">
        <v>12</v>
      </c>
      <c r="E561">
        <v>50</v>
      </c>
      <c r="F561" s="1">
        <v>45658</v>
      </c>
    </row>
    <row r="562" spans="1:6" x14ac:dyDescent="0.35">
      <c r="A562" t="s">
        <v>638</v>
      </c>
      <c r="B562">
        <v>1450</v>
      </c>
      <c r="C562">
        <v>50</v>
      </c>
      <c r="D562" t="s">
        <v>12</v>
      </c>
      <c r="E562">
        <v>50</v>
      </c>
      <c r="F562" s="1">
        <v>45689</v>
      </c>
    </row>
    <row r="563" spans="1:6" x14ac:dyDescent="0.35">
      <c r="A563" t="s">
        <v>639</v>
      </c>
      <c r="B563">
        <v>1450</v>
      </c>
      <c r="C563">
        <v>50</v>
      </c>
      <c r="D563" t="s">
        <v>12</v>
      </c>
      <c r="E563">
        <v>50</v>
      </c>
      <c r="F563" s="1">
        <v>45717</v>
      </c>
    </row>
    <row r="564" spans="1:6" x14ac:dyDescent="0.35">
      <c r="A564" t="s">
        <v>640</v>
      </c>
      <c r="B564">
        <v>1450</v>
      </c>
      <c r="C564">
        <v>50</v>
      </c>
      <c r="D564" t="s">
        <v>12</v>
      </c>
      <c r="E564">
        <v>50</v>
      </c>
      <c r="F564" s="1">
        <v>45748</v>
      </c>
    </row>
    <row r="565" spans="1:6" x14ac:dyDescent="0.35">
      <c r="A565" t="s">
        <v>641</v>
      </c>
      <c r="B565">
        <v>1453</v>
      </c>
      <c r="C565">
        <v>500</v>
      </c>
      <c r="D565" t="s">
        <v>12</v>
      </c>
      <c r="E565">
        <v>500</v>
      </c>
      <c r="F565" s="1">
        <v>45748</v>
      </c>
    </row>
    <row r="566" spans="1:6" x14ac:dyDescent="0.35">
      <c r="A566" t="s">
        <v>642</v>
      </c>
      <c r="B566">
        <v>1453</v>
      </c>
      <c r="C566">
        <v>500</v>
      </c>
      <c r="D566" t="s">
        <v>12</v>
      </c>
      <c r="E566">
        <v>500</v>
      </c>
      <c r="F566" s="1">
        <v>45778</v>
      </c>
    </row>
    <row r="567" spans="1:6" x14ac:dyDescent="0.35">
      <c r="A567" t="s">
        <v>643</v>
      </c>
      <c r="B567">
        <v>1457</v>
      </c>
      <c r="C567">
        <v>500</v>
      </c>
      <c r="D567" t="s">
        <v>12</v>
      </c>
      <c r="E567">
        <v>500</v>
      </c>
      <c r="F567" s="1">
        <v>45658</v>
      </c>
    </row>
    <row r="568" spans="1:6" x14ac:dyDescent="0.35">
      <c r="A568" t="s">
        <v>644</v>
      </c>
      <c r="B568">
        <v>1457</v>
      </c>
      <c r="C568">
        <v>500</v>
      </c>
      <c r="D568" t="s">
        <v>12</v>
      </c>
      <c r="E568">
        <v>500</v>
      </c>
      <c r="F568" s="1">
        <v>45689</v>
      </c>
    </row>
    <row r="569" spans="1:6" x14ac:dyDescent="0.35">
      <c r="A569" t="s">
        <v>645</v>
      </c>
      <c r="B569">
        <v>1457</v>
      </c>
      <c r="C569">
        <v>500</v>
      </c>
      <c r="D569" t="s">
        <v>12</v>
      </c>
      <c r="E569">
        <v>500</v>
      </c>
      <c r="F569" s="1">
        <v>45717</v>
      </c>
    </row>
    <row r="570" spans="1:6" x14ac:dyDescent="0.35">
      <c r="A570" t="s">
        <v>646</v>
      </c>
      <c r="B570">
        <v>1457</v>
      </c>
      <c r="C570">
        <v>500</v>
      </c>
      <c r="D570" t="s">
        <v>12</v>
      </c>
      <c r="E570">
        <v>500</v>
      </c>
      <c r="F570" s="1">
        <v>45748</v>
      </c>
    </row>
    <row r="571" spans="1:6" x14ac:dyDescent="0.35">
      <c r="A571" t="s">
        <v>647</v>
      </c>
      <c r="B571">
        <v>1457</v>
      </c>
      <c r="C571">
        <v>500</v>
      </c>
      <c r="D571" t="s">
        <v>12</v>
      </c>
      <c r="E571">
        <v>500</v>
      </c>
      <c r="F571" s="1">
        <v>45778</v>
      </c>
    </row>
    <row r="572" spans="1:6" x14ac:dyDescent="0.35">
      <c r="A572" t="s">
        <v>648</v>
      </c>
      <c r="B572">
        <v>1465</v>
      </c>
      <c r="C572">
        <v>50</v>
      </c>
      <c r="D572" t="s">
        <v>12</v>
      </c>
      <c r="E572">
        <v>50</v>
      </c>
      <c r="F572" s="1">
        <v>45536</v>
      </c>
    </row>
    <row r="573" spans="1:6" x14ac:dyDescent="0.35">
      <c r="A573" t="s">
        <v>649</v>
      </c>
      <c r="B573">
        <v>1465</v>
      </c>
      <c r="C573">
        <v>50</v>
      </c>
      <c r="D573" t="s">
        <v>12</v>
      </c>
      <c r="E573">
        <v>50</v>
      </c>
      <c r="F573" s="1">
        <v>45566</v>
      </c>
    </row>
    <row r="574" spans="1:6" x14ac:dyDescent="0.35">
      <c r="A574" t="s">
        <v>650</v>
      </c>
      <c r="B574">
        <v>1465</v>
      </c>
      <c r="C574">
        <v>50</v>
      </c>
      <c r="D574" t="s">
        <v>12</v>
      </c>
      <c r="E574">
        <v>50</v>
      </c>
      <c r="F574" s="1">
        <v>45597</v>
      </c>
    </row>
    <row r="575" spans="1:6" x14ac:dyDescent="0.35">
      <c r="A575" t="s">
        <v>651</v>
      </c>
      <c r="B575">
        <v>1471</v>
      </c>
      <c r="C575">
        <v>200</v>
      </c>
      <c r="D575" t="s">
        <v>12</v>
      </c>
      <c r="E575">
        <v>200</v>
      </c>
      <c r="F575" s="1">
        <v>45292</v>
      </c>
    </row>
    <row r="576" spans="1:6" x14ac:dyDescent="0.35">
      <c r="A576" t="s">
        <v>652</v>
      </c>
      <c r="B576">
        <v>1471</v>
      </c>
      <c r="C576">
        <v>200</v>
      </c>
      <c r="D576" t="s">
        <v>12</v>
      </c>
      <c r="E576">
        <v>200</v>
      </c>
      <c r="F576" s="1">
        <v>45323</v>
      </c>
    </row>
    <row r="577" spans="1:6" x14ac:dyDescent="0.35">
      <c r="A577" t="s">
        <v>653</v>
      </c>
      <c r="B577">
        <v>1471</v>
      </c>
      <c r="C577">
        <v>200</v>
      </c>
      <c r="D577" t="s">
        <v>12</v>
      </c>
      <c r="E577">
        <v>200</v>
      </c>
      <c r="F577" s="1">
        <v>45352</v>
      </c>
    </row>
    <row r="578" spans="1:6" x14ac:dyDescent="0.35">
      <c r="A578" t="s">
        <v>654</v>
      </c>
      <c r="B578">
        <v>1471</v>
      </c>
      <c r="C578">
        <v>200</v>
      </c>
      <c r="D578" t="s">
        <v>12</v>
      </c>
      <c r="E578">
        <v>200</v>
      </c>
      <c r="F578" s="1">
        <v>45383</v>
      </c>
    </row>
    <row r="579" spans="1:6" x14ac:dyDescent="0.35">
      <c r="A579" t="s">
        <v>655</v>
      </c>
      <c r="B579">
        <v>1471</v>
      </c>
      <c r="C579">
        <v>200</v>
      </c>
      <c r="D579" t="s">
        <v>12</v>
      </c>
      <c r="E579">
        <v>200</v>
      </c>
      <c r="F579" s="1">
        <v>45413</v>
      </c>
    </row>
    <row r="580" spans="1:6" x14ac:dyDescent="0.35">
      <c r="A580" t="s">
        <v>656</v>
      </c>
      <c r="B580">
        <v>1475</v>
      </c>
      <c r="C580">
        <v>200</v>
      </c>
      <c r="D580" t="s">
        <v>12</v>
      </c>
      <c r="E580">
        <v>200</v>
      </c>
      <c r="F580" s="1">
        <v>45505</v>
      </c>
    </row>
    <row r="581" spans="1:6" x14ac:dyDescent="0.35">
      <c r="A581" t="s">
        <v>657</v>
      </c>
      <c r="B581">
        <v>1475</v>
      </c>
      <c r="C581">
        <v>200</v>
      </c>
      <c r="D581" t="s">
        <v>12</v>
      </c>
      <c r="E581">
        <v>200</v>
      </c>
      <c r="F581" s="1">
        <v>45536</v>
      </c>
    </row>
    <row r="582" spans="1:6" x14ac:dyDescent="0.35">
      <c r="A582" t="s">
        <v>658</v>
      </c>
      <c r="B582">
        <v>1475</v>
      </c>
      <c r="C582">
        <v>200</v>
      </c>
      <c r="D582" t="s">
        <v>12</v>
      </c>
      <c r="E582">
        <v>200</v>
      </c>
      <c r="F582" s="1">
        <v>45566</v>
      </c>
    </row>
    <row r="583" spans="1:6" x14ac:dyDescent="0.35">
      <c r="A583" t="s">
        <v>659</v>
      </c>
      <c r="B583">
        <v>1475</v>
      </c>
      <c r="C583">
        <v>200</v>
      </c>
      <c r="D583" t="s">
        <v>12</v>
      </c>
      <c r="E583">
        <v>200</v>
      </c>
      <c r="F583" s="1">
        <v>45597</v>
      </c>
    </row>
    <row r="584" spans="1:6" x14ac:dyDescent="0.35">
      <c r="A584" t="s">
        <v>660</v>
      </c>
      <c r="B584">
        <v>1475</v>
      </c>
      <c r="C584">
        <v>200</v>
      </c>
      <c r="D584" t="s">
        <v>12</v>
      </c>
      <c r="E584">
        <v>200</v>
      </c>
      <c r="F584" s="1">
        <v>45627</v>
      </c>
    </row>
    <row r="585" spans="1:6" x14ac:dyDescent="0.35">
      <c r="A585" t="s">
        <v>661</v>
      </c>
      <c r="B585">
        <v>1475</v>
      </c>
      <c r="C585">
        <v>200</v>
      </c>
      <c r="D585" t="s">
        <v>12</v>
      </c>
      <c r="E585">
        <v>200</v>
      </c>
      <c r="F585" s="1">
        <v>45658</v>
      </c>
    </row>
    <row r="586" spans="1:6" x14ac:dyDescent="0.35">
      <c r="A586" t="s">
        <v>662</v>
      </c>
      <c r="B586">
        <v>1475</v>
      </c>
      <c r="C586">
        <v>200</v>
      </c>
      <c r="D586" t="s">
        <v>12</v>
      </c>
      <c r="E586">
        <v>200</v>
      </c>
      <c r="F586" s="1">
        <v>45689</v>
      </c>
    </row>
    <row r="587" spans="1:6" x14ac:dyDescent="0.35">
      <c r="A587" t="s">
        <v>663</v>
      </c>
      <c r="B587">
        <v>1475</v>
      </c>
      <c r="C587">
        <v>200</v>
      </c>
      <c r="D587" t="s">
        <v>12</v>
      </c>
      <c r="E587">
        <v>200</v>
      </c>
      <c r="F587" s="1">
        <v>45717</v>
      </c>
    </row>
    <row r="588" spans="1:6" x14ac:dyDescent="0.35">
      <c r="A588" t="s">
        <v>664</v>
      </c>
      <c r="B588">
        <v>1478</v>
      </c>
      <c r="C588">
        <v>200</v>
      </c>
      <c r="D588" t="s">
        <v>12</v>
      </c>
      <c r="E588">
        <v>200</v>
      </c>
      <c r="F588" s="1">
        <v>45352</v>
      </c>
    </row>
    <row r="589" spans="1:6" x14ac:dyDescent="0.35">
      <c r="A589" t="s">
        <v>665</v>
      </c>
      <c r="B589">
        <v>1478</v>
      </c>
      <c r="C589">
        <v>200</v>
      </c>
      <c r="D589" t="s">
        <v>12</v>
      </c>
      <c r="E589">
        <v>200</v>
      </c>
      <c r="F589" s="1">
        <v>45383</v>
      </c>
    </row>
    <row r="590" spans="1:6" x14ac:dyDescent="0.35">
      <c r="A590" t="s">
        <v>666</v>
      </c>
      <c r="B590">
        <v>1478</v>
      </c>
      <c r="C590">
        <v>200</v>
      </c>
      <c r="D590" t="s">
        <v>12</v>
      </c>
      <c r="E590">
        <v>200</v>
      </c>
      <c r="F590" s="1">
        <v>45413</v>
      </c>
    </row>
    <row r="591" spans="1:6" x14ac:dyDescent="0.35">
      <c r="A591" t="s">
        <v>667</v>
      </c>
      <c r="B591">
        <v>1478</v>
      </c>
      <c r="C591">
        <v>200</v>
      </c>
      <c r="D591" t="s">
        <v>12</v>
      </c>
      <c r="E591">
        <v>200</v>
      </c>
      <c r="F591" s="1">
        <v>45444</v>
      </c>
    </row>
    <row r="592" spans="1:6" x14ac:dyDescent="0.35">
      <c r="A592" t="s">
        <v>668</v>
      </c>
      <c r="B592">
        <v>1478</v>
      </c>
      <c r="C592">
        <v>200</v>
      </c>
      <c r="D592" t="s">
        <v>12</v>
      </c>
      <c r="E592">
        <v>200</v>
      </c>
      <c r="F592" s="1">
        <v>45474</v>
      </c>
    </row>
    <row r="593" spans="1:6" x14ac:dyDescent="0.35">
      <c r="A593" t="s">
        <v>669</v>
      </c>
      <c r="B593">
        <v>1478</v>
      </c>
      <c r="C593">
        <v>200</v>
      </c>
      <c r="D593" t="s">
        <v>12</v>
      </c>
      <c r="E593">
        <v>200</v>
      </c>
      <c r="F593" s="1">
        <v>45505</v>
      </c>
    </row>
    <row r="594" spans="1:6" x14ac:dyDescent="0.35">
      <c r="A594" t="s">
        <v>670</v>
      </c>
      <c r="B594">
        <v>1478</v>
      </c>
      <c r="C594">
        <v>200</v>
      </c>
      <c r="D594" t="s">
        <v>12</v>
      </c>
      <c r="E594">
        <v>200</v>
      </c>
      <c r="F594" s="1">
        <v>45536</v>
      </c>
    </row>
    <row r="595" spans="1:6" x14ac:dyDescent="0.35">
      <c r="A595" t="s">
        <v>671</v>
      </c>
      <c r="B595">
        <v>1501</v>
      </c>
      <c r="C595">
        <v>500</v>
      </c>
      <c r="D595" t="s">
        <v>12</v>
      </c>
      <c r="E595">
        <v>500</v>
      </c>
      <c r="F595" s="1">
        <v>45717</v>
      </c>
    </row>
    <row r="596" spans="1:6" x14ac:dyDescent="0.35">
      <c r="A596" t="s">
        <v>672</v>
      </c>
      <c r="B596">
        <v>1501</v>
      </c>
      <c r="C596">
        <v>500</v>
      </c>
      <c r="D596" t="s">
        <v>12</v>
      </c>
      <c r="E596">
        <v>500</v>
      </c>
      <c r="F596" s="1">
        <v>45748</v>
      </c>
    </row>
    <row r="597" spans="1:6" x14ac:dyDescent="0.35">
      <c r="A597" t="s">
        <v>673</v>
      </c>
      <c r="B597">
        <v>1501</v>
      </c>
      <c r="C597">
        <v>500</v>
      </c>
      <c r="D597" t="s">
        <v>12</v>
      </c>
      <c r="E597">
        <v>500</v>
      </c>
      <c r="F597" s="1">
        <v>45778</v>
      </c>
    </row>
    <row r="598" spans="1:6" x14ac:dyDescent="0.35">
      <c r="A598" t="s">
        <v>674</v>
      </c>
      <c r="B598">
        <v>1510</v>
      </c>
      <c r="C598">
        <v>500</v>
      </c>
      <c r="D598" t="s">
        <v>12</v>
      </c>
      <c r="E598">
        <v>500</v>
      </c>
      <c r="F598" s="1">
        <v>45292</v>
      </c>
    </row>
    <row r="599" spans="1:6" x14ac:dyDescent="0.35">
      <c r="A599" t="s">
        <v>675</v>
      </c>
      <c r="B599">
        <v>1510</v>
      </c>
      <c r="C599">
        <v>500</v>
      </c>
      <c r="D599" t="s">
        <v>12</v>
      </c>
      <c r="E599">
        <v>500</v>
      </c>
      <c r="F599" s="1">
        <v>45323</v>
      </c>
    </row>
    <row r="600" spans="1:6" x14ac:dyDescent="0.35">
      <c r="A600" t="s">
        <v>676</v>
      </c>
      <c r="B600">
        <v>1510</v>
      </c>
      <c r="C600">
        <v>500</v>
      </c>
      <c r="D600" t="s">
        <v>12</v>
      </c>
      <c r="E600">
        <v>500</v>
      </c>
      <c r="F600" s="1">
        <v>45352</v>
      </c>
    </row>
    <row r="601" spans="1:6" x14ac:dyDescent="0.35">
      <c r="A601" t="s">
        <v>677</v>
      </c>
      <c r="B601">
        <v>1510</v>
      </c>
      <c r="C601">
        <v>500</v>
      </c>
      <c r="D601" t="s">
        <v>12</v>
      </c>
      <c r="E601">
        <v>500</v>
      </c>
      <c r="F601" s="1">
        <v>45383</v>
      </c>
    </row>
    <row r="602" spans="1:6" x14ac:dyDescent="0.35">
      <c r="A602" t="s">
        <v>678</v>
      </c>
      <c r="B602">
        <v>1510</v>
      </c>
      <c r="C602">
        <v>500</v>
      </c>
      <c r="D602" t="s">
        <v>12</v>
      </c>
      <c r="E602">
        <v>500</v>
      </c>
      <c r="F602" s="1">
        <v>45413</v>
      </c>
    </row>
    <row r="603" spans="1:6" x14ac:dyDescent="0.35">
      <c r="A603" t="s">
        <v>679</v>
      </c>
      <c r="B603">
        <v>1510</v>
      </c>
      <c r="C603">
        <v>500</v>
      </c>
      <c r="D603" t="s">
        <v>12</v>
      </c>
      <c r="E603">
        <v>500</v>
      </c>
      <c r="F603" s="1">
        <v>45444</v>
      </c>
    </row>
    <row r="604" spans="1:6" x14ac:dyDescent="0.35">
      <c r="A604" t="s">
        <v>680</v>
      </c>
      <c r="B604">
        <v>1510</v>
      </c>
      <c r="C604">
        <v>500</v>
      </c>
      <c r="D604" t="s">
        <v>12</v>
      </c>
      <c r="E604">
        <v>500</v>
      </c>
      <c r="F604" s="1">
        <v>45474</v>
      </c>
    </row>
    <row r="605" spans="1:6" x14ac:dyDescent="0.35">
      <c r="A605" t="s">
        <v>681</v>
      </c>
      <c r="B605">
        <v>1510</v>
      </c>
      <c r="C605">
        <v>500</v>
      </c>
      <c r="D605" t="s">
        <v>12</v>
      </c>
      <c r="E605">
        <v>500</v>
      </c>
      <c r="F605" s="1">
        <v>45505</v>
      </c>
    </row>
    <row r="606" spans="1:6" x14ac:dyDescent="0.35">
      <c r="A606" t="s">
        <v>682</v>
      </c>
      <c r="B606">
        <v>1510</v>
      </c>
      <c r="C606">
        <v>500</v>
      </c>
      <c r="D606" t="s">
        <v>12</v>
      </c>
      <c r="E606">
        <v>500</v>
      </c>
      <c r="F606" s="1">
        <v>45536</v>
      </c>
    </row>
    <row r="607" spans="1:6" x14ac:dyDescent="0.35">
      <c r="A607" t="s">
        <v>683</v>
      </c>
      <c r="B607">
        <v>1510</v>
      </c>
      <c r="C607">
        <v>500</v>
      </c>
      <c r="D607" t="s">
        <v>12</v>
      </c>
      <c r="E607">
        <v>500</v>
      </c>
      <c r="F607" s="1">
        <v>45566</v>
      </c>
    </row>
    <row r="608" spans="1:6" x14ac:dyDescent="0.35">
      <c r="A608" t="s">
        <v>684</v>
      </c>
      <c r="B608">
        <v>1510</v>
      </c>
      <c r="C608">
        <v>500</v>
      </c>
      <c r="D608" t="s">
        <v>12</v>
      </c>
      <c r="E608">
        <v>500</v>
      </c>
      <c r="F608" s="1">
        <v>45597</v>
      </c>
    </row>
    <row r="609" spans="1:6" x14ac:dyDescent="0.35">
      <c r="A609" t="s">
        <v>685</v>
      </c>
      <c r="B609">
        <v>1519</v>
      </c>
      <c r="C609">
        <v>500</v>
      </c>
      <c r="D609" t="s">
        <v>12</v>
      </c>
      <c r="E609">
        <v>500</v>
      </c>
      <c r="F609" s="1">
        <v>45323</v>
      </c>
    </row>
    <row r="610" spans="1:6" x14ac:dyDescent="0.35">
      <c r="A610" t="s">
        <v>686</v>
      </c>
      <c r="B610">
        <v>1519</v>
      </c>
      <c r="C610">
        <v>500</v>
      </c>
      <c r="D610" t="s">
        <v>12</v>
      </c>
      <c r="E610">
        <v>500</v>
      </c>
      <c r="F610" s="1">
        <v>45352</v>
      </c>
    </row>
    <row r="611" spans="1:6" x14ac:dyDescent="0.35">
      <c r="A611" t="s">
        <v>687</v>
      </c>
      <c r="B611">
        <v>1519</v>
      </c>
      <c r="C611">
        <v>500</v>
      </c>
      <c r="D611" t="s">
        <v>12</v>
      </c>
      <c r="E611">
        <v>500</v>
      </c>
      <c r="F611" s="1">
        <v>45383</v>
      </c>
    </row>
    <row r="612" spans="1:6" x14ac:dyDescent="0.35">
      <c r="A612" t="s">
        <v>688</v>
      </c>
      <c r="B612">
        <v>1519</v>
      </c>
      <c r="C612">
        <v>500</v>
      </c>
      <c r="D612" t="s">
        <v>12</v>
      </c>
      <c r="E612">
        <v>500</v>
      </c>
      <c r="F612" s="1">
        <v>45413</v>
      </c>
    </row>
    <row r="613" spans="1:6" x14ac:dyDescent="0.35">
      <c r="A613" t="s">
        <v>689</v>
      </c>
      <c r="B613">
        <v>1519</v>
      </c>
      <c r="C613">
        <v>500</v>
      </c>
      <c r="D613" t="s">
        <v>12</v>
      </c>
      <c r="E613">
        <v>500</v>
      </c>
      <c r="F613" s="1">
        <v>45444</v>
      </c>
    </row>
    <row r="614" spans="1:6" x14ac:dyDescent="0.35">
      <c r="A614" t="s">
        <v>690</v>
      </c>
      <c r="B614">
        <v>1519</v>
      </c>
      <c r="C614">
        <v>500</v>
      </c>
      <c r="D614" t="s">
        <v>12</v>
      </c>
      <c r="E614">
        <v>500</v>
      </c>
      <c r="F614" s="1">
        <v>45474</v>
      </c>
    </row>
    <row r="615" spans="1:6" x14ac:dyDescent="0.35">
      <c r="A615" t="s">
        <v>691</v>
      </c>
      <c r="B615">
        <v>1519</v>
      </c>
      <c r="C615">
        <v>500</v>
      </c>
      <c r="D615" t="s">
        <v>12</v>
      </c>
      <c r="E615">
        <v>500</v>
      </c>
      <c r="F615" s="1">
        <v>45505</v>
      </c>
    </row>
    <row r="616" spans="1:6" x14ac:dyDescent="0.35">
      <c r="A616" t="s">
        <v>692</v>
      </c>
      <c r="B616">
        <v>1519</v>
      </c>
      <c r="C616">
        <v>500</v>
      </c>
      <c r="D616" t="s">
        <v>12</v>
      </c>
      <c r="E616">
        <v>500</v>
      </c>
      <c r="F616" s="1">
        <v>45536</v>
      </c>
    </row>
    <row r="617" spans="1:6" x14ac:dyDescent="0.35">
      <c r="A617" t="s">
        <v>693</v>
      </c>
      <c r="B617">
        <v>1519</v>
      </c>
      <c r="C617">
        <v>500</v>
      </c>
      <c r="D617" t="s">
        <v>12</v>
      </c>
      <c r="E617">
        <v>500</v>
      </c>
      <c r="F617" s="1">
        <v>45566</v>
      </c>
    </row>
    <row r="618" spans="1:6" x14ac:dyDescent="0.35">
      <c r="A618" t="s">
        <v>694</v>
      </c>
      <c r="B618">
        <v>1519</v>
      </c>
      <c r="C618">
        <v>500</v>
      </c>
      <c r="D618" t="s">
        <v>12</v>
      </c>
      <c r="E618">
        <v>500</v>
      </c>
      <c r="F618" s="1">
        <v>45597</v>
      </c>
    </row>
    <row r="619" spans="1:6" x14ac:dyDescent="0.35">
      <c r="A619" t="s">
        <v>695</v>
      </c>
      <c r="B619">
        <v>1519</v>
      </c>
      <c r="C619">
        <v>500</v>
      </c>
      <c r="D619" t="s">
        <v>12</v>
      </c>
      <c r="E619">
        <v>500</v>
      </c>
      <c r="F619" s="1">
        <v>45627</v>
      </c>
    </row>
    <row r="620" spans="1:6" x14ac:dyDescent="0.35">
      <c r="A620" t="s">
        <v>696</v>
      </c>
      <c r="B620">
        <v>1519</v>
      </c>
      <c r="C620">
        <v>500</v>
      </c>
      <c r="D620" t="s">
        <v>12</v>
      </c>
      <c r="E620">
        <v>500</v>
      </c>
      <c r="F620" s="1">
        <v>45658</v>
      </c>
    </row>
    <row r="621" spans="1:6" x14ac:dyDescent="0.35">
      <c r="A621" t="s">
        <v>697</v>
      </c>
      <c r="B621">
        <v>1519</v>
      </c>
      <c r="C621">
        <v>500</v>
      </c>
      <c r="D621" t="s">
        <v>12</v>
      </c>
      <c r="E621">
        <v>500</v>
      </c>
      <c r="F621" s="1">
        <v>45689</v>
      </c>
    </row>
    <row r="622" spans="1:6" x14ac:dyDescent="0.35">
      <c r="A622" t="s">
        <v>698</v>
      </c>
      <c r="B622">
        <v>1519</v>
      </c>
      <c r="C622">
        <v>500</v>
      </c>
      <c r="D622" t="s">
        <v>12</v>
      </c>
      <c r="E622">
        <v>500</v>
      </c>
      <c r="F622" s="1">
        <v>45717</v>
      </c>
    </row>
    <row r="623" spans="1:6" x14ac:dyDescent="0.35">
      <c r="A623" t="s">
        <v>699</v>
      </c>
      <c r="B623">
        <v>1519</v>
      </c>
      <c r="C623">
        <v>500</v>
      </c>
      <c r="D623" t="s">
        <v>12</v>
      </c>
      <c r="E623">
        <v>500</v>
      </c>
      <c r="F623" s="1">
        <v>45748</v>
      </c>
    </row>
    <row r="624" spans="1:6" x14ac:dyDescent="0.35">
      <c r="A624" t="s">
        <v>700</v>
      </c>
      <c r="B624">
        <v>1519</v>
      </c>
      <c r="C624">
        <v>500</v>
      </c>
      <c r="D624" t="s">
        <v>12</v>
      </c>
      <c r="E624">
        <v>500</v>
      </c>
      <c r="F624" s="1">
        <v>45778</v>
      </c>
    </row>
    <row r="625" spans="1:6" x14ac:dyDescent="0.35">
      <c r="A625" t="s">
        <v>701</v>
      </c>
      <c r="B625">
        <v>1525</v>
      </c>
      <c r="C625">
        <v>500</v>
      </c>
      <c r="D625" t="s">
        <v>12</v>
      </c>
      <c r="E625">
        <v>500</v>
      </c>
      <c r="F625" s="1">
        <v>45689</v>
      </c>
    </row>
    <row r="626" spans="1:6" x14ac:dyDescent="0.35">
      <c r="A626" t="s">
        <v>702</v>
      </c>
      <c r="B626">
        <v>1525</v>
      </c>
      <c r="C626">
        <v>500</v>
      </c>
      <c r="D626" t="s">
        <v>12</v>
      </c>
      <c r="E626">
        <v>500</v>
      </c>
      <c r="F626" s="1">
        <v>45717</v>
      </c>
    </row>
    <row r="627" spans="1:6" x14ac:dyDescent="0.35">
      <c r="A627" t="s">
        <v>703</v>
      </c>
      <c r="B627">
        <v>1525</v>
      </c>
      <c r="C627">
        <v>500</v>
      </c>
      <c r="D627" t="s">
        <v>12</v>
      </c>
      <c r="E627">
        <v>500</v>
      </c>
      <c r="F627" s="1">
        <v>45748</v>
      </c>
    </row>
    <row r="628" spans="1:6" x14ac:dyDescent="0.35">
      <c r="A628" t="s">
        <v>704</v>
      </c>
      <c r="B628">
        <v>1544</v>
      </c>
      <c r="C628">
        <v>200</v>
      </c>
      <c r="D628" t="s">
        <v>12</v>
      </c>
      <c r="E628">
        <v>200</v>
      </c>
      <c r="F628" s="1">
        <v>45597</v>
      </c>
    </row>
    <row r="629" spans="1:6" x14ac:dyDescent="0.35">
      <c r="A629" t="s">
        <v>705</v>
      </c>
      <c r="B629">
        <v>1544</v>
      </c>
      <c r="C629">
        <v>200</v>
      </c>
      <c r="D629" t="s">
        <v>12</v>
      </c>
      <c r="E629">
        <v>200</v>
      </c>
      <c r="F629" s="1">
        <v>45627</v>
      </c>
    </row>
    <row r="630" spans="1:6" x14ac:dyDescent="0.35">
      <c r="A630" t="s">
        <v>706</v>
      </c>
      <c r="B630">
        <v>1544</v>
      </c>
      <c r="C630">
        <v>200</v>
      </c>
      <c r="D630" t="s">
        <v>12</v>
      </c>
      <c r="E630">
        <v>200</v>
      </c>
      <c r="F630" s="1">
        <v>45658</v>
      </c>
    </row>
    <row r="631" spans="1:6" x14ac:dyDescent="0.35">
      <c r="A631" t="s">
        <v>707</v>
      </c>
      <c r="B631">
        <v>1544</v>
      </c>
      <c r="C631">
        <v>200</v>
      </c>
      <c r="D631" t="s">
        <v>12</v>
      </c>
      <c r="E631">
        <v>200</v>
      </c>
      <c r="F631" s="1">
        <v>45689</v>
      </c>
    </row>
    <row r="632" spans="1:6" x14ac:dyDescent="0.35">
      <c r="A632" t="s">
        <v>708</v>
      </c>
      <c r="B632">
        <v>1544</v>
      </c>
      <c r="C632">
        <v>200</v>
      </c>
      <c r="D632" t="s">
        <v>12</v>
      </c>
      <c r="E632">
        <v>200</v>
      </c>
      <c r="F632" s="1">
        <v>45717</v>
      </c>
    </row>
    <row r="633" spans="1:6" x14ac:dyDescent="0.35">
      <c r="A633" t="s">
        <v>709</v>
      </c>
      <c r="B633">
        <v>1544</v>
      </c>
      <c r="C633">
        <v>200</v>
      </c>
      <c r="D633" t="s">
        <v>12</v>
      </c>
      <c r="E633">
        <v>200</v>
      </c>
      <c r="F633" s="1">
        <v>45748</v>
      </c>
    </row>
    <row r="634" spans="1:6" x14ac:dyDescent="0.35">
      <c r="A634" t="s">
        <v>710</v>
      </c>
      <c r="B634">
        <v>1552</v>
      </c>
      <c r="C634">
        <v>500</v>
      </c>
      <c r="D634" t="s">
        <v>12</v>
      </c>
      <c r="E634">
        <v>500</v>
      </c>
      <c r="F634" s="1">
        <v>45474</v>
      </c>
    </row>
    <row r="635" spans="1:6" x14ac:dyDescent="0.35">
      <c r="A635" t="s">
        <v>711</v>
      </c>
      <c r="B635">
        <v>1552</v>
      </c>
      <c r="C635">
        <v>500</v>
      </c>
      <c r="D635" t="s">
        <v>12</v>
      </c>
      <c r="E635">
        <v>500</v>
      </c>
      <c r="F635" s="1">
        <v>45505</v>
      </c>
    </row>
    <row r="636" spans="1:6" x14ac:dyDescent="0.35">
      <c r="A636" t="s">
        <v>712</v>
      </c>
      <c r="B636">
        <v>1552</v>
      </c>
      <c r="C636">
        <v>500</v>
      </c>
      <c r="D636" t="s">
        <v>12</v>
      </c>
      <c r="E636">
        <v>500</v>
      </c>
      <c r="F636" s="1">
        <v>45536</v>
      </c>
    </row>
    <row r="637" spans="1:6" x14ac:dyDescent="0.35">
      <c r="A637" t="s">
        <v>713</v>
      </c>
      <c r="B637">
        <v>1552</v>
      </c>
      <c r="C637">
        <v>500</v>
      </c>
      <c r="D637" t="s">
        <v>12</v>
      </c>
      <c r="E637">
        <v>500</v>
      </c>
      <c r="F637" s="1">
        <v>45566</v>
      </c>
    </row>
    <row r="638" spans="1:6" x14ac:dyDescent="0.35">
      <c r="A638" t="s">
        <v>714</v>
      </c>
      <c r="B638">
        <v>1552</v>
      </c>
      <c r="C638">
        <v>500</v>
      </c>
      <c r="D638" t="s">
        <v>12</v>
      </c>
      <c r="E638">
        <v>500</v>
      </c>
      <c r="F638" s="1">
        <v>45597</v>
      </c>
    </row>
    <row r="639" spans="1:6" x14ac:dyDescent="0.35">
      <c r="A639" t="s">
        <v>715</v>
      </c>
      <c r="B639">
        <v>1552</v>
      </c>
      <c r="C639">
        <v>500</v>
      </c>
      <c r="D639" t="s">
        <v>12</v>
      </c>
      <c r="E639">
        <v>500</v>
      </c>
      <c r="F639" s="1">
        <v>45627</v>
      </c>
    </row>
    <row r="640" spans="1:6" x14ac:dyDescent="0.35">
      <c r="A640" t="s">
        <v>716</v>
      </c>
      <c r="B640">
        <v>1552</v>
      </c>
      <c r="C640">
        <v>500</v>
      </c>
      <c r="D640" t="s">
        <v>12</v>
      </c>
      <c r="E640">
        <v>500</v>
      </c>
      <c r="F640" s="1">
        <v>45658</v>
      </c>
    </row>
    <row r="641" spans="1:6" x14ac:dyDescent="0.35">
      <c r="A641" t="s">
        <v>717</v>
      </c>
      <c r="B641">
        <v>1552</v>
      </c>
      <c r="C641">
        <v>500</v>
      </c>
      <c r="D641" t="s">
        <v>12</v>
      </c>
      <c r="E641">
        <v>500</v>
      </c>
      <c r="F641" s="1">
        <v>45689</v>
      </c>
    </row>
    <row r="642" spans="1:6" x14ac:dyDescent="0.35">
      <c r="A642" t="s">
        <v>718</v>
      </c>
      <c r="B642">
        <v>1552</v>
      </c>
      <c r="C642">
        <v>500</v>
      </c>
      <c r="D642" t="s">
        <v>12</v>
      </c>
      <c r="E642">
        <v>500</v>
      </c>
      <c r="F642" s="1">
        <v>45717</v>
      </c>
    </row>
    <row r="643" spans="1:6" x14ac:dyDescent="0.35">
      <c r="A643" t="s">
        <v>719</v>
      </c>
      <c r="B643">
        <v>1557</v>
      </c>
      <c r="C643">
        <v>500</v>
      </c>
      <c r="D643" t="s">
        <v>12</v>
      </c>
      <c r="E643">
        <v>500</v>
      </c>
      <c r="F643" s="1">
        <v>45717</v>
      </c>
    </row>
    <row r="644" spans="1:6" x14ac:dyDescent="0.35">
      <c r="A644" t="s">
        <v>720</v>
      </c>
      <c r="B644">
        <v>1557</v>
      </c>
      <c r="C644">
        <v>500</v>
      </c>
      <c r="D644" t="s">
        <v>12</v>
      </c>
      <c r="E644">
        <v>500</v>
      </c>
      <c r="F644" s="1">
        <v>45748</v>
      </c>
    </row>
    <row r="645" spans="1:6" x14ac:dyDescent="0.35">
      <c r="A645" t="s">
        <v>721</v>
      </c>
      <c r="B645">
        <v>1558</v>
      </c>
      <c r="C645">
        <v>500</v>
      </c>
      <c r="D645" t="s">
        <v>12</v>
      </c>
      <c r="E645">
        <v>500</v>
      </c>
      <c r="F645" s="1">
        <v>45323</v>
      </c>
    </row>
    <row r="646" spans="1:6" x14ac:dyDescent="0.35">
      <c r="A646" t="s">
        <v>722</v>
      </c>
      <c r="B646">
        <v>1558</v>
      </c>
      <c r="C646">
        <v>500</v>
      </c>
      <c r="D646" t="s">
        <v>12</v>
      </c>
      <c r="E646">
        <v>500</v>
      </c>
      <c r="F646" s="1">
        <v>45352</v>
      </c>
    </row>
    <row r="647" spans="1:6" x14ac:dyDescent="0.35">
      <c r="A647" t="s">
        <v>723</v>
      </c>
      <c r="B647">
        <v>1565</v>
      </c>
      <c r="C647">
        <v>200</v>
      </c>
      <c r="D647" t="s">
        <v>12</v>
      </c>
      <c r="E647">
        <v>200</v>
      </c>
      <c r="F647" s="1">
        <v>45352</v>
      </c>
    </row>
    <row r="648" spans="1:6" x14ac:dyDescent="0.35">
      <c r="A648" t="s">
        <v>724</v>
      </c>
      <c r="B648">
        <v>1565</v>
      </c>
      <c r="C648">
        <v>200</v>
      </c>
      <c r="D648" t="s">
        <v>12</v>
      </c>
      <c r="E648">
        <v>200</v>
      </c>
      <c r="F648" s="1">
        <v>45383</v>
      </c>
    </row>
    <row r="649" spans="1:6" x14ac:dyDescent="0.35">
      <c r="A649" t="s">
        <v>725</v>
      </c>
      <c r="B649">
        <v>1565</v>
      </c>
      <c r="C649">
        <v>200</v>
      </c>
      <c r="D649" t="s">
        <v>12</v>
      </c>
      <c r="E649">
        <v>200</v>
      </c>
      <c r="F649" s="1">
        <v>45413</v>
      </c>
    </row>
    <row r="650" spans="1:6" x14ac:dyDescent="0.35">
      <c r="A650" t="s">
        <v>726</v>
      </c>
      <c r="B650">
        <v>1570</v>
      </c>
      <c r="C650">
        <v>500</v>
      </c>
      <c r="D650" t="s">
        <v>12</v>
      </c>
      <c r="E650">
        <v>500</v>
      </c>
      <c r="F650" s="1">
        <v>45323</v>
      </c>
    </row>
    <row r="651" spans="1:6" x14ac:dyDescent="0.35">
      <c r="A651" t="s">
        <v>727</v>
      </c>
      <c r="B651">
        <v>1570</v>
      </c>
      <c r="C651">
        <v>500</v>
      </c>
      <c r="D651" t="s">
        <v>12</v>
      </c>
      <c r="E651">
        <v>500</v>
      </c>
      <c r="F651" s="1">
        <v>45352</v>
      </c>
    </row>
    <row r="652" spans="1:6" x14ac:dyDescent="0.35">
      <c r="A652" t="s">
        <v>728</v>
      </c>
      <c r="B652">
        <v>1570</v>
      </c>
      <c r="C652">
        <v>500</v>
      </c>
      <c r="D652" t="s">
        <v>12</v>
      </c>
      <c r="E652">
        <v>500</v>
      </c>
      <c r="F652" s="1">
        <v>45383</v>
      </c>
    </row>
    <row r="653" spans="1:6" x14ac:dyDescent="0.35">
      <c r="A653" t="s">
        <v>729</v>
      </c>
      <c r="B653">
        <v>1570</v>
      </c>
      <c r="C653">
        <v>500</v>
      </c>
      <c r="D653" t="s">
        <v>12</v>
      </c>
      <c r="E653">
        <v>500</v>
      </c>
      <c r="F653" s="1">
        <v>45413</v>
      </c>
    </row>
    <row r="654" spans="1:6" x14ac:dyDescent="0.35">
      <c r="A654" t="s">
        <v>730</v>
      </c>
      <c r="B654">
        <v>1570</v>
      </c>
      <c r="C654">
        <v>500</v>
      </c>
      <c r="D654" t="s">
        <v>12</v>
      </c>
      <c r="E654">
        <v>500</v>
      </c>
      <c r="F654" s="1">
        <v>45444</v>
      </c>
    </row>
    <row r="655" spans="1:6" x14ac:dyDescent="0.35">
      <c r="A655" t="s">
        <v>731</v>
      </c>
      <c r="B655">
        <v>1570</v>
      </c>
      <c r="C655">
        <v>500</v>
      </c>
      <c r="D655" t="s">
        <v>12</v>
      </c>
      <c r="E655">
        <v>500</v>
      </c>
      <c r="F655" s="1">
        <v>45474</v>
      </c>
    </row>
    <row r="656" spans="1:6" x14ac:dyDescent="0.35">
      <c r="A656" t="s">
        <v>732</v>
      </c>
      <c r="B656">
        <v>1570</v>
      </c>
      <c r="C656">
        <v>500</v>
      </c>
      <c r="D656" t="s">
        <v>12</v>
      </c>
      <c r="E656">
        <v>500</v>
      </c>
      <c r="F656" s="1">
        <v>45505</v>
      </c>
    </row>
    <row r="657" spans="1:6" x14ac:dyDescent="0.35">
      <c r="A657" t="s">
        <v>733</v>
      </c>
      <c r="B657">
        <v>1570</v>
      </c>
      <c r="C657">
        <v>500</v>
      </c>
      <c r="D657" t="s">
        <v>12</v>
      </c>
      <c r="E657">
        <v>500</v>
      </c>
      <c r="F657" s="1">
        <v>45536</v>
      </c>
    </row>
    <row r="658" spans="1:6" x14ac:dyDescent="0.35">
      <c r="A658" t="s">
        <v>734</v>
      </c>
      <c r="B658">
        <v>1570</v>
      </c>
      <c r="C658">
        <v>500</v>
      </c>
      <c r="D658" t="s">
        <v>12</v>
      </c>
      <c r="E658">
        <v>500</v>
      </c>
      <c r="F658" s="1">
        <v>45566</v>
      </c>
    </row>
    <row r="659" spans="1:6" x14ac:dyDescent="0.35">
      <c r="A659" t="s">
        <v>735</v>
      </c>
      <c r="B659">
        <v>1570</v>
      </c>
      <c r="C659">
        <v>500</v>
      </c>
      <c r="D659" t="s">
        <v>12</v>
      </c>
      <c r="E659">
        <v>500</v>
      </c>
      <c r="F659" s="1">
        <v>45597</v>
      </c>
    </row>
    <row r="660" spans="1:6" x14ac:dyDescent="0.35">
      <c r="A660" t="s">
        <v>736</v>
      </c>
      <c r="B660">
        <v>1570</v>
      </c>
      <c r="C660">
        <v>500</v>
      </c>
      <c r="D660" t="s">
        <v>12</v>
      </c>
      <c r="E660">
        <v>500</v>
      </c>
      <c r="F660" s="1">
        <v>45627</v>
      </c>
    </row>
    <row r="661" spans="1:6" x14ac:dyDescent="0.35">
      <c r="A661" t="s">
        <v>737</v>
      </c>
      <c r="B661">
        <v>1570</v>
      </c>
      <c r="C661">
        <v>500</v>
      </c>
      <c r="D661" t="s">
        <v>12</v>
      </c>
      <c r="E661">
        <v>500</v>
      </c>
      <c r="F661" s="1">
        <v>45658</v>
      </c>
    </row>
    <row r="662" spans="1:6" x14ac:dyDescent="0.35">
      <c r="A662" t="s">
        <v>738</v>
      </c>
      <c r="B662">
        <v>1570</v>
      </c>
      <c r="C662">
        <v>500</v>
      </c>
      <c r="D662" t="s">
        <v>12</v>
      </c>
      <c r="E662">
        <v>500</v>
      </c>
      <c r="F662" s="1">
        <v>45689</v>
      </c>
    </row>
    <row r="663" spans="1:6" x14ac:dyDescent="0.35">
      <c r="A663" t="s">
        <v>739</v>
      </c>
      <c r="B663">
        <v>1570</v>
      </c>
      <c r="C663">
        <v>500</v>
      </c>
      <c r="D663" t="s">
        <v>12</v>
      </c>
      <c r="E663">
        <v>500</v>
      </c>
      <c r="F663" s="1">
        <v>45717</v>
      </c>
    </row>
    <row r="664" spans="1:6" x14ac:dyDescent="0.35">
      <c r="A664" t="s">
        <v>740</v>
      </c>
      <c r="B664">
        <v>1576</v>
      </c>
      <c r="C664">
        <v>200</v>
      </c>
      <c r="D664" t="s">
        <v>12</v>
      </c>
      <c r="E664">
        <v>200</v>
      </c>
      <c r="F664" s="1">
        <v>45444</v>
      </c>
    </row>
    <row r="665" spans="1:6" x14ac:dyDescent="0.35">
      <c r="A665" t="s">
        <v>741</v>
      </c>
      <c r="B665">
        <v>1576</v>
      </c>
      <c r="C665">
        <v>200</v>
      </c>
      <c r="D665" t="s">
        <v>12</v>
      </c>
      <c r="E665">
        <v>200</v>
      </c>
      <c r="F665" s="1">
        <v>45474</v>
      </c>
    </row>
    <row r="666" spans="1:6" x14ac:dyDescent="0.35">
      <c r="A666" t="s">
        <v>742</v>
      </c>
      <c r="B666">
        <v>1576</v>
      </c>
      <c r="C666">
        <v>200</v>
      </c>
      <c r="D666" t="s">
        <v>12</v>
      </c>
      <c r="E666">
        <v>200</v>
      </c>
      <c r="F666" s="1">
        <v>45505</v>
      </c>
    </row>
    <row r="667" spans="1:6" x14ac:dyDescent="0.35">
      <c r="A667" t="s">
        <v>743</v>
      </c>
      <c r="B667">
        <v>1576</v>
      </c>
      <c r="C667">
        <v>200</v>
      </c>
      <c r="D667" t="s">
        <v>12</v>
      </c>
      <c r="E667">
        <v>200</v>
      </c>
      <c r="F667" s="1">
        <v>45536</v>
      </c>
    </row>
    <row r="668" spans="1:6" x14ac:dyDescent="0.35">
      <c r="A668" t="s">
        <v>744</v>
      </c>
      <c r="B668">
        <v>1576</v>
      </c>
      <c r="C668">
        <v>200</v>
      </c>
      <c r="D668" t="s">
        <v>12</v>
      </c>
      <c r="E668">
        <v>200</v>
      </c>
      <c r="F668" s="1">
        <v>45566</v>
      </c>
    </row>
    <row r="669" spans="1:6" x14ac:dyDescent="0.35">
      <c r="A669" t="s">
        <v>745</v>
      </c>
      <c r="B669">
        <v>1576</v>
      </c>
      <c r="C669">
        <v>200</v>
      </c>
      <c r="D669" t="s">
        <v>12</v>
      </c>
      <c r="E669">
        <v>200</v>
      </c>
      <c r="F669" s="1">
        <v>45597</v>
      </c>
    </row>
    <row r="670" spans="1:6" x14ac:dyDescent="0.35">
      <c r="A670" t="s">
        <v>746</v>
      </c>
      <c r="B670">
        <v>1576</v>
      </c>
      <c r="C670">
        <v>200</v>
      </c>
      <c r="D670" t="s">
        <v>12</v>
      </c>
      <c r="E670">
        <v>200</v>
      </c>
      <c r="F670" s="1">
        <v>45627</v>
      </c>
    </row>
    <row r="671" spans="1:6" x14ac:dyDescent="0.35">
      <c r="A671" t="s">
        <v>747</v>
      </c>
      <c r="B671">
        <v>1576</v>
      </c>
      <c r="C671">
        <v>200</v>
      </c>
      <c r="D671" t="s">
        <v>12</v>
      </c>
      <c r="E671">
        <v>200</v>
      </c>
      <c r="F671" s="1">
        <v>45658</v>
      </c>
    </row>
    <row r="672" spans="1:6" x14ac:dyDescent="0.35">
      <c r="A672" t="s">
        <v>748</v>
      </c>
      <c r="B672">
        <v>1576</v>
      </c>
      <c r="C672">
        <v>200</v>
      </c>
      <c r="D672" t="s">
        <v>12</v>
      </c>
      <c r="E672">
        <v>200</v>
      </c>
      <c r="F672" s="1">
        <v>45689</v>
      </c>
    </row>
    <row r="673" spans="1:6" x14ac:dyDescent="0.35">
      <c r="A673" t="s">
        <v>749</v>
      </c>
      <c r="B673">
        <v>1576</v>
      </c>
      <c r="C673">
        <v>200</v>
      </c>
      <c r="D673" t="s">
        <v>12</v>
      </c>
      <c r="E673">
        <v>200</v>
      </c>
      <c r="F673" s="1">
        <v>45717</v>
      </c>
    </row>
    <row r="674" spans="1:6" x14ac:dyDescent="0.35">
      <c r="A674" t="s">
        <v>750</v>
      </c>
      <c r="B674">
        <v>1579</v>
      </c>
      <c r="C674">
        <v>50</v>
      </c>
      <c r="D674" t="s">
        <v>12</v>
      </c>
      <c r="E674">
        <v>50</v>
      </c>
      <c r="F674" s="1">
        <v>45689</v>
      </c>
    </row>
    <row r="675" spans="1:6" x14ac:dyDescent="0.35">
      <c r="A675" t="s">
        <v>751</v>
      </c>
      <c r="B675">
        <v>1579</v>
      </c>
      <c r="C675">
        <v>50</v>
      </c>
      <c r="D675" t="s">
        <v>12</v>
      </c>
      <c r="E675">
        <v>50</v>
      </c>
      <c r="F675" s="1">
        <v>45717</v>
      </c>
    </row>
    <row r="676" spans="1:6" x14ac:dyDescent="0.35">
      <c r="A676" t="s">
        <v>752</v>
      </c>
      <c r="B676">
        <v>1579</v>
      </c>
      <c r="C676">
        <v>50</v>
      </c>
      <c r="D676" t="s">
        <v>12</v>
      </c>
      <c r="E676">
        <v>50</v>
      </c>
      <c r="F676" s="1">
        <v>45748</v>
      </c>
    </row>
    <row r="677" spans="1:6" x14ac:dyDescent="0.35">
      <c r="A677" t="s">
        <v>753</v>
      </c>
      <c r="B677">
        <v>1586</v>
      </c>
      <c r="C677">
        <v>200</v>
      </c>
      <c r="D677" t="s">
        <v>12</v>
      </c>
      <c r="E677">
        <v>200</v>
      </c>
      <c r="F677" s="1">
        <v>45689</v>
      </c>
    </row>
    <row r="678" spans="1:6" x14ac:dyDescent="0.35">
      <c r="A678" t="s">
        <v>754</v>
      </c>
      <c r="B678">
        <v>1586</v>
      </c>
      <c r="C678">
        <v>200</v>
      </c>
      <c r="D678" t="s">
        <v>12</v>
      </c>
      <c r="E678">
        <v>200</v>
      </c>
      <c r="F678" s="1">
        <v>45717</v>
      </c>
    </row>
    <row r="679" spans="1:6" x14ac:dyDescent="0.35">
      <c r="A679" t="s">
        <v>755</v>
      </c>
      <c r="B679">
        <v>1586</v>
      </c>
      <c r="C679">
        <v>200</v>
      </c>
      <c r="D679" t="s">
        <v>12</v>
      </c>
      <c r="E679">
        <v>200</v>
      </c>
      <c r="F679" s="1">
        <v>45748</v>
      </c>
    </row>
    <row r="680" spans="1:6" x14ac:dyDescent="0.35">
      <c r="A680" t="s">
        <v>756</v>
      </c>
      <c r="B680">
        <v>1586</v>
      </c>
      <c r="C680">
        <v>200</v>
      </c>
      <c r="D680" t="s">
        <v>12</v>
      </c>
      <c r="E680">
        <v>200</v>
      </c>
      <c r="F680" s="1">
        <v>45778</v>
      </c>
    </row>
    <row r="681" spans="1:6" x14ac:dyDescent="0.35">
      <c r="A681" t="s">
        <v>757</v>
      </c>
      <c r="B681">
        <v>1586</v>
      </c>
      <c r="C681">
        <v>200</v>
      </c>
      <c r="D681" t="s">
        <v>12</v>
      </c>
      <c r="E681">
        <v>200</v>
      </c>
      <c r="F681" s="1">
        <v>45809</v>
      </c>
    </row>
    <row r="682" spans="1:6" x14ac:dyDescent="0.35">
      <c r="A682" t="s">
        <v>758</v>
      </c>
      <c r="B682">
        <v>1593</v>
      </c>
      <c r="C682">
        <v>50</v>
      </c>
      <c r="D682" t="s">
        <v>12</v>
      </c>
      <c r="E682">
        <v>50</v>
      </c>
      <c r="F682" s="1">
        <v>45778</v>
      </c>
    </row>
    <row r="683" spans="1:6" x14ac:dyDescent="0.35">
      <c r="A683" t="s">
        <v>759</v>
      </c>
      <c r="B683">
        <v>1595</v>
      </c>
      <c r="C683">
        <v>200</v>
      </c>
      <c r="D683" t="s">
        <v>12</v>
      </c>
      <c r="E683">
        <v>200</v>
      </c>
      <c r="F683" s="1">
        <v>45413</v>
      </c>
    </row>
    <row r="684" spans="1:6" x14ac:dyDescent="0.35">
      <c r="A684" t="s">
        <v>760</v>
      </c>
      <c r="B684">
        <v>1595</v>
      </c>
      <c r="C684">
        <v>200</v>
      </c>
      <c r="D684" t="s">
        <v>12</v>
      </c>
      <c r="E684">
        <v>200</v>
      </c>
      <c r="F684" s="1">
        <v>45444</v>
      </c>
    </row>
    <row r="685" spans="1:6" x14ac:dyDescent="0.35">
      <c r="A685" t="s">
        <v>761</v>
      </c>
      <c r="B685">
        <v>1595</v>
      </c>
      <c r="C685">
        <v>200</v>
      </c>
      <c r="D685" t="s">
        <v>12</v>
      </c>
      <c r="E685">
        <v>200</v>
      </c>
      <c r="F685" s="1">
        <v>45474</v>
      </c>
    </row>
    <row r="686" spans="1:6" x14ac:dyDescent="0.35">
      <c r="A686" t="s">
        <v>762</v>
      </c>
      <c r="B686">
        <v>1595</v>
      </c>
      <c r="C686">
        <v>200</v>
      </c>
      <c r="D686" t="s">
        <v>12</v>
      </c>
      <c r="E686">
        <v>200</v>
      </c>
      <c r="F686" s="1">
        <v>45505</v>
      </c>
    </row>
    <row r="687" spans="1:6" x14ac:dyDescent="0.35">
      <c r="A687" t="s">
        <v>763</v>
      </c>
      <c r="B687">
        <v>1599</v>
      </c>
      <c r="C687">
        <v>200</v>
      </c>
      <c r="D687" t="s">
        <v>12</v>
      </c>
      <c r="E687">
        <v>200</v>
      </c>
      <c r="F687" s="1">
        <v>45444</v>
      </c>
    </row>
    <row r="688" spans="1:6" x14ac:dyDescent="0.35">
      <c r="A688" t="s">
        <v>764</v>
      </c>
      <c r="B688">
        <v>1599</v>
      </c>
      <c r="C688">
        <v>200</v>
      </c>
      <c r="D688" t="s">
        <v>12</v>
      </c>
      <c r="E688">
        <v>200</v>
      </c>
      <c r="F688" s="1">
        <v>45474</v>
      </c>
    </row>
    <row r="689" spans="1:6" x14ac:dyDescent="0.35">
      <c r="A689" t="s">
        <v>765</v>
      </c>
      <c r="B689">
        <v>1599</v>
      </c>
      <c r="C689">
        <v>200</v>
      </c>
      <c r="D689" t="s">
        <v>12</v>
      </c>
      <c r="E689">
        <v>200</v>
      </c>
      <c r="F689" s="1">
        <v>45505</v>
      </c>
    </row>
    <row r="690" spans="1:6" x14ac:dyDescent="0.35">
      <c r="A690" t="s">
        <v>766</v>
      </c>
      <c r="B690">
        <v>1599</v>
      </c>
      <c r="C690">
        <v>200</v>
      </c>
      <c r="D690" t="s">
        <v>12</v>
      </c>
      <c r="E690">
        <v>200</v>
      </c>
      <c r="F690" s="1">
        <v>45536</v>
      </c>
    </row>
    <row r="691" spans="1:6" x14ac:dyDescent="0.35">
      <c r="A691" t="s">
        <v>767</v>
      </c>
      <c r="B691">
        <v>1599</v>
      </c>
      <c r="C691">
        <v>200</v>
      </c>
      <c r="D691" t="s">
        <v>12</v>
      </c>
      <c r="E691">
        <v>200</v>
      </c>
      <c r="F691" s="1">
        <v>45566</v>
      </c>
    </row>
    <row r="692" spans="1:6" x14ac:dyDescent="0.35">
      <c r="A692" t="s">
        <v>768</v>
      </c>
      <c r="B692">
        <v>1599</v>
      </c>
      <c r="C692">
        <v>200</v>
      </c>
      <c r="D692" t="s">
        <v>12</v>
      </c>
      <c r="E692">
        <v>200</v>
      </c>
      <c r="F692" s="1">
        <v>45597</v>
      </c>
    </row>
    <row r="693" spans="1:6" x14ac:dyDescent="0.35">
      <c r="A693" t="s">
        <v>769</v>
      </c>
      <c r="B693">
        <v>1599</v>
      </c>
      <c r="C693">
        <v>200</v>
      </c>
      <c r="D693" t="s">
        <v>12</v>
      </c>
      <c r="E693">
        <v>200</v>
      </c>
      <c r="F693" s="1">
        <v>45627</v>
      </c>
    </row>
    <row r="694" spans="1:6" x14ac:dyDescent="0.35">
      <c r="A694" t="s">
        <v>770</v>
      </c>
      <c r="B694">
        <v>1599</v>
      </c>
      <c r="C694">
        <v>200</v>
      </c>
      <c r="D694" t="s">
        <v>12</v>
      </c>
      <c r="E694">
        <v>200</v>
      </c>
      <c r="F694" s="1">
        <v>45658</v>
      </c>
    </row>
    <row r="695" spans="1:6" x14ac:dyDescent="0.35">
      <c r="A695" t="s">
        <v>771</v>
      </c>
      <c r="B695">
        <v>1599</v>
      </c>
      <c r="C695">
        <v>200</v>
      </c>
      <c r="D695" t="s">
        <v>12</v>
      </c>
      <c r="E695">
        <v>200</v>
      </c>
      <c r="F695" s="1">
        <v>45689</v>
      </c>
    </row>
    <row r="696" spans="1:6" x14ac:dyDescent="0.35">
      <c r="A696" t="s">
        <v>772</v>
      </c>
      <c r="B696">
        <v>1602</v>
      </c>
      <c r="C696">
        <v>50</v>
      </c>
      <c r="D696" t="s">
        <v>12</v>
      </c>
      <c r="E696">
        <v>50</v>
      </c>
      <c r="F696" s="1">
        <v>45809</v>
      </c>
    </row>
    <row r="697" spans="1:6" x14ac:dyDescent="0.35">
      <c r="A697" t="s">
        <v>773</v>
      </c>
      <c r="B697">
        <v>1607</v>
      </c>
      <c r="C697">
        <v>200</v>
      </c>
      <c r="D697" t="s">
        <v>12</v>
      </c>
      <c r="E697">
        <v>200</v>
      </c>
      <c r="F697" s="1">
        <v>45717</v>
      </c>
    </row>
    <row r="698" spans="1:6" x14ac:dyDescent="0.35">
      <c r="A698" t="s">
        <v>774</v>
      </c>
      <c r="B698">
        <v>1607</v>
      </c>
      <c r="C698">
        <v>200</v>
      </c>
      <c r="D698" t="s">
        <v>12</v>
      </c>
      <c r="E698">
        <v>200</v>
      </c>
      <c r="F698" s="1">
        <v>45748</v>
      </c>
    </row>
    <row r="699" spans="1:6" x14ac:dyDescent="0.35">
      <c r="A699" t="s">
        <v>775</v>
      </c>
      <c r="B699">
        <v>1607</v>
      </c>
      <c r="C699">
        <v>200</v>
      </c>
      <c r="D699" t="s">
        <v>12</v>
      </c>
      <c r="E699">
        <v>200</v>
      </c>
      <c r="F699" s="1">
        <v>45778</v>
      </c>
    </row>
    <row r="700" spans="1:6" x14ac:dyDescent="0.35">
      <c r="A700" t="s">
        <v>776</v>
      </c>
      <c r="B700">
        <v>1616</v>
      </c>
      <c r="C700">
        <v>500</v>
      </c>
      <c r="D700" t="s">
        <v>12</v>
      </c>
      <c r="E700">
        <v>500</v>
      </c>
      <c r="F700" s="1">
        <v>45383</v>
      </c>
    </row>
    <row r="701" spans="1:6" x14ac:dyDescent="0.35">
      <c r="A701" t="s">
        <v>777</v>
      </c>
      <c r="B701">
        <v>1616</v>
      </c>
      <c r="C701">
        <v>500</v>
      </c>
      <c r="D701" t="s">
        <v>12</v>
      </c>
      <c r="E701">
        <v>500</v>
      </c>
      <c r="F701" s="1">
        <v>45413</v>
      </c>
    </row>
    <row r="702" spans="1:6" x14ac:dyDescent="0.35">
      <c r="A702" t="s">
        <v>778</v>
      </c>
      <c r="B702">
        <v>1616</v>
      </c>
      <c r="C702">
        <v>500</v>
      </c>
      <c r="D702" t="s">
        <v>12</v>
      </c>
      <c r="E702">
        <v>500</v>
      </c>
      <c r="F702" s="1">
        <v>45444</v>
      </c>
    </row>
    <row r="703" spans="1:6" x14ac:dyDescent="0.35">
      <c r="A703" t="s">
        <v>779</v>
      </c>
      <c r="B703">
        <v>1616</v>
      </c>
      <c r="C703">
        <v>500</v>
      </c>
      <c r="D703" t="s">
        <v>12</v>
      </c>
      <c r="E703">
        <v>500</v>
      </c>
      <c r="F703" s="1">
        <v>45474</v>
      </c>
    </row>
    <row r="704" spans="1:6" x14ac:dyDescent="0.35">
      <c r="A704" t="s">
        <v>780</v>
      </c>
      <c r="B704">
        <v>1616</v>
      </c>
      <c r="C704">
        <v>500</v>
      </c>
      <c r="D704" t="s">
        <v>12</v>
      </c>
      <c r="E704">
        <v>500</v>
      </c>
      <c r="F704" s="1">
        <v>45505</v>
      </c>
    </row>
    <row r="705" spans="1:6" x14ac:dyDescent="0.35">
      <c r="A705" t="s">
        <v>781</v>
      </c>
      <c r="B705">
        <v>1616</v>
      </c>
      <c r="C705">
        <v>500</v>
      </c>
      <c r="D705" t="s">
        <v>12</v>
      </c>
      <c r="E705">
        <v>500</v>
      </c>
      <c r="F705" s="1">
        <v>45536</v>
      </c>
    </row>
    <row r="706" spans="1:6" x14ac:dyDescent="0.35">
      <c r="A706" t="s">
        <v>782</v>
      </c>
      <c r="B706">
        <v>1616</v>
      </c>
      <c r="C706">
        <v>500</v>
      </c>
      <c r="D706" t="s">
        <v>12</v>
      </c>
      <c r="E706">
        <v>500</v>
      </c>
      <c r="F706" s="1">
        <v>45566</v>
      </c>
    </row>
    <row r="707" spans="1:6" x14ac:dyDescent="0.35">
      <c r="A707" t="s">
        <v>783</v>
      </c>
      <c r="B707">
        <v>1616</v>
      </c>
      <c r="C707">
        <v>500</v>
      </c>
      <c r="D707" t="s">
        <v>12</v>
      </c>
      <c r="E707">
        <v>500</v>
      </c>
      <c r="F707" s="1">
        <v>45597</v>
      </c>
    </row>
    <row r="708" spans="1:6" x14ac:dyDescent="0.35">
      <c r="A708" t="s">
        <v>784</v>
      </c>
      <c r="B708">
        <v>1616</v>
      </c>
      <c r="C708">
        <v>500</v>
      </c>
      <c r="D708" t="s">
        <v>12</v>
      </c>
      <c r="E708">
        <v>500</v>
      </c>
      <c r="F708" s="1">
        <v>45627</v>
      </c>
    </row>
    <row r="709" spans="1:6" x14ac:dyDescent="0.35">
      <c r="A709" t="s">
        <v>785</v>
      </c>
      <c r="B709">
        <v>1616</v>
      </c>
      <c r="C709">
        <v>500</v>
      </c>
      <c r="D709" t="s">
        <v>12</v>
      </c>
      <c r="E709">
        <v>500</v>
      </c>
      <c r="F709" s="1">
        <v>45658</v>
      </c>
    </row>
    <row r="710" spans="1:6" x14ac:dyDescent="0.35">
      <c r="A710" t="s">
        <v>786</v>
      </c>
      <c r="B710">
        <v>1616</v>
      </c>
      <c r="C710">
        <v>500</v>
      </c>
      <c r="D710" t="s">
        <v>12</v>
      </c>
      <c r="E710">
        <v>500</v>
      </c>
      <c r="F710" s="1">
        <v>45689</v>
      </c>
    </row>
    <row r="711" spans="1:6" x14ac:dyDescent="0.35">
      <c r="A711" t="s">
        <v>787</v>
      </c>
      <c r="B711">
        <v>1616</v>
      </c>
      <c r="C711">
        <v>500</v>
      </c>
      <c r="D711" t="s">
        <v>12</v>
      </c>
      <c r="E711">
        <v>500</v>
      </c>
      <c r="F711" s="1">
        <v>45717</v>
      </c>
    </row>
    <row r="712" spans="1:6" x14ac:dyDescent="0.35">
      <c r="A712" t="s">
        <v>788</v>
      </c>
      <c r="B712">
        <v>1617</v>
      </c>
      <c r="C712">
        <v>50</v>
      </c>
      <c r="D712" t="s">
        <v>12</v>
      </c>
      <c r="E712">
        <v>50</v>
      </c>
      <c r="F712" s="1">
        <v>45292</v>
      </c>
    </row>
    <row r="713" spans="1:6" x14ac:dyDescent="0.35">
      <c r="A713" t="s">
        <v>789</v>
      </c>
      <c r="B713">
        <v>1617</v>
      </c>
      <c r="C713">
        <v>50</v>
      </c>
      <c r="D713" t="s">
        <v>12</v>
      </c>
      <c r="E713">
        <v>50</v>
      </c>
      <c r="F713" s="1">
        <v>45323</v>
      </c>
    </row>
    <row r="714" spans="1:6" x14ac:dyDescent="0.35">
      <c r="A714" t="s">
        <v>790</v>
      </c>
      <c r="B714">
        <v>1617</v>
      </c>
      <c r="C714">
        <v>50</v>
      </c>
      <c r="D714" t="s">
        <v>12</v>
      </c>
      <c r="E714">
        <v>50</v>
      </c>
      <c r="F714" s="1">
        <v>45352</v>
      </c>
    </row>
    <row r="715" spans="1:6" x14ac:dyDescent="0.35">
      <c r="A715" t="s">
        <v>791</v>
      </c>
      <c r="B715">
        <v>1617</v>
      </c>
      <c r="C715">
        <v>50</v>
      </c>
      <c r="D715" t="s">
        <v>12</v>
      </c>
      <c r="E715">
        <v>50</v>
      </c>
      <c r="F715" s="1">
        <v>45383</v>
      </c>
    </row>
    <row r="716" spans="1:6" x14ac:dyDescent="0.35">
      <c r="A716" t="s">
        <v>792</v>
      </c>
      <c r="B716">
        <v>1617</v>
      </c>
      <c r="C716">
        <v>50</v>
      </c>
      <c r="D716" t="s">
        <v>12</v>
      </c>
      <c r="E716">
        <v>50</v>
      </c>
      <c r="F716" s="1">
        <v>45413</v>
      </c>
    </row>
    <row r="717" spans="1:6" x14ac:dyDescent="0.35">
      <c r="A717" t="s">
        <v>793</v>
      </c>
      <c r="B717">
        <v>1617</v>
      </c>
      <c r="C717">
        <v>50</v>
      </c>
      <c r="D717" t="s">
        <v>12</v>
      </c>
      <c r="E717">
        <v>50</v>
      </c>
      <c r="F717" s="1">
        <v>45444</v>
      </c>
    </row>
    <row r="718" spans="1:6" x14ac:dyDescent="0.35">
      <c r="A718" t="s">
        <v>794</v>
      </c>
      <c r="B718">
        <v>1617</v>
      </c>
      <c r="C718">
        <v>50</v>
      </c>
      <c r="D718" t="s">
        <v>12</v>
      </c>
      <c r="E718">
        <v>50</v>
      </c>
      <c r="F718" s="1">
        <v>45474</v>
      </c>
    </row>
    <row r="719" spans="1:6" x14ac:dyDescent="0.35">
      <c r="A719" t="s">
        <v>795</v>
      </c>
      <c r="B719">
        <v>1617</v>
      </c>
      <c r="C719">
        <v>50</v>
      </c>
      <c r="D719" t="s">
        <v>12</v>
      </c>
      <c r="E719">
        <v>50</v>
      </c>
      <c r="F719" s="1">
        <v>45505</v>
      </c>
    </row>
    <row r="720" spans="1:6" x14ac:dyDescent="0.35">
      <c r="A720" t="s">
        <v>796</v>
      </c>
      <c r="B720">
        <v>1617</v>
      </c>
      <c r="C720">
        <v>50</v>
      </c>
      <c r="D720" t="s">
        <v>12</v>
      </c>
      <c r="E720">
        <v>50</v>
      </c>
      <c r="F720" s="1">
        <v>45536</v>
      </c>
    </row>
    <row r="721" spans="1:6" x14ac:dyDescent="0.35">
      <c r="A721" t="s">
        <v>797</v>
      </c>
      <c r="B721">
        <v>1617</v>
      </c>
      <c r="C721">
        <v>50</v>
      </c>
      <c r="D721" t="s">
        <v>12</v>
      </c>
      <c r="E721">
        <v>50</v>
      </c>
      <c r="F721" s="1">
        <v>45566</v>
      </c>
    </row>
    <row r="722" spans="1:6" x14ac:dyDescent="0.35">
      <c r="A722" t="s">
        <v>798</v>
      </c>
      <c r="B722">
        <v>1617</v>
      </c>
      <c r="C722">
        <v>50</v>
      </c>
      <c r="D722" t="s">
        <v>12</v>
      </c>
      <c r="E722">
        <v>50</v>
      </c>
      <c r="F722" s="1">
        <v>45597</v>
      </c>
    </row>
    <row r="723" spans="1:6" x14ac:dyDescent="0.35">
      <c r="A723" t="s">
        <v>799</v>
      </c>
      <c r="B723">
        <v>1617</v>
      </c>
      <c r="C723">
        <v>50</v>
      </c>
      <c r="D723" t="s">
        <v>12</v>
      </c>
      <c r="E723">
        <v>50</v>
      </c>
      <c r="F723" s="1">
        <v>45627</v>
      </c>
    </row>
    <row r="724" spans="1:6" x14ac:dyDescent="0.35">
      <c r="A724" t="s">
        <v>800</v>
      </c>
      <c r="B724">
        <v>1617</v>
      </c>
      <c r="C724">
        <v>50</v>
      </c>
      <c r="D724" t="s">
        <v>12</v>
      </c>
      <c r="E724">
        <v>50</v>
      </c>
      <c r="F724" s="1">
        <v>45658</v>
      </c>
    </row>
    <row r="725" spans="1:6" x14ac:dyDescent="0.35">
      <c r="A725" t="s">
        <v>801</v>
      </c>
      <c r="B725">
        <v>1617</v>
      </c>
      <c r="C725">
        <v>50</v>
      </c>
      <c r="D725" t="s">
        <v>12</v>
      </c>
      <c r="E725">
        <v>50</v>
      </c>
      <c r="F725" s="1">
        <v>45689</v>
      </c>
    </row>
    <row r="726" spans="1:6" x14ac:dyDescent="0.35">
      <c r="A726" t="s">
        <v>802</v>
      </c>
      <c r="B726">
        <v>1624</v>
      </c>
      <c r="C726">
        <v>500</v>
      </c>
      <c r="D726" t="s">
        <v>12</v>
      </c>
      <c r="E726">
        <v>500</v>
      </c>
      <c r="F726" s="1">
        <v>45474</v>
      </c>
    </row>
    <row r="727" spans="1:6" x14ac:dyDescent="0.35">
      <c r="A727" t="s">
        <v>803</v>
      </c>
      <c r="B727">
        <v>1624</v>
      </c>
      <c r="C727">
        <v>500</v>
      </c>
      <c r="D727" t="s">
        <v>12</v>
      </c>
      <c r="E727">
        <v>500</v>
      </c>
      <c r="F727" s="1">
        <v>45505</v>
      </c>
    </row>
    <row r="728" spans="1:6" x14ac:dyDescent="0.35">
      <c r="A728" t="s">
        <v>804</v>
      </c>
      <c r="B728">
        <v>1629</v>
      </c>
      <c r="C728">
        <v>200</v>
      </c>
      <c r="D728" t="s">
        <v>12</v>
      </c>
      <c r="E728">
        <v>200</v>
      </c>
      <c r="F728" s="1">
        <v>45597</v>
      </c>
    </row>
    <row r="729" spans="1:6" x14ac:dyDescent="0.35">
      <c r="A729" t="s">
        <v>805</v>
      </c>
      <c r="B729">
        <v>1629</v>
      </c>
      <c r="C729">
        <v>200</v>
      </c>
      <c r="D729" t="s">
        <v>12</v>
      </c>
      <c r="E729">
        <v>200</v>
      </c>
      <c r="F729" s="1">
        <v>45627</v>
      </c>
    </row>
    <row r="730" spans="1:6" x14ac:dyDescent="0.35">
      <c r="A730" t="s">
        <v>806</v>
      </c>
      <c r="B730">
        <v>1629</v>
      </c>
      <c r="C730">
        <v>200</v>
      </c>
      <c r="D730" t="s">
        <v>12</v>
      </c>
      <c r="E730">
        <v>200</v>
      </c>
      <c r="F730" s="1">
        <v>45658</v>
      </c>
    </row>
    <row r="731" spans="1:6" x14ac:dyDescent="0.35">
      <c r="A731" t="s">
        <v>807</v>
      </c>
      <c r="B731">
        <v>1629</v>
      </c>
      <c r="C731">
        <v>200</v>
      </c>
      <c r="D731" t="s">
        <v>12</v>
      </c>
      <c r="E731">
        <v>200</v>
      </c>
      <c r="F731" s="1">
        <v>45689</v>
      </c>
    </row>
    <row r="732" spans="1:6" x14ac:dyDescent="0.35">
      <c r="A732" t="s">
        <v>808</v>
      </c>
      <c r="B732">
        <v>1629</v>
      </c>
      <c r="C732">
        <v>200</v>
      </c>
      <c r="D732" t="s">
        <v>12</v>
      </c>
      <c r="E732">
        <v>200</v>
      </c>
      <c r="F732" s="1">
        <v>45717</v>
      </c>
    </row>
    <row r="733" spans="1:6" x14ac:dyDescent="0.35">
      <c r="A733" t="s">
        <v>809</v>
      </c>
      <c r="B733">
        <v>1629</v>
      </c>
      <c r="C733">
        <v>200</v>
      </c>
      <c r="D733" t="s">
        <v>12</v>
      </c>
      <c r="E733">
        <v>200</v>
      </c>
      <c r="F733" s="1">
        <v>45748</v>
      </c>
    </row>
    <row r="734" spans="1:6" x14ac:dyDescent="0.35">
      <c r="A734" t="s">
        <v>810</v>
      </c>
      <c r="B734">
        <v>1656</v>
      </c>
      <c r="C734">
        <v>200</v>
      </c>
      <c r="D734" t="s">
        <v>12</v>
      </c>
      <c r="E734">
        <v>200</v>
      </c>
      <c r="F734" s="1">
        <v>45566</v>
      </c>
    </row>
    <row r="735" spans="1:6" x14ac:dyDescent="0.35">
      <c r="A735" t="s">
        <v>811</v>
      </c>
      <c r="B735">
        <v>1656</v>
      </c>
      <c r="C735">
        <v>200</v>
      </c>
      <c r="D735" t="s">
        <v>12</v>
      </c>
      <c r="E735">
        <v>200</v>
      </c>
      <c r="F735" s="1">
        <v>45597</v>
      </c>
    </row>
    <row r="736" spans="1:6" x14ac:dyDescent="0.35">
      <c r="A736" t="s">
        <v>812</v>
      </c>
      <c r="B736">
        <v>1656</v>
      </c>
      <c r="C736">
        <v>200</v>
      </c>
      <c r="D736" t="s">
        <v>12</v>
      </c>
      <c r="E736">
        <v>200</v>
      </c>
      <c r="F736" s="1">
        <v>45627</v>
      </c>
    </row>
    <row r="737" spans="1:6" x14ac:dyDescent="0.35">
      <c r="A737" t="s">
        <v>813</v>
      </c>
      <c r="B737">
        <v>1656</v>
      </c>
      <c r="C737">
        <v>200</v>
      </c>
      <c r="D737" t="s">
        <v>12</v>
      </c>
      <c r="E737">
        <v>200</v>
      </c>
      <c r="F737" s="1">
        <v>45658</v>
      </c>
    </row>
    <row r="738" spans="1:6" x14ac:dyDescent="0.35">
      <c r="A738" t="s">
        <v>814</v>
      </c>
      <c r="B738">
        <v>1672</v>
      </c>
      <c r="C738">
        <v>50</v>
      </c>
      <c r="D738" t="s">
        <v>12</v>
      </c>
      <c r="E738">
        <v>50</v>
      </c>
      <c r="F738" s="1">
        <v>45505</v>
      </c>
    </row>
    <row r="739" spans="1:6" x14ac:dyDescent="0.35">
      <c r="A739" t="s">
        <v>815</v>
      </c>
      <c r="B739">
        <v>1672</v>
      </c>
      <c r="C739">
        <v>50</v>
      </c>
      <c r="D739" t="s">
        <v>12</v>
      </c>
      <c r="E739">
        <v>50</v>
      </c>
      <c r="F739" s="1">
        <v>45536</v>
      </c>
    </row>
    <row r="740" spans="1:6" x14ac:dyDescent="0.35">
      <c r="A740" t="s">
        <v>816</v>
      </c>
      <c r="B740">
        <v>1683</v>
      </c>
      <c r="C740">
        <v>200</v>
      </c>
      <c r="D740" t="s">
        <v>12</v>
      </c>
      <c r="E740">
        <v>200</v>
      </c>
      <c r="F740" s="1">
        <v>45352</v>
      </c>
    </row>
    <row r="741" spans="1:6" x14ac:dyDescent="0.35">
      <c r="A741" t="s">
        <v>817</v>
      </c>
      <c r="B741">
        <v>1683</v>
      </c>
      <c r="C741">
        <v>200</v>
      </c>
      <c r="D741" t="s">
        <v>12</v>
      </c>
      <c r="E741">
        <v>200</v>
      </c>
      <c r="F741" s="1">
        <v>45383</v>
      </c>
    </row>
    <row r="742" spans="1:6" x14ac:dyDescent="0.35">
      <c r="A742" t="s">
        <v>818</v>
      </c>
      <c r="B742">
        <v>1683</v>
      </c>
      <c r="C742">
        <v>200</v>
      </c>
      <c r="D742" t="s">
        <v>12</v>
      </c>
      <c r="E742">
        <v>200</v>
      </c>
      <c r="F742" s="1">
        <v>45413</v>
      </c>
    </row>
    <row r="743" spans="1:6" x14ac:dyDescent="0.35">
      <c r="A743" t="s">
        <v>819</v>
      </c>
      <c r="B743">
        <v>1683</v>
      </c>
      <c r="C743">
        <v>200</v>
      </c>
      <c r="D743" t="s">
        <v>12</v>
      </c>
      <c r="E743">
        <v>200</v>
      </c>
      <c r="F743" s="1">
        <v>45444</v>
      </c>
    </row>
    <row r="744" spans="1:6" x14ac:dyDescent="0.35">
      <c r="A744" t="s">
        <v>820</v>
      </c>
      <c r="B744">
        <v>1683</v>
      </c>
      <c r="C744">
        <v>200</v>
      </c>
      <c r="D744" t="s">
        <v>12</v>
      </c>
      <c r="E744">
        <v>200</v>
      </c>
      <c r="F744" s="1">
        <v>45474</v>
      </c>
    </row>
    <row r="745" spans="1:6" x14ac:dyDescent="0.35">
      <c r="A745" t="s">
        <v>821</v>
      </c>
      <c r="B745">
        <v>1683</v>
      </c>
      <c r="C745">
        <v>200</v>
      </c>
      <c r="D745" t="s">
        <v>12</v>
      </c>
      <c r="E745">
        <v>200</v>
      </c>
      <c r="F745" s="1">
        <v>45505</v>
      </c>
    </row>
    <row r="746" spans="1:6" x14ac:dyDescent="0.35">
      <c r="A746" t="s">
        <v>822</v>
      </c>
      <c r="B746">
        <v>1683</v>
      </c>
      <c r="C746">
        <v>200</v>
      </c>
      <c r="D746" t="s">
        <v>12</v>
      </c>
      <c r="E746">
        <v>200</v>
      </c>
      <c r="F746" s="1">
        <v>45536</v>
      </c>
    </row>
    <row r="747" spans="1:6" x14ac:dyDescent="0.35">
      <c r="A747" t="s">
        <v>823</v>
      </c>
      <c r="B747">
        <v>1683</v>
      </c>
      <c r="C747">
        <v>200</v>
      </c>
      <c r="D747" t="s">
        <v>12</v>
      </c>
      <c r="E747">
        <v>200</v>
      </c>
      <c r="F747" s="1">
        <v>45566</v>
      </c>
    </row>
    <row r="748" spans="1:6" x14ac:dyDescent="0.35">
      <c r="A748" t="s">
        <v>824</v>
      </c>
      <c r="B748">
        <v>1683</v>
      </c>
      <c r="C748">
        <v>200</v>
      </c>
      <c r="D748" t="s">
        <v>12</v>
      </c>
      <c r="E748">
        <v>200</v>
      </c>
      <c r="F748" s="1">
        <v>45597</v>
      </c>
    </row>
    <row r="749" spans="1:6" x14ac:dyDescent="0.35">
      <c r="A749" t="s">
        <v>825</v>
      </c>
      <c r="B749">
        <v>1683</v>
      </c>
      <c r="C749">
        <v>200</v>
      </c>
      <c r="D749" t="s">
        <v>12</v>
      </c>
      <c r="E749">
        <v>200</v>
      </c>
      <c r="F749" s="1">
        <v>45627</v>
      </c>
    </row>
    <row r="750" spans="1:6" x14ac:dyDescent="0.35">
      <c r="A750" t="s">
        <v>826</v>
      </c>
      <c r="B750">
        <v>1683</v>
      </c>
      <c r="C750">
        <v>200</v>
      </c>
      <c r="D750" t="s">
        <v>12</v>
      </c>
      <c r="E750">
        <v>200</v>
      </c>
      <c r="F750" s="1">
        <v>45658</v>
      </c>
    </row>
    <row r="751" spans="1:6" x14ac:dyDescent="0.35">
      <c r="A751" t="s">
        <v>827</v>
      </c>
      <c r="B751">
        <v>1683</v>
      </c>
      <c r="C751">
        <v>200</v>
      </c>
      <c r="D751" t="s">
        <v>12</v>
      </c>
      <c r="E751">
        <v>200</v>
      </c>
      <c r="F751" s="1">
        <v>45689</v>
      </c>
    </row>
    <row r="752" spans="1:6" x14ac:dyDescent="0.35">
      <c r="A752" t="s">
        <v>828</v>
      </c>
      <c r="B752">
        <v>1683</v>
      </c>
      <c r="C752">
        <v>200</v>
      </c>
      <c r="D752" t="s">
        <v>12</v>
      </c>
      <c r="E752">
        <v>200</v>
      </c>
      <c r="F752" s="1">
        <v>45717</v>
      </c>
    </row>
    <row r="753" spans="1:6" x14ac:dyDescent="0.35">
      <c r="A753" t="s">
        <v>829</v>
      </c>
      <c r="B753">
        <v>1683</v>
      </c>
      <c r="C753">
        <v>200</v>
      </c>
      <c r="D753" t="s">
        <v>12</v>
      </c>
      <c r="E753">
        <v>200</v>
      </c>
      <c r="F753" s="1">
        <v>45748</v>
      </c>
    </row>
    <row r="754" spans="1:6" x14ac:dyDescent="0.35">
      <c r="A754" t="s">
        <v>830</v>
      </c>
      <c r="B754">
        <v>1683</v>
      </c>
      <c r="C754">
        <v>200</v>
      </c>
      <c r="D754" t="s">
        <v>12</v>
      </c>
      <c r="E754">
        <v>200</v>
      </c>
      <c r="F754" s="1">
        <v>45778</v>
      </c>
    </row>
    <row r="755" spans="1:6" x14ac:dyDescent="0.35">
      <c r="A755" t="s">
        <v>831</v>
      </c>
      <c r="B755">
        <v>1683</v>
      </c>
      <c r="C755">
        <v>200</v>
      </c>
      <c r="D755" t="s">
        <v>12</v>
      </c>
      <c r="E755">
        <v>200</v>
      </c>
      <c r="F755" s="1">
        <v>45809</v>
      </c>
    </row>
    <row r="756" spans="1:6" x14ac:dyDescent="0.35">
      <c r="A756" t="s">
        <v>832</v>
      </c>
      <c r="B756">
        <v>1686</v>
      </c>
      <c r="C756">
        <v>50</v>
      </c>
      <c r="D756" t="s">
        <v>12</v>
      </c>
      <c r="E756">
        <v>50</v>
      </c>
      <c r="F756" s="1">
        <v>45383</v>
      </c>
    </row>
    <row r="757" spans="1:6" x14ac:dyDescent="0.35">
      <c r="A757" t="s">
        <v>833</v>
      </c>
      <c r="B757">
        <v>1686</v>
      </c>
      <c r="C757">
        <v>50</v>
      </c>
      <c r="D757" t="s">
        <v>12</v>
      </c>
      <c r="E757">
        <v>50</v>
      </c>
      <c r="F757" s="1">
        <v>45413</v>
      </c>
    </row>
    <row r="758" spans="1:6" x14ac:dyDescent="0.35">
      <c r="A758" t="s">
        <v>834</v>
      </c>
      <c r="B758">
        <v>1686</v>
      </c>
      <c r="C758">
        <v>50</v>
      </c>
      <c r="D758" t="s">
        <v>12</v>
      </c>
      <c r="E758">
        <v>50</v>
      </c>
      <c r="F758" s="1">
        <v>45444</v>
      </c>
    </row>
    <row r="759" spans="1:6" x14ac:dyDescent="0.35">
      <c r="A759" t="s">
        <v>835</v>
      </c>
      <c r="B759">
        <v>1686</v>
      </c>
      <c r="C759">
        <v>50</v>
      </c>
      <c r="D759" t="s">
        <v>12</v>
      </c>
      <c r="E759">
        <v>50</v>
      </c>
      <c r="F759" s="1">
        <v>45474</v>
      </c>
    </row>
    <row r="760" spans="1:6" x14ac:dyDescent="0.35">
      <c r="A760" t="s">
        <v>836</v>
      </c>
      <c r="B760">
        <v>1686</v>
      </c>
      <c r="C760">
        <v>50</v>
      </c>
      <c r="D760" t="s">
        <v>12</v>
      </c>
      <c r="E760">
        <v>50</v>
      </c>
      <c r="F760" s="1">
        <v>45505</v>
      </c>
    </row>
    <row r="761" spans="1:6" x14ac:dyDescent="0.35">
      <c r="A761" t="s">
        <v>837</v>
      </c>
      <c r="B761">
        <v>1686</v>
      </c>
      <c r="C761">
        <v>50</v>
      </c>
      <c r="D761" t="s">
        <v>12</v>
      </c>
      <c r="E761">
        <v>50</v>
      </c>
      <c r="F761" s="1">
        <v>45536</v>
      </c>
    </row>
    <row r="762" spans="1:6" x14ac:dyDescent="0.35">
      <c r="A762" t="s">
        <v>838</v>
      </c>
      <c r="B762">
        <v>1686</v>
      </c>
      <c r="C762">
        <v>50</v>
      </c>
      <c r="D762" t="s">
        <v>12</v>
      </c>
      <c r="E762">
        <v>50</v>
      </c>
      <c r="F762" s="1">
        <v>45566</v>
      </c>
    </row>
    <row r="763" spans="1:6" x14ac:dyDescent="0.35">
      <c r="A763" t="s">
        <v>839</v>
      </c>
      <c r="B763">
        <v>1686</v>
      </c>
      <c r="C763">
        <v>50</v>
      </c>
      <c r="D763" t="s">
        <v>12</v>
      </c>
      <c r="E763">
        <v>50</v>
      </c>
      <c r="F763" s="1">
        <v>45597</v>
      </c>
    </row>
    <row r="764" spans="1:6" x14ac:dyDescent="0.35">
      <c r="A764" t="s">
        <v>840</v>
      </c>
      <c r="B764">
        <v>1686</v>
      </c>
      <c r="C764">
        <v>50</v>
      </c>
      <c r="D764" t="s">
        <v>12</v>
      </c>
      <c r="E764">
        <v>50</v>
      </c>
      <c r="F764" s="1">
        <v>45627</v>
      </c>
    </row>
    <row r="765" spans="1:6" x14ac:dyDescent="0.35">
      <c r="A765" t="s">
        <v>841</v>
      </c>
      <c r="B765">
        <v>1686</v>
      </c>
      <c r="C765">
        <v>50</v>
      </c>
      <c r="D765" t="s">
        <v>12</v>
      </c>
      <c r="E765">
        <v>50</v>
      </c>
      <c r="F765" s="1">
        <v>45658</v>
      </c>
    </row>
    <row r="766" spans="1:6" x14ac:dyDescent="0.35">
      <c r="A766" t="s">
        <v>842</v>
      </c>
      <c r="B766">
        <v>1686</v>
      </c>
      <c r="C766">
        <v>50</v>
      </c>
      <c r="D766" t="s">
        <v>12</v>
      </c>
      <c r="E766">
        <v>50</v>
      </c>
      <c r="F766" s="1">
        <v>45689</v>
      </c>
    </row>
    <row r="767" spans="1:6" x14ac:dyDescent="0.35">
      <c r="A767" t="s">
        <v>843</v>
      </c>
      <c r="B767">
        <v>1686</v>
      </c>
      <c r="C767">
        <v>50</v>
      </c>
      <c r="D767" t="s">
        <v>12</v>
      </c>
      <c r="E767">
        <v>50</v>
      </c>
      <c r="F767" s="1">
        <v>45717</v>
      </c>
    </row>
    <row r="768" spans="1:6" x14ac:dyDescent="0.35">
      <c r="A768" t="s">
        <v>844</v>
      </c>
      <c r="B768">
        <v>1686</v>
      </c>
      <c r="C768">
        <v>50</v>
      </c>
      <c r="D768" t="s">
        <v>12</v>
      </c>
      <c r="E768">
        <v>50</v>
      </c>
      <c r="F768" s="1">
        <v>45748</v>
      </c>
    </row>
    <row r="769" spans="1:6" x14ac:dyDescent="0.35">
      <c r="A769" t="s">
        <v>845</v>
      </c>
      <c r="B769">
        <v>1697</v>
      </c>
      <c r="C769">
        <v>50</v>
      </c>
      <c r="D769" t="s">
        <v>12</v>
      </c>
      <c r="E769">
        <v>50</v>
      </c>
      <c r="F769" s="1">
        <v>45748</v>
      </c>
    </row>
    <row r="770" spans="1:6" x14ac:dyDescent="0.35">
      <c r="A770" t="s">
        <v>846</v>
      </c>
      <c r="B770">
        <v>1697</v>
      </c>
      <c r="C770">
        <v>50</v>
      </c>
      <c r="D770" t="s">
        <v>12</v>
      </c>
      <c r="E770">
        <v>50</v>
      </c>
      <c r="F770" s="1">
        <v>45778</v>
      </c>
    </row>
    <row r="771" spans="1:6" x14ac:dyDescent="0.35">
      <c r="A771" t="s">
        <v>847</v>
      </c>
      <c r="B771">
        <v>1709</v>
      </c>
      <c r="C771">
        <v>200</v>
      </c>
      <c r="D771" t="s">
        <v>12</v>
      </c>
      <c r="E771">
        <v>200</v>
      </c>
      <c r="F771" s="1">
        <v>45474</v>
      </c>
    </row>
    <row r="772" spans="1:6" x14ac:dyDescent="0.35">
      <c r="A772" t="s">
        <v>848</v>
      </c>
      <c r="B772">
        <v>1709</v>
      </c>
      <c r="C772">
        <v>200</v>
      </c>
      <c r="D772" t="s">
        <v>12</v>
      </c>
      <c r="E772">
        <v>200</v>
      </c>
      <c r="F772" s="1">
        <v>45505</v>
      </c>
    </row>
    <row r="773" spans="1:6" x14ac:dyDescent="0.35">
      <c r="A773" t="s">
        <v>849</v>
      </c>
      <c r="B773">
        <v>1709</v>
      </c>
      <c r="C773">
        <v>200</v>
      </c>
      <c r="D773" t="s">
        <v>12</v>
      </c>
      <c r="E773">
        <v>200</v>
      </c>
      <c r="F773" s="1">
        <v>45536</v>
      </c>
    </row>
    <row r="774" spans="1:6" x14ac:dyDescent="0.35">
      <c r="A774" t="s">
        <v>850</v>
      </c>
      <c r="B774">
        <v>1709</v>
      </c>
      <c r="C774">
        <v>200</v>
      </c>
      <c r="D774" t="s">
        <v>12</v>
      </c>
      <c r="E774">
        <v>200</v>
      </c>
      <c r="F774" s="1">
        <v>45566</v>
      </c>
    </row>
    <row r="775" spans="1:6" x14ac:dyDescent="0.35">
      <c r="A775" t="s">
        <v>851</v>
      </c>
      <c r="B775">
        <v>1709</v>
      </c>
      <c r="C775">
        <v>200</v>
      </c>
      <c r="D775" t="s">
        <v>12</v>
      </c>
      <c r="E775">
        <v>200</v>
      </c>
      <c r="F775" s="1">
        <v>45597</v>
      </c>
    </row>
    <row r="776" spans="1:6" x14ac:dyDescent="0.35">
      <c r="A776" t="s">
        <v>852</v>
      </c>
      <c r="B776">
        <v>1709</v>
      </c>
      <c r="C776">
        <v>200</v>
      </c>
      <c r="D776" t="s">
        <v>12</v>
      </c>
      <c r="E776">
        <v>200</v>
      </c>
      <c r="F776" s="1">
        <v>45627</v>
      </c>
    </row>
    <row r="777" spans="1:6" x14ac:dyDescent="0.35">
      <c r="A777" t="s">
        <v>853</v>
      </c>
      <c r="B777">
        <v>1709</v>
      </c>
      <c r="C777">
        <v>200</v>
      </c>
      <c r="D777" t="s">
        <v>12</v>
      </c>
      <c r="E777">
        <v>200</v>
      </c>
      <c r="F777" s="1">
        <v>45658</v>
      </c>
    </row>
    <row r="778" spans="1:6" x14ac:dyDescent="0.35">
      <c r="A778" t="s">
        <v>854</v>
      </c>
      <c r="B778">
        <v>1709</v>
      </c>
      <c r="C778">
        <v>200</v>
      </c>
      <c r="D778" t="s">
        <v>12</v>
      </c>
      <c r="E778">
        <v>200</v>
      </c>
      <c r="F778" s="1">
        <v>45689</v>
      </c>
    </row>
    <row r="779" spans="1:6" x14ac:dyDescent="0.35">
      <c r="A779" t="s">
        <v>855</v>
      </c>
      <c r="B779">
        <v>1713</v>
      </c>
      <c r="C779">
        <v>500</v>
      </c>
      <c r="D779" t="s">
        <v>12</v>
      </c>
      <c r="E779">
        <v>500</v>
      </c>
      <c r="F779" s="1">
        <v>45536</v>
      </c>
    </row>
    <row r="780" spans="1:6" x14ac:dyDescent="0.35">
      <c r="A780" t="s">
        <v>856</v>
      </c>
      <c r="B780">
        <v>1713</v>
      </c>
      <c r="C780">
        <v>500</v>
      </c>
      <c r="D780" t="s">
        <v>12</v>
      </c>
      <c r="E780">
        <v>500</v>
      </c>
      <c r="F780" s="1">
        <v>45566</v>
      </c>
    </row>
    <row r="781" spans="1:6" x14ac:dyDescent="0.35">
      <c r="A781" t="s">
        <v>857</v>
      </c>
      <c r="B781">
        <v>1714</v>
      </c>
      <c r="C781">
        <v>500</v>
      </c>
      <c r="D781" t="s">
        <v>12</v>
      </c>
      <c r="E781">
        <v>500</v>
      </c>
      <c r="F781" s="1">
        <v>45474</v>
      </c>
    </row>
    <row r="782" spans="1:6" x14ac:dyDescent="0.35">
      <c r="A782" t="s">
        <v>858</v>
      </c>
      <c r="B782">
        <v>1714</v>
      </c>
      <c r="C782">
        <v>500</v>
      </c>
      <c r="D782" t="s">
        <v>12</v>
      </c>
      <c r="E782">
        <v>500</v>
      </c>
      <c r="F782" s="1">
        <v>45505</v>
      </c>
    </row>
    <row r="783" spans="1:6" x14ac:dyDescent="0.35">
      <c r="A783" t="s">
        <v>859</v>
      </c>
      <c r="B783">
        <v>1717</v>
      </c>
      <c r="C783">
        <v>50</v>
      </c>
      <c r="D783" t="s">
        <v>12</v>
      </c>
      <c r="E783">
        <v>50</v>
      </c>
      <c r="F783" s="1">
        <v>45809</v>
      </c>
    </row>
    <row r="784" spans="1:6" x14ac:dyDescent="0.35">
      <c r="A784" t="s">
        <v>860</v>
      </c>
      <c r="B784">
        <v>1721</v>
      </c>
      <c r="C784">
        <v>50</v>
      </c>
      <c r="D784" t="s">
        <v>12</v>
      </c>
      <c r="E784">
        <v>50</v>
      </c>
      <c r="F784" s="1">
        <v>45566</v>
      </c>
    </row>
    <row r="785" spans="1:6" x14ac:dyDescent="0.35">
      <c r="A785" t="s">
        <v>861</v>
      </c>
      <c r="B785">
        <v>1721</v>
      </c>
      <c r="C785">
        <v>50</v>
      </c>
      <c r="D785" t="s">
        <v>12</v>
      </c>
      <c r="E785">
        <v>50</v>
      </c>
      <c r="F785" s="1">
        <v>45597</v>
      </c>
    </row>
    <row r="786" spans="1:6" x14ac:dyDescent="0.35">
      <c r="A786" t="s">
        <v>862</v>
      </c>
      <c r="B786">
        <v>1721</v>
      </c>
      <c r="C786">
        <v>50</v>
      </c>
      <c r="D786" t="s">
        <v>12</v>
      </c>
      <c r="E786">
        <v>50</v>
      </c>
      <c r="F786" s="1">
        <v>45627</v>
      </c>
    </row>
    <row r="787" spans="1:6" x14ac:dyDescent="0.35">
      <c r="A787" t="s">
        <v>863</v>
      </c>
      <c r="B787">
        <v>1721</v>
      </c>
      <c r="C787">
        <v>50</v>
      </c>
      <c r="D787" t="s">
        <v>12</v>
      </c>
      <c r="E787">
        <v>50</v>
      </c>
      <c r="F787" s="1">
        <v>45658</v>
      </c>
    </row>
    <row r="788" spans="1:6" x14ac:dyDescent="0.35">
      <c r="A788" t="s">
        <v>864</v>
      </c>
      <c r="B788">
        <v>1721</v>
      </c>
      <c r="C788">
        <v>50</v>
      </c>
      <c r="D788" t="s">
        <v>12</v>
      </c>
      <c r="E788">
        <v>50</v>
      </c>
      <c r="F788" s="1">
        <v>45689</v>
      </c>
    </row>
    <row r="789" spans="1:6" x14ac:dyDescent="0.35">
      <c r="A789" t="s">
        <v>865</v>
      </c>
      <c r="B789">
        <v>1721</v>
      </c>
      <c r="C789">
        <v>50</v>
      </c>
      <c r="D789" t="s">
        <v>12</v>
      </c>
      <c r="E789">
        <v>50</v>
      </c>
      <c r="F789" s="1">
        <v>45717</v>
      </c>
    </row>
    <row r="790" spans="1:6" x14ac:dyDescent="0.35">
      <c r="A790" t="s">
        <v>866</v>
      </c>
      <c r="B790">
        <v>1724</v>
      </c>
      <c r="C790">
        <v>500</v>
      </c>
      <c r="D790" t="s">
        <v>12</v>
      </c>
      <c r="E790">
        <v>500</v>
      </c>
      <c r="F790" s="1">
        <v>45597</v>
      </c>
    </row>
    <row r="791" spans="1:6" x14ac:dyDescent="0.35">
      <c r="A791" t="s">
        <v>867</v>
      </c>
      <c r="B791">
        <v>1724</v>
      </c>
      <c r="C791">
        <v>500</v>
      </c>
      <c r="D791" t="s">
        <v>12</v>
      </c>
      <c r="E791">
        <v>500</v>
      </c>
      <c r="F791" s="1">
        <v>45627</v>
      </c>
    </row>
    <row r="792" spans="1:6" x14ac:dyDescent="0.35">
      <c r="A792" t="s">
        <v>868</v>
      </c>
      <c r="B792">
        <v>1724</v>
      </c>
      <c r="C792">
        <v>500</v>
      </c>
      <c r="D792" t="s">
        <v>12</v>
      </c>
      <c r="E792">
        <v>500</v>
      </c>
      <c r="F792" s="1">
        <v>45658</v>
      </c>
    </row>
    <row r="793" spans="1:6" x14ac:dyDescent="0.35">
      <c r="A793" t="s">
        <v>869</v>
      </c>
      <c r="B793">
        <v>1724</v>
      </c>
      <c r="C793">
        <v>500</v>
      </c>
      <c r="D793" t="s">
        <v>12</v>
      </c>
      <c r="E793">
        <v>500</v>
      </c>
      <c r="F793" s="1">
        <v>45689</v>
      </c>
    </row>
    <row r="794" spans="1:6" x14ac:dyDescent="0.35">
      <c r="A794" t="s">
        <v>870</v>
      </c>
      <c r="B794">
        <v>1724</v>
      </c>
      <c r="C794">
        <v>500</v>
      </c>
      <c r="D794" t="s">
        <v>12</v>
      </c>
      <c r="E794">
        <v>500</v>
      </c>
      <c r="F794" s="1">
        <v>45717</v>
      </c>
    </row>
    <row r="795" spans="1:6" x14ac:dyDescent="0.35">
      <c r="A795" t="s">
        <v>871</v>
      </c>
      <c r="B795">
        <v>1726</v>
      </c>
      <c r="C795">
        <v>50</v>
      </c>
      <c r="D795" t="s">
        <v>12</v>
      </c>
      <c r="E795">
        <v>50</v>
      </c>
      <c r="F795" s="1">
        <v>45717</v>
      </c>
    </row>
    <row r="796" spans="1:6" x14ac:dyDescent="0.35">
      <c r="A796" t="s">
        <v>872</v>
      </c>
      <c r="B796">
        <v>1726</v>
      </c>
      <c r="C796">
        <v>50</v>
      </c>
      <c r="D796" t="s">
        <v>12</v>
      </c>
      <c r="E796">
        <v>50</v>
      </c>
      <c r="F796" s="1">
        <v>45748</v>
      </c>
    </row>
    <row r="797" spans="1:6" x14ac:dyDescent="0.35">
      <c r="A797" t="s">
        <v>873</v>
      </c>
      <c r="B797">
        <v>1727</v>
      </c>
      <c r="C797">
        <v>200</v>
      </c>
      <c r="D797" t="s">
        <v>12</v>
      </c>
      <c r="E797">
        <v>200</v>
      </c>
      <c r="F797" s="1">
        <v>45658</v>
      </c>
    </row>
    <row r="798" spans="1:6" x14ac:dyDescent="0.35">
      <c r="A798" t="s">
        <v>874</v>
      </c>
      <c r="B798">
        <v>1727</v>
      </c>
      <c r="C798">
        <v>200</v>
      </c>
      <c r="D798" t="s">
        <v>12</v>
      </c>
      <c r="E798">
        <v>200</v>
      </c>
      <c r="F798" s="1">
        <v>45689</v>
      </c>
    </row>
    <row r="799" spans="1:6" x14ac:dyDescent="0.35">
      <c r="A799" t="s">
        <v>875</v>
      </c>
      <c r="B799">
        <v>1727</v>
      </c>
      <c r="C799">
        <v>200</v>
      </c>
      <c r="D799" t="s">
        <v>12</v>
      </c>
      <c r="E799">
        <v>200</v>
      </c>
      <c r="F799" s="1">
        <v>45717</v>
      </c>
    </row>
    <row r="800" spans="1:6" x14ac:dyDescent="0.35">
      <c r="A800" t="s">
        <v>876</v>
      </c>
      <c r="B800">
        <v>1727</v>
      </c>
      <c r="C800">
        <v>200</v>
      </c>
      <c r="D800" t="s">
        <v>12</v>
      </c>
      <c r="E800">
        <v>200</v>
      </c>
      <c r="F800" s="1">
        <v>45748</v>
      </c>
    </row>
    <row r="801" spans="1:6" x14ac:dyDescent="0.35">
      <c r="A801" t="s">
        <v>877</v>
      </c>
      <c r="B801">
        <v>1727</v>
      </c>
      <c r="C801">
        <v>200</v>
      </c>
      <c r="D801" t="s">
        <v>12</v>
      </c>
      <c r="E801">
        <v>200</v>
      </c>
      <c r="F801" s="1">
        <v>45778</v>
      </c>
    </row>
    <row r="802" spans="1:6" x14ac:dyDescent="0.35">
      <c r="A802" t="s">
        <v>878</v>
      </c>
      <c r="B802">
        <v>1727</v>
      </c>
      <c r="C802">
        <v>200</v>
      </c>
      <c r="D802" t="s">
        <v>12</v>
      </c>
      <c r="E802">
        <v>200</v>
      </c>
      <c r="F802" s="1">
        <v>45809</v>
      </c>
    </row>
    <row r="803" spans="1:6" x14ac:dyDescent="0.35">
      <c r="A803" t="s">
        <v>879</v>
      </c>
      <c r="B803">
        <v>1736</v>
      </c>
      <c r="C803">
        <v>500</v>
      </c>
      <c r="D803" t="s">
        <v>12</v>
      </c>
      <c r="E803">
        <v>500</v>
      </c>
      <c r="F803" s="1">
        <v>45627</v>
      </c>
    </row>
    <row r="804" spans="1:6" x14ac:dyDescent="0.35">
      <c r="A804" t="s">
        <v>880</v>
      </c>
      <c r="B804">
        <v>1736</v>
      </c>
      <c r="C804">
        <v>500</v>
      </c>
      <c r="D804" t="s">
        <v>12</v>
      </c>
      <c r="E804">
        <v>500</v>
      </c>
      <c r="F804" s="1">
        <v>45658</v>
      </c>
    </row>
    <row r="805" spans="1:6" x14ac:dyDescent="0.35">
      <c r="A805" t="s">
        <v>881</v>
      </c>
      <c r="B805">
        <v>1736</v>
      </c>
      <c r="C805">
        <v>500</v>
      </c>
      <c r="D805" t="s">
        <v>12</v>
      </c>
      <c r="E805">
        <v>500</v>
      </c>
      <c r="F805" s="1">
        <v>45689</v>
      </c>
    </row>
    <row r="806" spans="1:6" x14ac:dyDescent="0.35">
      <c r="A806" t="s">
        <v>882</v>
      </c>
      <c r="B806">
        <v>1737</v>
      </c>
      <c r="C806">
        <v>200</v>
      </c>
      <c r="D806" t="s">
        <v>12</v>
      </c>
      <c r="E806">
        <v>200</v>
      </c>
      <c r="F806" s="1">
        <v>45444</v>
      </c>
    </row>
    <row r="807" spans="1:6" x14ac:dyDescent="0.35">
      <c r="A807" t="s">
        <v>883</v>
      </c>
      <c r="B807">
        <v>1737</v>
      </c>
      <c r="C807">
        <v>200</v>
      </c>
      <c r="D807" t="s">
        <v>12</v>
      </c>
      <c r="E807">
        <v>200</v>
      </c>
      <c r="F807" s="1">
        <v>45474</v>
      </c>
    </row>
    <row r="808" spans="1:6" x14ac:dyDescent="0.35">
      <c r="A808" t="s">
        <v>884</v>
      </c>
      <c r="B808">
        <v>1737</v>
      </c>
      <c r="C808">
        <v>200</v>
      </c>
      <c r="D808" t="s">
        <v>12</v>
      </c>
      <c r="E808">
        <v>200</v>
      </c>
      <c r="F808" s="1">
        <v>45505</v>
      </c>
    </row>
    <row r="809" spans="1:6" x14ac:dyDescent="0.35">
      <c r="A809" t="s">
        <v>885</v>
      </c>
      <c r="B809">
        <v>1737</v>
      </c>
      <c r="C809">
        <v>200</v>
      </c>
      <c r="D809" t="s">
        <v>12</v>
      </c>
      <c r="E809">
        <v>200</v>
      </c>
      <c r="F809" s="1">
        <v>45536</v>
      </c>
    </row>
    <row r="810" spans="1:6" x14ac:dyDescent="0.35">
      <c r="A810" t="s">
        <v>886</v>
      </c>
      <c r="B810">
        <v>1737</v>
      </c>
      <c r="C810">
        <v>200</v>
      </c>
      <c r="D810" t="s">
        <v>12</v>
      </c>
      <c r="E810">
        <v>200</v>
      </c>
      <c r="F810" s="1">
        <v>45566</v>
      </c>
    </row>
    <row r="811" spans="1:6" x14ac:dyDescent="0.35">
      <c r="A811" t="s">
        <v>887</v>
      </c>
      <c r="B811">
        <v>1747</v>
      </c>
      <c r="C811">
        <v>200</v>
      </c>
      <c r="D811" t="s">
        <v>12</v>
      </c>
      <c r="E811">
        <v>200</v>
      </c>
      <c r="F811" s="1">
        <v>45413</v>
      </c>
    </row>
    <row r="812" spans="1:6" x14ac:dyDescent="0.35">
      <c r="A812" t="s">
        <v>888</v>
      </c>
      <c r="B812">
        <v>1747</v>
      </c>
      <c r="C812">
        <v>200</v>
      </c>
      <c r="D812" t="s">
        <v>12</v>
      </c>
      <c r="E812">
        <v>200</v>
      </c>
      <c r="F812" s="1">
        <v>45444</v>
      </c>
    </row>
    <row r="813" spans="1:6" x14ac:dyDescent="0.35">
      <c r="A813" t="s">
        <v>889</v>
      </c>
      <c r="B813">
        <v>1747</v>
      </c>
      <c r="C813">
        <v>200</v>
      </c>
      <c r="D813" t="s">
        <v>12</v>
      </c>
      <c r="E813">
        <v>200</v>
      </c>
      <c r="F813" s="1">
        <v>45474</v>
      </c>
    </row>
    <row r="814" spans="1:6" x14ac:dyDescent="0.35">
      <c r="A814" t="s">
        <v>890</v>
      </c>
      <c r="B814">
        <v>1750</v>
      </c>
      <c r="C814">
        <v>500</v>
      </c>
      <c r="D814" t="s">
        <v>12</v>
      </c>
      <c r="E814">
        <v>500</v>
      </c>
      <c r="F814" s="1">
        <v>45566</v>
      </c>
    </row>
    <row r="815" spans="1:6" x14ac:dyDescent="0.35">
      <c r="A815" t="s">
        <v>891</v>
      </c>
      <c r="B815">
        <v>1750</v>
      </c>
      <c r="C815">
        <v>500</v>
      </c>
      <c r="D815" t="s">
        <v>12</v>
      </c>
      <c r="E815">
        <v>500</v>
      </c>
      <c r="F815" s="1">
        <v>45597</v>
      </c>
    </row>
    <row r="816" spans="1:6" x14ac:dyDescent="0.35">
      <c r="A816" t="s">
        <v>892</v>
      </c>
      <c r="B816">
        <v>1750</v>
      </c>
      <c r="C816">
        <v>500</v>
      </c>
      <c r="D816" t="s">
        <v>12</v>
      </c>
      <c r="E816">
        <v>500</v>
      </c>
      <c r="F816" s="1">
        <v>45627</v>
      </c>
    </row>
    <row r="817" spans="1:6" x14ac:dyDescent="0.35">
      <c r="A817" t="s">
        <v>893</v>
      </c>
      <c r="B817">
        <v>1750</v>
      </c>
      <c r="C817">
        <v>500</v>
      </c>
      <c r="D817" t="s">
        <v>12</v>
      </c>
      <c r="E817">
        <v>500</v>
      </c>
      <c r="F817" s="1">
        <v>45658</v>
      </c>
    </row>
    <row r="818" spans="1:6" x14ac:dyDescent="0.35">
      <c r="A818" t="s">
        <v>894</v>
      </c>
      <c r="B818">
        <v>1750</v>
      </c>
      <c r="C818">
        <v>500</v>
      </c>
      <c r="D818" t="s">
        <v>12</v>
      </c>
      <c r="E818">
        <v>500</v>
      </c>
      <c r="F818" s="1">
        <v>45689</v>
      </c>
    </row>
    <row r="819" spans="1:6" x14ac:dyDescent="0.35">
      <c r="A819" t="s">
        <v>895</v>
      </c>
      <c r="B819">
        <v>1750</v>
      </c>
      <c r="C819">
        <v>500</v>
      </c>
      <c r="D819" t="s">
        <v>12</v>
      </c>
      <c r="E819">
        <v>500</v>
      </c>
      <c r="F819" s="1">
        <v>45717</v>
      </c>
    </row>
    <row r="820" spans="1:6" x14ac:dyDescent="0.35">
      <c r="A820" t="s">
        <v>896</v>
      </c>
      <c r="B820">
        <v>1750</v>
      </c>
      <c r="C820">
        <v>500</v>
      </c>
      <c r="D820" t="s">
        <v>12</v>
      </c>
      <c r="E820">
        <v>500</v>
      </c>
      <c r="F820" s="1">
        <v>45748</v>
      </c>
    </row>
    <row r="821" spans="1:6" x14ac:dyDescent="0.35">
      <c r="A821" t="s">
        <v>897</v>
      </c>
      <c r="B821">
        <v>1759</v>
      </c>
      <c r="C821">
        <v>200</v>
      </c>
      <c r="D821" t="s">
        <v>12</v>
      </c>
      <c r="E821">
        <v>200</v>
      </c>
      <c r="F821" s="1">
        <v>45413</v>
      </c>
    </row>
    <row r="822" spans="1:6" x14ac:dyDescent="0.35">
      <c r="A822" t="s">
        <v>898</v>
      </c>
      <c r="B822">
        <v>1759</v>
      </c>
      <c r="C822">
        <v>200</v>
      </c>
      <c r="D822" t="s">
        <v>12</v>
      </c>
      <c r="E822">
        <v>200</v>
      </c>
      <c r="F822" s="1">
        <v>45444</v>
      </c>
    </row>
    <row r="823" spans="1:6" x14ac:dyDescent="0.35">
      <c r="A823" t="s">
        <v>899</v>
      </c>
      <c r="B823">
        <v>1759</v>
      </c>
      <c r="C823">
        <v>200</v>
      </c>
      <c r="D823" t="s">
        <v>12</v>
      </c>
      <c r="E823">
        <v>200</v>
      </c>
      <c r="F823" s="1">
        <v>45474</v>
      </c>
    </row>
    <row r="824" spans="1:6" x14ac:dyDescent="0.35">
      <c r="A824" t="s">
        <v>900</v>
      </c>
      <c r="B824">
        <v>1759</v>
      </c>
      <c r="C824">
        <v>200</v>
      </c>
      <c r="D824" t="s">
        <v>12</v>
      </c>
      <c r="E824">
        <v>200</v>
      </c>
      <c r="F824" s="1">
        <v>45505</v>
      </c>
    </row>
    <row r="825" spans="1:6" x14ac:dyDescent="0.35">
      <c r="A825" t="s">
        <v>901</v>
      </c>
      <c r="B825">
        <v>1759</v>
      </c>
      <c r="C825">
        <v>200</v>
      </c>
      <c r="D825" t="s">
        <v>12</v>
      </c>
      <c r="E825">
        <v>200</v>
      </c>
      <c r="F825" s="1">
        <v>45536</v>
      </c>
    </row>
    <row r="826" spans="1:6" x14ac:dyDescent="0.35">
      <c r="A826" t="s">
        <v>902</v>
      </c>
      <c r="B826">
        <v>1759</v>
      </c>
      <c r="C826">
        <v>200</v>
      </c>
      <c r="D826" t="s">
        <v>12</v>
      </c>
      <c r="E826">
        <v>200</v>
      </c>
      <c r="F826" s="1">
        <v>45566</v>
      </c>
    </row>
    <row r="827" spans="1:6" x14ac:dyDescent="0.35">
      <c r="A827" t="s">
        <v>903</v>
      </c>
      <c r="B827">
        <v>1759</v>
      </c>
      <c r="C827">
        <v>200</v>
      </c>
      <c r="D827" t="s">
        <v>12</v>
      </c>
      <c r="E827">
        <v>200</v>
      </c>
      <c r="F827" s="1">
        <v>45597</v>
      </c>
    </row>
    <row r="828" spans="1:6" x14ac:dyDescent="0.35">
      <c r="A828" t="s">
        <v>904</v>
      </c>
      <c r="B828">
        <v>1759</v>
      </c>
      <c r="C828">
        <v>200</v>
      </c>
      <c r="D828" t="s">
        <v>12</v>
      </c>
      <c r="E828">
        <v>200</v>
      </c>
      <c r="F828" s="1">
        <v>45627</v>
      </c>
    </row>
    <row r="829" spans="1:6" x14ac:dyDescent="0.35">
      <c r="A829" t="s">
        <v>905</v>
      </c>
      <c r="B829">
        <v>1764</v>
      </c>
      <c r="C829">
        <v>500</v>
      </c>
      <c r="D829" t="s">
        <v>12</v>
      </c>
      <c r="E829">
        <v>500</v>
      </c>
      <c r="F829" s="1">
        <v>45627</v>
      </c>
    </row>
    <row r="830" spans="1:6" x14ac:dyDescent="0.35">
      <c r="A830" t="s">
        <v>906</v>
      </c>
      <c r="B830">
        <v>1764</v>
      </c>
      <c r="C830">
        <v>500</v>
      </c>
      <c r="D830" t="s">
        <v>12</v>
      </c>
      <c r="E830">
        <v>500</v>
      </c>
      <c r="F830" s="1">
        <v>45658</v>
      </c>
    </row>
    <row r="831" spans="1:6" x14ac:dyDescent="0.35">
      <c r="A831" t="s">
        <v>907</v>
      </c>
      <c r="B831">
        <v>1765</v>
      </c>
      <c r="C831">
        <v>50</v>
      </c>
      <c r="D831" t="s">
        <v>12</v>
      </c>
      <c r="E831">
        <v>50</v>
      </c>
      <c r="F831" s="1">
        <v>45444</v>
      </c>
    </row>
    <row r="832" spans="1:6" x14ac:dyDescent="0.35">
      <c r="A832" t="s">
        <v>908</v>
      </c>
      <c r="B832">
        <v>1765</v>
      </c>
      <c r="C832">
        <v>50</v>
      </c>
      <c r="D832" t="s">
        <v>12</v>
      </c>
      <c r="E832">
        <v>50</v>
      </c>
      <c r="F832" s="1">
        <v>45474</v>
      </c>
    </row>
    <row r="833" spans="1:6" x14ac:dyDescent="0.35">
      <c r="A833" t="s">
        <v>909</v>
      </c>
      <c r="B833">
        <v>1765</v>
      </c>
      <c r="C833">
        <v>50</v>
      </c>
      <c r="D833" t="s">
        <v>12</v>
      </c>
      <c r="E833">
        <v>50</v>
      </c>
      <c r="F833" s="1">
        <v>45505</v>
      </c>
    </row>
    <row r="834" spans="1:6" x14ac:dyDescent="0.35">
      <c r="A834" t="s">
        <v>910</v>
      </c>
      <c r="B834">
        <v>1765</v>
      </c>
      <c r="C834">
        <v>50</v>
      </c>
      <c r="D834" t="s">
        <v>12</v>
      </c>
      <c r="E834">
        <v>50</v>
      </c>
      <c r="F834" s="1">
        <v>45536</v>
      </c>
    </row>
    <row r="835" spans="1:6" x14ac:dyDescent="0.35">
      <c r="A835" t="s">
        <v>911</v>
      </c>
      <c r="B835">
        <v>1765</v>
      </c>
      <c r="C835">
        <v>50</v>
      </c>
      <c r="D835" t="s">
        <v>12</v>
      </c>
      <c r="E835">
        <v>50</v>
      </c>
      <c r="F835" s="1">
        <v>45566</v>
      </c>
    </row>
    <row r="836" spans="1:6" x14ac:dyDescent="0.35">
      <c r="A836" t="s">
        <v>912</v>
      </c>
      <c r="B836">
        <v>1765</v>
      </c>
      <c r="C836">
        <v>50</v>
      </c>
      <c r="D836" t="s">
        <v>12</v>
      </c>
      <c r="E836">
        <v>50</v>
      </c>
      <c r="F836" s="1">
        <v>45597</v>
      </c>
    </row>
    <row r="837" spans="1:6" x14ac:dyDescent="0.35">
      <c r="A837" t="s">
        <v>913</v>
      </c>
      <c r="B837">
        <v>1767</v>
      </c>
      <c r="C837">
        <v>200</v>
      </c>
      <c r="D837" t="s">
        <v>12</v>
      </c>
      <c r="E837">
        <v>200</v>
      </c>
      <c r="F837" s="1">
        <v>45627</v>
      </c>
    </row>
    <row r="838" spans="1:6" x14ac:dyDescent="0.35">
      <c r="A838" t="s">
        <v>914</v>
      </c>
      <c r="B838">
        <v>1767</v>
      </c>
      <c r="C838">
        <v>200</v>
      </c>
      <c r="D838" t="s">
        <v>12</v>
      </c>
      <c r="E838">
        <v>200</v>
      </c>
      <c r="F838" s="1">
        <v>45658</v>
      </c>
    </row>
    <row r="839" spans="1:6" x14ac:dyDescent="0.35">
      <c r="A839" t="s">
        <v>915</v>
      </c>
      <c r="B839">
        <v>1767</v>
      </c>
      <c r="C839">
        <v>200</v>
      </c>
      <c r="D839" t="s">
        <v>12</v>
      </c>
      <c r="E839">
        <v>200</v>
      </c>
      <c r="F839" s="1">
        <v>45689</v>
      </c>
    </row>
    <row r="840" spans="1:6" x14ac:dyDescent="0.35">
      <c r="A840" t="s">
        <v>916</v>
      </c>
      <c r="B840">
        <v>1767</v>
      </c>
      <c r="C840">
        <v>200</v>
      </c>
      <c r="D840" t="s">
        <v>12</v>
      </c>
      <c r="E840">
        <v>200</v>
      </c>
      <c r="F840" s="1">
        <v>45717</v>
      </c>
    </row>
    <row r="841" spans="1:6" x14ac:dyDescent="0.35">
      <c r="A841" t="s">
        <v>917</v>
      </c>
      <c r="B841">
        <v>1768</v>
      </c>
      <c r="C841">
        <v>200</v>
      </c>
      <c r="D841" t="s">
        <v>12</v>
      </c>
      <c r="E841">
        <v>200</v>
      </c>
      <c r="F841" s="1">
        <v>45809</v>
      </c>
    </row>
    <row r="842" spans="1:6" x14ac:dyDescent="0.35">
      <c r="A842" t="s">
        <v>918</v>
      </c>
      <c r="B842">
        <v>1791</v>
      </c>
      <c r="C842">
        <v>200</v>
      </c>
      <c r="D842" t="s">
        <v>12</v>
      </c>
      <c r="E842">
        <v>200</v>
      </c>
      <c r="F842" s="1">
        <v>45778</v>
      </c>
    </row>
    <row r="843" spans="1:6" x14ac:dyDescent="0.35">
      <c r="A843" t="s">
        <v>919</v>
      </c>
      <c r="B843">
        <v>1806</v>
      </c>
      <c r="C843">
        <v>500</v>
      </c>
      <c r="D843" t="s">
        <v>12</v>
      </c>
      <c r="E843">
        <v>500</v>
      </c>
      <c r="F843" s="1">
        <v>45627</v>
      </c>
    </row>
    <row r="844" spans="1:6" x14ac:dyDescent="0.35">
      <c r="A844" t="s">
        <v>920</v>
      </c>
      <c r="B844">
        <v>1806</v>
      </c>
      <c r="C844">
        <v>500</v>
      </c>
      <c r="D844" t="s">
        <v>12</v>
      </c>
      <c r="E844">
        <v>500</v>
      </c>
      <c r="F844" s="1">
        <v>45658</v>
      </c>
    </row>
    <row r="845" spans="1:6" x14ac:dyDescent="0.35">
      <c r="A845" t="s">
        <v>921</v>
      </c>
      <c r="B845">
        <v>1806</v>
      </c>
      <c r="C845">
        <v>500</v>
      </c>
      <c r="D845" t="s">
        <v>12</v>
      </c>
      <c r="E845">
        <v>500</v>
      </c>
      <c r="F845" s="1">
        <v>45689</v>
      </c>
    </row>
    <row r="846" spans="1:6" x14ac:dyDescent="0.35">
      <c r="A846" t="s">
        <v>922</v>
      </c>
      <c r="B846">
        <v>1806</v>
      </c>
      <c r="C846">
        <v>500</v>
      </c>
      <c r="D846" t="s">
        <v>12</v>
      </c>
      <c r="E846">
        <v>500</v>
      </c>
      <c r="F846" s="1">
        <v>45717</v>
      </c>
    </row>
    <row r="847" spans="1:6" x14ac:dyDescent="0.35">
      <c r="A847" t="s">
        <v>923</v>
      </c>
      <c r="B847">
        <v>1807</v>
      </c>
      <c r="C847">
        <v>50</v>
      </c>
      <c r="D847" t="s">
        <v>12</v>
      </c>
      <c r="E847">
        <v>50</v>
      </c>
      <c r="F847" s="1">
        <v>45627</v>
      </c>
    </row>
    <row r="848" spans="1:6" x14ac:dyDescent="0.35">
      <c r="A848" t="s">
        <v>924</v>
      </c>
      <c r="B848">
        <v>1807</v>
      </c>
      <c r="C848">
        <v>50</v>
      </c>
      <c r="D848" t="s">
        <v>12</v>
      </c>
      <c r="E848">
        <v>50</v>
      </c>
      <c r="F848" s="1">
        <v>45658</v>
      </c>
    </row>
    <row r="849" spans="1:6" x14ac:dyDescent="0.35">
      <c r="A849" t="s">
        <v>925</v>
      </c>
      <c r="B849">
        <v>1807</v>
      </c>
      <c r="C849">
        <v>50</v>
      </c>
      <c r="D849" t="s">
        <v>12</v>
      </c>
      <c r="E849">
        <v>50</v>
      </c>
      <c r="F849" s="1">
        <v>45689</v>
      </c>
    </row>
    <row r="850" spans="1:6" x14ac:dyDescent="0.35">
      <c r="A850" t="s">
        <v>926</v>
      </c>
      <c r="B850">
        <v>1807</v>
      </c>
      <c r="C850">
        <v>50</v>
      </c>
      <c r="D850" t="s">
        <v>12</v>
      </c>
      <c r="E850">
        <v>50</v>
      </c>
      <c r="F850" s="1">
        <v>45717</v>
      </c>
    </row>
    <row r="851" spans="1:6" x14ac:dyDescent="0.35">
      <c r="A851" t="s">
        <v>927</v>
      </c>
      <c r="B851">
        <v>1810</v>
      </c>
      <c r="C851">
        <v>500</v>
      </c>
      <c r="D851" t="s">
        <v>12</v>
      </c>
      <c r="E851">
        <v>500</v>
      </c>
      <c r="F851" s="1">
        <v>45627</v>
      </c>
    </row>
    <row r="852" spans="1:6" x14ac:dyDescent="0.35">
      <c r="A852" t="s">
        <v>928</v>
      </c>
      <c r="B852">
        <v>1810</v>
      </c>
      <c r="C852">
        <v>500</v>
      </c>
      <c r="D852" t="s">
        <v>12</v>
      </c>
      <c r="E852">
        <v>500</v>
      </c>
      <c r="F852" s="1">
        <v>45658</v>
      </c>
    </row>
    <row r="853" spans="1:6" x14ac:dyDescent="0.35">
      <c r="A853" t="s">
        <v>929</v>
      </c>
      <c r="B853">
        <v>1810</v>
      </c>
      <c r="C853">
        <v>500</v>
      </c>
      <c r="D853" t="s">
        <v>12</v>
      </c>
      <c r="E853">
        <v>500</v>
      </c>
      <c r="F853" s="1">
        <v>45689</v>
      </c>
    </row>
    <row r="854" spans="1:6" x14ac:dyDescent="0.35">
      <c r="A854" t="s">
        <v>930</v>
      </c>
      <c r="B854">
        <v>1810</v>
      </c>
      <c r="C854">
        <v>500</v>
      </c>
      <c r="D854" t="s">
        <v>12</v>
      </c>
      <c r="E854">
        <v>500</v>
      </c>
      <c r="F854" s="1">
        <v>45717</v>
      </c>
    </row>
    <row r="855" spans="1:6" x14ac:dyDescent="0.35">
      <c r="A855" t="s">
        <v>931</v>
      </c>
      <c r="B855">
        <v>1817</v>
      </c>
      <c r="C855">
        <v>500</v>
      </c>
      <c r="D855" t="s">
        <v>12</v>
      </c>
      <c r="E855">
        <v>500</v>
      </c>
      <c r="F855" s="1">
        <v>45383</v>
      </c>
    </row>
    <row r="856" spans="1:6" x14ac:dyDescent="0.35">
      <c r="A856" t="s">
        <v>932</v>
      </c>
      <c r="B856">
        <v>1817</v>
      </c>
      <c r="C856">
        <v>500</v>
      </c>
      <c r="D856" t="s">
        <v>12</v>
      </c>
      <c r="E856">
        <v>500</v>
      </c>
      <c r="F856" s="1">
        <v>45413</v>
      </c>
    </row>
    <row r="857" spans="1:6" x14ac:dyDescent="0.35">
      <c r="A857" t="s">
        <v>933</v>
      </c>
      <c r="B857">
        <v>1822</v>
      </c>
      <c r="C857">
        <v>50</v>
      </c>
      <c r="D857" t="s">
        <v>12</v>
      </c>
      <c r="E857">
        <v>50</v>
      </c>
      <c r="F857" s="1">
        <v>45689</v>
      </c>
    </row>
    <row r="858" spans="1:6" x14ac:dyDescent="0.35">
      <c r="A858" t="s">
        <v>934</v>
      </c>
      <c r="B858">
        <v>1822</v>
      </c>
      <c r="C858">
        <v>50</v>
      </c>
      <c r="D858" t="s">
        <v>12</v>
      </c>
      <c r="E858">
        <v>50</v>
      </c>
      <c r="F858" s="1">
        <v>45717</v>
      </c>
    </row>
    <row r="859" spans="1:6" x14ac:dyDescent="0.35">
      <c r="A859" t="s">
        <v>935</v>
      </c>
      <c r="B859">
        <v>1824</v>
      </c>
      <c r="C859">
        <v>200</v>
      </c>
      <c r="D859" t="s">
        <v>12</v>
      </c>
      <c r="E859">
        <v>200</v>
      </c>
      <c r="F859" s="1">
        <v>45778</v>
      </c>
    </row>
    <row r="860" spans="1:6" x14ac:dyDescent="0.35">
      <c r="A860" t="s">
        <v>936</v>
      </c>
      <c r="B860">
        <v>1834</v>
      </c>
      <c r="C860">
        <v>200</v>
      </c>
      <c r="D860" t="s">
        <v>12</v>
      </c>
      <c r="E860">
        <v>200</v>
      </c>
      <c r="F860" s="1">
        <v>45717</v>
      </c>
    </row>
    <row r="861" spans="1:6" x14ac:dyDescent="0.35">
      <c r="A861" t="s">
        <v>937</v>
      </c>
      <c r="B861">
        <v>1834</v>
      </c>
      <c r="C861">
        <v>200</v>
      </c>
      <c r="D861" t="s">
        <v>12</v>
      </c>
      <c r="E861">
        <v>200</v>
      </c>
      <c r="F861" s="1">
        <v>45748</v>
      </c>
    </row>
    <row r="862" spans="1:6" x14ac:dyDescent="0.35">
      <c r="A862" t="s">
        <v>938</v>
      </c>
      <c r="B862">
        <v>1834</v>
      </c>
      <c r="C862">
        <v>200</v>
      </c>
      <c r="D862" t="s">
        <v>12</v>
      </c>
      <c r="E862">
        <v>200</v>
      </c>
      <c r="F862" s="1">
        <v>45778</v>
      </c>
    </row>
    <row r="863" spans="1:6" x14ac:dyDescent="0.35">
      <c r="A863" t="s">
        <v>939</v>
      </c>
      <c r="B863">
        <v>1844</v>
      </c>
      <c r="C863">
        <v>50</v>
      </c>
      <c r="D863" t="s">
        <v>12</v>
      </c>
      <c r="E863">
        <v>50</v>
      </c>
      <c r="F863" s="1">
        <v>45323</v>
      </c>
    </row>
    <row r="864" spans="1:6" x14ac:dyDescent="0.35">
      <c r="A864" t="s">
        <v>940</v>
      </c>
      <c r="B864">
        <v>1844</v>
      </c>
      <c r="C864">
        <v>50</v>
      </c>
      <c r="D864" t="s">
        <v>12</v>
      </c>
      <c r="E864">
        <v>50</v>
      </c>
      <c r="F864" s="1">
        <v>45352</v>
      </c>
    </row>
    <row r="865" spans="1:6" x14ac:dyDescent="0.35">
      <c r="A865" t="s">
        <v>941</v>
      </c>
      <c r="B865">
        <v>1844</v>
      </c>
      <c r="C865">
        <v>50</v>
      </c>
      <c r="D865" t="s">
        <v>12</v>
      </c>
      <c r="E865">
        <v>50</v>
      </c>
      <c r="F865" s="1">
        <v>45383</v>
      </c>
    </row>
    <row r="866" spans="1:6" x14ac:dyDescent="0.35">
      <c r="A866" t="s">
        <v>942</v>
      </c>
      <c r="B866">
        <v>1844</v>
      </c>
      <c r="C866">
        <v>50</v>
      </c>
      <c r="D866" t="s">
        <v>12</v>
      </c>
      <c r="E866">
        <v>50</v>
      </c>
      <c r="F866" s="1">
        <v>45413</v>
      </c>
    </row>
    <row r="867" spans="1:6" x14ac:dyDescent="0.35">
      <c r="A867" t="s">
        <v>943</v>
      </c>
      <c r="B867">
        <v>1844</v>
      </c>
      <c r="C867">
        <v>50</v>
      </c>
      <c r="D867" t="s">
        <v>12</v>
      </c>
      <c r="E867">
        <v>50</v>
      </c>
      <c r="F867" s="1">
        <v>45444</v>
      </c>
    </row>
    <row r="868" spans="1:6" x14ac:dyDescent="0.35">
      <c r="A868" t="s">
        <v>944</v>
      </c>
      <c r="B868">
        <v>1844</v>
      </c>
      <c r="C868">
        <v>50</v>
      </c>
      <c r="D868" t="s">
        <v>12</v>
      </c>
      <c r="E868">
        <v>50</v>
      </c>
      <c r="F868" s="1">
        <v>45474</v>
      </c>
    </row>
    <row r="869" spans="1:6" x14ac:dyDescent="0.35">
      <c r="A869" t="s">
        <v>945</v>
      </c>
      <c r="B869">
        <v>1844</v>
      </c>
      <c r="C869">
        <v>50</v>
      </c>
      <c r="D869" t="s">
        <v>12</v>
      </c>
      <c r="E869">
        <v>50</v>
      </c>
      <c r="F869" s="1">
        <v>45505</v>
      </c>
    </row>
    <row r="870" spans="1:6" x14ac:dyDescent="0.35">
      <c r="A870" t="s">
        <v>946</v>
      </c>
      <c r="B870">
        <v>1844</v>
      </c>
      <c r="C870">
        <v>50</v>
      </c>
      <c r="D870" t="s">
        <v>12</v>
      </c>
      <c r="E870">
        <v>50</v>
      </c>
      <c r="F870" s="1">
        <v>45536</v>
      </c>
    </row>
    <row r="871" spans="1:6" x14ac:dyDescent="0.35">
      <c r="A871" t="s">
        <v>947</v>
      </c>
      <c r="B871">
        <v>1844</v>
      </c>
      <c r="C871">
        <v>50</v>
      </c>
      <c r="D871" t="s">
        <v>12</v>
      </c>
      <c r="E871">
        <v>50</v>
      </c>
      <c r="F871" s="1">
        <v>45566</v>
      </c>
    </row>
    <row r="872" spans="1:6" x14ac:dyDescent="0.35">
      <c r="A872" t="s">
        <v>948</v>
      </c>
      <c r="B872">
        <v>1844</v>
      </c>
      <c r="C872">
        <v>50</v>
      </c>
      <c r="D872" t="s">
        <v>12</v>
      </c>
      <c r="E872">
        <v>50</v>
      </c>
      <c r="F872" s="1">
        <v>45597</v>
      </c>
    </row>
    <row r="873" spans="1:6" x14ac:dyDescent="0.35">
      <c r="A873" t="s">
        <v>949</v>
      </c>
      <c r="B873">
        <v>1844</v>
      </c>
      <c r="C873">
        <v>50</v>
      </c>
      <c r="D873" t="s">
        <v>12</v>
      </c>
      <c r="E873">
        <v>50</v>
      </c>
      <c r="F873" s="1">
        <v>45627</v>
      </c>
    </row>
    <row r="874" spans="1:6" x14ac:dyDescent="0.35">
      <c r="A874" t="s">
        <v>950</v>
      </c>
      <c r="B874">
        <v>1844</v>
      </c>
      <c r="C874">
        <v>50</v>
      </c>
      <c r="D874" t="s">
        <v>12</v>
      </c>
      <c r="E874">
        <v>50</v>
      </c>
      <c r="F874" s="1">
        <v>45658</v>
      </c>
    </row>
    <row r="875" spans="1:6" x14ac:dyDescent="0.35">
      <c r="A875" t="s">
        <v>951</v>
      </c>
      <c r="B875">
        <v>1844</v>
      </c>
      <c r="C875">
        <v>50</v>
      </c>
      <c r="D875" t="s">
        <v>12</v>
      </c>
      <c r="E875">
        <v>50</v>
      </c>
      <c r="F875" s="1">
        <v>45689</v>
      </c>
    </row>
    <row r="876" spans="1:6" x14ac:dyDescent="0.35">
      <c r="A876" t="s">
        <v>952</v>
      </c>
      <c r="B876">
        <v>1844</v>
      </c>
      <c r="C876">
        <v>50</v>
      </c>
      <c r="D876" t="s">
        <v>12</v>
      </c>
      <c r="E876">
        <v>50</v>
      </c>
      <c r="F876" s="1">
        <v>45717</v>
      </c>
    </row>
    <row r="877" spans="1:6" x14ac:dyDescent="0.35">
      <c r="A877" t="s">
        <v>953</v>
      </c>
      <c r="B877">
        <v>1876</v>
      </c>
      <c r="C877">
        <v>50</v>
      </c>
      <c r="D877" t="s">
        <v>12</v>
      </c>
      <c r="E877">
        <v>50</v>
      </c>
      <c r="F877" s="1">
        <v>45627</v>
      </c>
    </row>
    <row r="878" spans="1:6" x14ac:dyDescent="0.35">
      <c r="A878" t="s">
        <v>954</v>
      </c>
      <c r="B878">
        <v>1876</v>
      </c>
      <c r="C878">
        <v>50</v>
      </c>
      <c r="D878" t="s">
        <v>12</v>
      </c>
      <c r="E878">
        <v>50</v>
      </c>
      <c r="F878" s="1">
        <v>45658</v>
      </c>
    </row>
    <row r="879" spans="1:6" x14ac:dyDescent="0.35">
      <c r="A879" t="s">
        <v>955</v>
      </c>
      <c r="B879">
        <v>1876</v>
      </c>
      <c r="C879">
        <v>50</v>
      </c>
      <c r="D879" t="s">
        <v>12</v>
      </c>
      <c r="E879">
        <v>50</v>
      </c>
      <c r="F879" s="1">
        <v>45689</v>
      </c>
    </row>
    <row r="880" spans="1:6" x14ac:dyDescent="0.35">
      <c r="A880" t="s">
        <v>956</v>
      </c>
      <c r="B880">
        <v>1876</v>
      </c>
      <c r="C880">
        <v>50</v>
      </c>
      <c r="D880" t="s">
        <v>12</v>
      </c>
      <c r="E880">
        <v>50</v>
      </c>
      <c r="F880" s="1">
        <v>45717</v>
      </c>
    </row>
    <row r="881" spans="1:6" x14ac:dyDescent="0.35">
      <c r="A881" t="s">
        <v>957</v>
      </c>
      <c r="B881">
        <v>1876</v>
      </c>
      <c r="C881">
        <v>50</v>
      </c>
      <c r="D881" t="s">
        <v>12</v>
      </c>
      <c r="E881">
        <v>50</v>
      </c>
      <c r="F881" s="1">
        <v>45748</v>
      </c>
    </row>
    <row r="882" spans="1:6" x14ac:dyDescent="0.35">
      <c r="A882" t="s">
        <v>958</v>
      </c>
      <c r="B882">
        <v>1876</v>
      </c>
      <c r="C882">
        <v>50</v>
      </c>
      <c r="D882" t="s">
        <v>12</v>
      </c>
      <c r="E882">
        <v>50</v>
      </c>
      <c r="F882" s="1">
        <v>45778</v>
      </c>
    </row>
    <row r="883" spans="1:6" x14ac:dyDescent="0.35">
      <c r="A883" t="s">
        <v>959</v>
      </c>
      <c r="B883">
        <v>1883</v>
      </c>
      <c r="C883">
        <v>50</v>
      </c>
      <c r="D883" t="s">
        <v>12</v>
      </c>
      <c r="E883">
        <v>50</v>
      </c>
      <c r="F883" s="1">
        <v>45689</v>
      </c>
    </row>
    <row r="884" spans="1:6" x14ac:dyDescent="0.35">
      <c r="A884" t="s">
        <v>960</v>
      </c>
      <c r="B884">
        <v>1883</v>
      </c>
      <c r="C884">
        <v>50</v>
      </c>
      <c r="D884" t="s">
        <v>12</v>
      </c>
      <c r="E884">
        <v>50</v>
      </c>
      <c r="F884" s="1">
        <v>45717</v>
      </c>
    </row>
    <row r="885" spans="1:6" x14ac:dyDescent="0.35">
      <c r="A885" t="s">
        <v>961</v>
      </c>
      <c r="B885">
        <v>1889</v>
      </c>
      <c r="C885">
        <v>50</v>
      </c>
      <c r="D885" t="s">
        <v>12</v>
      </c>
      <c r="E885">
        <v>50</v>
      </c>
      <c r="F885" s="1">
        <v>45292</v>
      </c>
    </row>
    <row r="886" spans="1:6" x14ac:dyDescent="0.35">
      <c r="A886" t="s">
        <v>962</v>
      </c>
      <c r="B886">
        <v>1889</v>
      </c>
      <c r="C886">
        <v>50</v>
      </c>
      <c r="D886" t="s">
        <v>12</v>
      </c>
      <c r="E886">
        <v>50</v>
      </c>
      <c r="F886" s="1">
        <v>45323</v>
      </c>
    </row>
    <row r="887" spans="1:6" x14ac:dyDescent="0.35">
      <c r="A887" t="s">
        <v>963</v>
      </c>
      <c r="B887">
        <v>1889</v>
      </c>
      <c r="C887">
        <v>50</v>
      </c>
      <c r="D887" t="s">
        <v>12</v>
      </c>
      <c r="E887">
        <v>50</v>
      </c>
      <c r="F887" s="1">
        <v>45352</v>
      </c>
    </row>
    <row r="888" spans="1:6" x14ac:dyDescent="0.35">
      <c r="A888" t="s">
        <v>964</v>
      </c>
      <c r="B888">
        <v>1889</v>
      </c>
      <c r="C888">
        <v>50</v>
      </c>
      <c r="D888" t="s">
        <v>12</v>
      </c>
      <c r="E888">
        <v>50</v>
      </c>
      <c r="F888" s="1">
        <v>45383</v>
      </c>
    </row>
    <row r="889" spans="1:6" x14ac:dyDescent="0.35">
      <c r="A889" t="s">
        <v>965</v>
      </c>
      <c r="B889">
        <v>1889</v>
      </c>
      <c r="C889">
        <v>50</v>
      </c>
      <c r="D889" t="s">
        <v>12</v>
      </c>
      <c r="E889">
        <v>50</v>
      </c>
      <c r="F889" s="1">
        <v>45413</v>
      </c>
    </row>
    <row r="890" spans="1:6" x14ac:dyDescent="0.35">
      <c r="A890" t="s">
        <v>966</v>
      </c>
      <c r="B890">
        <v>1889</v>
      </c>
      <c r="C890">
        <v>50</v>
      </c>
      <c r="D890" t="s">
        <v>12</v>
      </c>
      <c r="E890">
        <v>50</v>
      </c>
      <c r="F890" s="1">
        <v>45444</v>
      </c>
    </row>
    <row r="891" spans="1:6" x14ac:dyDescent="0.35">
      <c r="A891" t="s">
        <v>967</v>
      </c>
      <c r="B891">
        <v>1889</v>
      </c>
      <c r="C891">
        <v>50</v>
      </c>
      <c r="D891" t="s">
        <v>12</v>
      </c>
      <c r="E891">
        <v>50</v>
      </c>
      <c r="F891" s="1">
        <v>45474</v>
      </c>
    </row>
    <row r="892" spans="1:6" x14ac:dyDescent="0.35">
      <c r="A892" t="s">
        <v>968</v>
      </c>
      <c r="B892">
        <v>1889</v>
      </c>
      <c r="C892">
        <v>50</v>
      </c>
      <c r="D892" t="s">
        <v>12</v>
      </c>
      <c r="E892">
        <v>50</v>
      </c>
      <c r="F892" s="1">
        <v>45505</v>
      </c>
    </row>
    <row r="893" spans="1:6" x14ac:dyDescent="0.35">
      <c r="A893" t="s">
        <v>969</v>
      </c>
      <c r="B893">
        <v>1889</v>
      </c>
      <c r="C893">
        <v>50</v>
      </c>
      <c r="D893" t="s">
        <v>12</v>
      </c>
      <c r="E893">
        <v>50</v>
      </c>
      <c r="F893" s="1">
        <v>45536</v>
      </c>
    </row>
    <row r="894" spans="1:6" x14ac:dyDescent="0.35">
      <c r="A894" t="s">
        <v>970</v>
      </c>
      <c r="B894">
        <v>1889</v>
      </c>
      <c r="C894">
        <v>50</v>
      </c>
      <c r="D894" t="s">
        <v>12</v>
      </c>
      <c r="E894">
        <v>50</v>
      </c>
      <c r="F894" s="1">
        <v>45566</v>
      </c>
    </row>
    <row r="895" spans="1:6" x14ac:dyDescent="0.35">
      <c r="A895" t="s">
        <v>971</v>
      </c>
      <c r="B895">
        <v>1896</v>
      </c>
      <c r="C895">
        <v>50</v>
      </c>
      <c r="D895" t="s">
        <v>12</v>
      </c>
      <c r="E895">
        <v>50</v>
      </c>
      <c r="F895" s="1">
        <v>45717</v>
      </c>
    </row>
    <row r="896" spans="1:6" x14ac:dyDescent="0.35">
      <c r="A896" t="s">
        <v>972</v>
      </c>
      <c r="B896">
        <v>1896</v>
      </c>
      <c r="C896">
        <v>50</v>
      </c>
      <c r="D896" t="s">
        <v>12</v>
      </c>
      <c r="E896">
        <v>50</v>
      </c>
      <c r="F896" s="1">
        <v>45748</v>
      </c>
    </row>
    <row r="897" spans="1:6" x14ac:dyDescent="0.35">
      <c r="A897" t="s">
        <v>973</v>
      </c>
      <c r="B897">
        <v>1896</v>
      </c>
      <c r="C897">
        <v>50</v>
      </c>
      <c r="D897" t="s">
        <v>12</v>
      </c>
      <c r="E897">
        <v>50</v>
      </c>
      <c r="F897" s="1">
        <v>45778</v>
      </c>
    </row>
    <row r="898" spans="1:6" x14ac:dyDescent="0.35">
      <c r="A898" t="s">
        <v>974</v>
      </c>
      <c r="B898">
        <v>1896</v>
      </c>
      <c r="C898">
        <v>50</v>
      </c>
      <c r="D898" t="s">
        <v>12</v>
      </c>
      <c r="E898">
        <v>50</v>
      </c>
      <c r="F898" s="1">
        <v>45809</v>
      </c>
    </row>
    <row r="899" spans="1:6" x14ac:dyDescent="0.35">
      <c r="A899" t="s">
        <v>975</v>
      </c>
      <c r="B899">
        <v>1899</v>
      </c>
      <c r="C899">
        <v>200</v>
      </c>
      <c r="D899" t="s">
        <v>12</v>
      </c>
      <c r="E899">
        <v>200</v>
      </c>
      <c r="F899" s="1">
        <v>45292</v>
      </c>
    </row>
    <row r="900" spans="1:6" x14ac:dyDescent="0.35">
      <c r="A900" t="s">
        <v>976</v>
      </c>
      <c r="B900">
        <v>1899</v>
      </c>
      <c r="C900">
        <v>200</v>
      </c>
      <c r="D900" t="s">
        <v>12</v>
      </c>
      <c r="E900">
        <v>200</v>
      </c>
      <c r="F900" s="1">
        <v>45323</v>
      </c>
    </row>
    <row r="901" spans="1:6" x14ac:dyDescent="0.35">
      <c r="A901" t="s">
        <v>977</v>
      </c>
      <c r="B901">
        <v>1899</v>
      </c>
      <c r="C901">
        <v>200</v>
      </c>
      <c r="D901" t="s">
        <v>12</v>
      </c>
      <c r="E901">
        <v>200</v>
      </c>
      <c r="F901" s="1">
        <v>45352</v>
      </c>
    </row>
    <row r="902" spans="1:6" x14ac:dyDescent="0.35">
      <c r="A902" t="s">
        <v>978</v>
      </c>
      <c r="B902">
        <v>1899</v>
      </c>
      <c r="C902">
        <v>200</v>
      </c>
      <c r="D902" t="s">
        <v>12</v>
      </c>
      <c r="E902">
        <v>200</v>
      </c>
      <c r="F902" s="1">
        <v>45383</v>
      </c>
    </row>
    <row r="903" spans="1:6" x14ac:dyDescent="0.35">
      <c r="A903" t="s">
        <v>979</v>
      </c>
      <c r="B903">
        <v>1899</v>
      </c>
      <c r="C903">
        <v>200</v>
      </c>
      <c r="D903" t="s">
        <v>12</v>
      </c>
      <c r="E903">
        <v>200</v>
      </c>
      <c r="F903" s="1">
        <v>45413</v>
      </c>
    </row>
    <row r="904" spans="1:6" x14ac:dyDescent="0.35">
      <c r="A904" t="s">
        <v>980</v>
      </c>
      <c r="B904">
        <v>1899</v>
      </c>
      <c r="C904">
        <v>200</v>
      </c>
      <c r="D904" t="s">
        <v>12</v>
      </c>
      <c r="E904">
        <v>200</v>
      </c>
      <c r="F904" s="1">
        <v>45444</v>
      </c>
    </row>
    <row r="905" spans="1:6" x14ac:dyDescent="0.35">
      <c r="A905" t="s">
        <v>981</v>
      </c>
      <c r="B905">
        <v>1899</v>
      </c>
      <c r="C905">
        <v>200</v>
      </c>
      <c r="D905" t="s">
        <v>12</v>
      </c>
      <c r="E905">
        <v>200</v>
      </c>
      <c r="F905" s="1">
        <v>45474</v>
      </c>
    </row>
    <row r="906" spans="1:6" x14ac:dyDescent="0.35">
      <c r="A906" t="s">
        <v>982</v>
      </c>
      <c r="B906">
        <v>1899</v>
      </c>
      <c r="C906">
        <v>200</v>
      </c>
      <c r="D906" t="s">
        <v>12</v>
      </c>
      <c r="E906">
        <v>200</v>
      </c>
      <c r="F906" s="1">
        <v>45505</v>
      </c>
    </row>
    <row r="907" spans="1:6" x14ac:dyDescent="0.35">
      <c r="A907" t="s">
        <v>983</v>
      </c>
      <c r="B907">
        <v>1899</v>
      </c>
      <c r="C907">
        <v>200</v>
      </c>
      <c r="D907" t="s">
        <v>12</v>
      </c>
      <c r="E907">
        <v>200</v>
      </c>
      <c r="F907" s="1">
        <v>45536</v>
      </c>
    </row>
    <row r="908" spans="1:6" x14ac:dyDescent="0.35">
      <c r="A908" t="s">
        <v>984</v>
      </c>
      <c r="B908">
        <v>1899</v>
      </c>
      <c r="C908">
        <v>200</v>
      </c>
      <c r="D908" t="s">
        <v>12</v>
      </c>
      <c r="E908">
        <v>200</v>
      </c>
      <c r="F908" s="1">
        <v>45566</v>
      </c>
    </row>
    <row r="909" spans="1:6" x14ac:dyDescent="0.35">
      <c r="A909" t="s">
        <v>985</v>
      </c>
      <c r="B909">
        <v>1899</v>
      </c>
      <c r="C909">
        <v>200</v>
      </c>
      <c r="D909" t="s">
        <v>12</v>
      </c>
      <c r="E909">
        <v>200</v>
      </c>
      <c r="F909" s="1">
        <v>45597</v>
      </c>
    </row>
    <row r="910" spans="1:6" x14ac:dyDescent="0.35">
      <c r="A910" t="s">
        <v>986</v>
      </c>
      <c r="B910">
        <v>1899</v>
      </c>
      <c r="C910">
        <v>200</v>
      </c>
      <c r="D910" t="s">
        <v>12</v>
      </c>
      <c r="E910">
        <v>200</v>
      </c>
      <c r="F910" s="1">
        <v>45627</v>
      </c>
    </row>
    <row r="911" spans="1:6" x14ac:dyDescent="0.35">
      <c r="A911" t="s">
        <v>987</v>
      </c>
      <c r="B911">
        <v>1900</v>
      </c>
      <c r="C911">
        <v>50</v>
      </c>
      <c r="D911" t="s">
        <v>12</v>
      </c>
      <c r="E911">
        <v>50</v>
      </c>
      <c r="F911" s="1">
        <v>45717</v>
      </c>
    </row>
    <row r="912" spans="1:6" x14ac:dyDescent="0.35">
      <c r="A912" t="s">
        <v>988</v>
      </c>
      <c r="B912">
        <v>1900</v>
      </c>
      <c r="C912">
        <v>50</v>
      </c>
      <c r="D912" t="s">
        <v>12</v>
      </c>
      <c r="E912">
        <v>50</v>
      </c>
      <c r="F912" s="1">
        <v>45748</v>
      </c>
    </row>
    <row r="913" spans="1:6" x14ac:dyDescent="0.35">
      <c r="A913" t="s">
        <v>989</v>
      </c>
      <c r="B913">
        <v>1918</v>
      </c>
      <c r="C913">
        <v>200</v>
      </c>
      <c r="D913" t="s">
        <v>12</v>
      </c>
      <c r="E913">
        <v>200</v>
      </c>
      <c r="F913" s="1">
        <v>45444</v>
      </c>
    </row>
    <row r="914" spans="1:6" x14ac:dyDescent="0.35">
      <c r="A914" t="s">
        <v>990</v>
      </c>
      <c r="B914">
        <v>1918</v>
      </c>
      <c r="C914">
        <v>200</v>
      </c>
      <c r="D914" t="s">
        <v>12</v>
      </c>
      <c r="E914">
        <v>200</v>
      </c>
      <c r="F914" s="1">
        <v>45474</v>
      </c>
    </row>
    <row r="915" spans="1:6" x14ac:dyDescent="0.35">
      <c r="A915" t="s">
        <v>991</v>
      </c>
      <c r="B915">
        <v>1918</v>
      </c>
      <c r="C915">
        <v>200</v>
      </c>
      <c r="D915" t="s">
        <v>12</v>
      </c>
      <c r="E915">
        <v>200</v>
      </c>
      <c r="F915" s="1">
        <v>45505</v>
      </c>
    </row>
    <row r="916" spans="1:6" x14ac:dyDescent="0.35">
      <c r="A916" t="s">
        <v>992</v>
      </c>
      <c r="B916">
        <v>1918</v>
      </c>
      <c r="C916">
        <v>200</v>
      </c>
      <c r="D916" t="s">
        <v>12</v>
      </c>
      <c r="E916">
        <v>200</v>
      </c>
      <c r="F916" s="1">
        <v>45536</v>
      </c>
    </row>
    <row r="917" spans="1:6" x14ac:dyDescent="0.35">
      <c r="A917" t="s">
        <v>993</v>
      </c>
      <c r="B917">
        <v>1918</v>
      </c>
      <c r="C917">
        <v>200</v>
      </c>
      <c r="D917" t="s">
        <v>12</v>
      </c>
      <c r="E917">
        <v>200</v>
      </c>
      <c r="F917" s="1">
        <v>45566</v>
      </c>
    </row>
    <row r="918" spans="1:6" x14ac:dyDescent="0.35">
      <c r="A918" t="s">
        <v>994</v>
      </c>
      <c r="B918">
        <v>1918</v>
      </c>
      <c r="C918">
        <v>200</v>
      </c>
      <c r="D918" t="s">
        <v>12</v>
      </c>
      <c r="E918">
        <v>200</v>
      </c>
      <c r="F918" s="1">
        <v>45597</v>
      </c>
    </row>
    <row r="919" spans="1:6" x14ac:dyDescent="0.35">
      <c r="A919" t="s">
        <v>995</v>
      </c>
      <c r="B919">
        <v>1924</v>
      </c>
      <c r="C919">
        <v>50</v>
      </c>
      <c r="D919" t="s">
        <v>12</v>
      </c>
      <c r="E919">
        <v>50</v>
      </c>
      <c r="F919" s="1">
        <v>45566</v>
      </c>
    </row>
    <row r="920" spans="1:6" x14ac:dyDescent="0.35">
      <c r="A920" t="s">
        <v>996</v>
      </c>
      <c r="B920">
        <v>1924</v>
      </c>
      <c r="C920">
        <v>50</v>
      </c>
      <c r="D920" t="s">
        <v>12</v>
      </c>
      <c r="E920">
        <v>50</v>
      </c>
      <c r="F920" s="1">
        <v>45597</v>
      </c>
    </row>
    <row r="921" spans="1:6" x14ac:dyDescent="0.35">
      <c r="A921" t="s">
        <v>997</v>
      </c>
      <c r="B921">
        <v>1924</v>
      </c>
      <c r="C921">
        <v>50</v>
      </c>
      <c r="D921" t="s">
        <v>12</v>
      </c>
      <c r="E921">
        <v>50</v>
      </c>
      <c r="F921" s="1">
        <v>45627</v>
      </c>
    </row>
    <row r="922" spans="1:6" x14ac:dyDescent="0.35">
      <c r="A922" t="s">
        <v>998</v>
      </c>
      <c r="B922">
        <v>1924</v>
      </c>
      <c r="C922">
        <v>50</v>
      </c>
      <c r="D922" t="s">
        <v>12</v>
      </c>
      <c r="E922">
        <v>50</v>
      </c>
      <c r="F922" s="1">
        <v>45658</v>
      </c>
    </row>
    <row r="923" spans="1:6" x14ac:dyDescent="0.35">
      <c r="A923" t="s">
        <v>999</v>
      </c>
      <c r="B923">
        <v>1924</v>
      </c>
      <c r="C923">
        <v>50</v>
      </c>
      <c r="D923" t="s">
        <v>12</v>
      </c>
      <c r="E923">
        <v>50</v>
      </c>
      <c r="F923" s="1">
        <v>45689</v>
      </c>
    </row>
    <row r="924" spans="1:6" x14ac:dyDescent="0.35">
      <c r="A924" t="s">
        <v>1000</v>
      </c>
      <c r="B924">
        <v>1924</v>
      </c>
      <c r="C924">
        <v>50</v>
      </c>
      <c r="D924" t="s">
        <v>12</v>
      </c>
      <c r="E924">
        <v>50</v>
      </c>
      <c r="F924" s="1">
        <v>45717</v>
      </c>
    </row>
    <row r="925" spans="1:6" x14ac:dyDescent="0.35">
      <c r="A925" t="s">
        <v>1001</v>
      </c>
      <c r="B925">
        <v>1924</v>
      </c>
      <c r="C925">
        <v>50</v>
      </c>
      <c r="D925" t="s">
        <v>12</v>
      </c>
      <c r="E925">
        <v>50</v>
      </c>
      <c r="F925" s="1">
        <v>45748</v>
      </c>
    </row>
    <row r="926" spans="1:6" x14ac:dyDescent="0.35">
      <c r="A926" t="s">
        <v>1002</v>
      </c>
      <c r="B926">
        <v>1924</v>
      </c>
      <c r="C926">
        <v>50</v>
      </c>
      <c r="D926" t="s">
        <v>12</v>
      </c>
      <c r="E926">
        <v>50</v>
      </c>
      <c r="F926" s="1">
        <v>45778</v>
      </c>
    </row>
    <row r="927" spans="1:6" x14ac:dyDescent="0.35">
      <c r="A927" t="s">
        <v>1003</v>
      </c>
      <c r="B927">
        <v>1929</v>
      </c>
      <c r="C927">
        <v>500</v>
      </c>
      <c r="D927" t="s">
        <v>12</v>
      </c>
      <c r="E927">
        <v>500</v>
      </c>
      <c r="F927" s="1">
        <v>45536</v>
      </c>
    </row>
    <row r="928" spans="1:6" x14ac:dyDescent="0.35">
      <c r="A928" t="s">
        <v>1004</v>
      </c>
      <c r="B928">
        <v>1929</v>
      </c>
      <c r="C928">
        <v>500</v>
      </c>
      <c r="D928" t="s">
        <v>12</v>
      </c>
      <c r="E928">
        <v>500</v>
      </c>
      <c r="F928" s="1">
        <v>45566</v>
      </c>
    </row>
    <row r="929" spans="1:6" x14ac:dyDescent="0.35">
      <c r="A929" t="s">
        <v>1005</v>
      </c>
      <c r="B929">
        <v>1929</v>
      </c>
      <c r="C929">
        <v>500</v>
      </c>
      <c r="D929" t="s">
        <v>12</v>
      </c>
      <c r="E929">
        <v>500</v>
      </c>
      <c r="F929" s="1">
        <v>45597</v>
      </c>
    </row>
    <row r="930" spans="1:6" x14ac:dyDescent="0.35">
      <c r="A930" t="s">
        <v>1006</v>
      </c>
      <c r="B930">
        <v>1951</v>
      </c>
      <c r="C930">
        <v>50</v>
      </c>
      <c r="D930" t="s">
        <v>12</v>
      </c>
      <c r="E930">
        <v>50</v>
      </c>
      <c r="F930" s="1">
        <v>45413</v>
      </c>
    </row>
    <row r="931" spans="1:6" x14ac:dyDescent="0.35">
      <c r="A931" t="s">
        <v>1007</v>
      </c>
      <c r="B931">
        <v>1951</v>
      </c>
      <c r="C931">
        <v>50</v>
      </c>
      <c r="D931" t="s">
        <v>12</v>
      </c>
      <c r="E931">
        <v>50</v>
      </c>
      <c r="F931" s="1">
        <v>45444</v>
      </c>
    </row>
    <row r="932" spans="1:6" x14ac:dyDescent="0.35">
      <c r="A932" t="s">
        <v>1008</v>
      </c>
      <c r="B932">
        <v>1951</v>
      </c>
      <c r="C932">
        <v>50</v>
      </c>
      <c r="D932" t="s">
        <v>12</v>
      </c>
      <c r="E932">
        <v>50</v>
      </c>
      <c r="F932" s="1">
        <v>45474</v>
      </c>
    </row>
    <row r="933" spans="1:6" x14ac:dyDescent="0.35">
      <c r="A933" t="s">
        <v>1009</v>
      </c>
      <c r="B933">
        <v>1951</v>
      </c>
      <c r="C933">
        <v>50</v>
      </c>
      <c r="D933" t="s">
        <v>12</v>
      </c>
      <c r="E933">
        <v>50</v>
      </c>
      <c r="F933" s="1">
        <v>45505</v>
      </c>
    </row>
    <row r="934" spans="1:6" x14ac:dyDescent="0.35">
      <c r="A934" t="s">
        <v>1010</v>
      </c>
      <c r="B934">
        <v>1951</v>
      </c>
      <c r="C934">
        <v>50</v>
      </c>
      <c r="D934" t="s">
        <v>12</v>
      </c>
      <c r="E934">
        <v>50</v>
      </c>
      <c r="F934" s="1">
        <v>45536</v>
      </c>
    </row>
    <row r="935" spans="1:6" x14ac:dyDescent="0.35">
      <c r="A935" t="s">
        <v>1011</v>
      </c>
      <c r="B935">
        <v>1951</v>
      </c>
      <c r="C935">
        <v>50</v>
      </c>
      <c r="D935" t="s">
        <v>12</v>
      </c>
      <c r="E935">
        <v>50</v>
      </c>
      <c r="F935" s="1">
        <v>45566</v>
      </c>
    </row>
    <row r="936" spans="1:6" x14ac:dyDescent="0.35">
      <c r="A936" t="s">
        <v>1012</v>
      </c>
      <c r="B936">
        <v>1953</v>
      </c>
      <c r="C936">
        <v>50</v>
      </c>
      <c r="D936" t="s">
        <v>12</v>
      </c>
      <c r="E936">
        <v>50</v>
      </c>
      <c r="F936" s="1">
        <v>45809</v>
      </c>
    </row>
    <row r="937" spans="1:6" x14ac:dyDescent="0.35">
      <c r="A937" t="s">
        <v>1013</v>
      </c>
      <c r="B937">
        <v>1965</v>
      </c>
      <c r="C937">
        <v>50</v>
      </c>
      <c r="D937" t="s">
        <v>12</v>
      </c>
      <c r="E937">
        <v>50</v>
      </c>
      <c r="F937" s="1">
        <v>45292</v>
      </c>
    </row>
    <row r="938" spans="1:6" x14ac:dyDescent="0.35">
      <c r="A938" t="s">
        <v>1014</v>
      </c>
      <c r="B938">
        <v>1965</v>
      </c>
      <c r="C938">
        <v>50</v>
      </c>
      <c r="D938" t="s">
        <v>12</v>
      </c>
      <c r="E938">
        <v>50</v>
      </c>
      <c r="F938" s="1">
        <v>45323</v>
      </c>
    </row>
    <row r="939" spans="1:6" x14ac:dyDescent="0.35">
      <c r="A939" t="s">
        <v>1015</v>
      </c>
      <c r="B939">
        <v>1965</v>
      </c>
      <c r="C939">
        <v>50</v>
      </c>
      <c r="D939" t="s">
        <v>12</v>
      </c>
      <c r="E939">
        <v>50</v>
      </c>
      <c r="F939" s="1">
        <v>45352</v>
      </c>
    </row>
    <row r="940" spans="1:6" x14ac:dyDescent="0.35">
      <c r="A940" t="s">
        <v>1016</v>
      </c>
      <c r="B940">
        <v>1965</v>
      </c>
      <c r="C940">
        <v>50</v>
      </c>
      <c r="D940" t="s">
        <v>12</v>
      </c>
      <c r="E940">
        <v>50</v>
      </c>
      <c r="F940" s="1">
        <v>45383</v>
      </c>
    </row>
    <row r="941" spans="1:6" x14ac:dyDescent="0.35">
      <c r="A941" t="s">
        <v>1017</v>
      </c>
      <c r="B941">
        <v>1965</v>
      </c>
      <c r="C941">
        <v>50</v>
      </c>
      <c r="D941" t="s">
        <v>12</v>
      </c>
      <c r="E941">
        <v>50</v>
      </c>
      <c r="F941" s="1">
        <v>45413</v>
      </c>
    </row>
    <row r="942" spans="1:6" x14ac:dyDescent="0.35">
      <c r="A942" t="s">
        <v>1018</v>
      </c>
      <c r="B942">
        <v>1965</v>
      </c>
      <c r="C942">
        <v>50</v>
      </c>
      <c r="D942" t="s">
        <v>12</v>
      </c>
      <c r="E942">
        <v>50</v>
      </c>
      <c r="F942" s="1">
        <v>45444</v>
      </c>
    </row>
    <row r="943" spans="1:6" x14ac:dyDescent="0.35">
      <c r="A943" t="s">
        <v>1019</v>
      </c>
      <c r="B943">
        <v>1965</v>
      </c>
      <c r="C943">
        <v>50</v>
      </c>
      <c r="D943" t="s">
        <v>12</v>
      </c>
      <c r="E943">
        <v>50</v>
      </c>
      <c r="F943" s="1">
        <v>45474</v>
      </c>
    </row>
    <row r="944" spans="1:6" x14ac:dyDescent="0.35">
      <c r="A944" t="s">
        <v>1020</v>
      </c>
      <c r="B944">
        <v>1965</v>
      </c>
      <c r="C944">
        <v>50</v>
      </c>
      <c r="D944" t="s">
        <v>12</v>
      </c>
      <c r="E944">
        <v>50</v>
      </c>
      <c r="F944" s="1">
        <v>45505</v>
      </c>
    </row>
    <row r="945" spans="1:6" x14ac:dyDescent="0.35">
      <c r="A945" t="s">
        <v>1021</v>
      </c>
      <c r="B945">
        <v>1965</v>
      </c>
      <c r="C945">
        <v>50</v>
      </c>
      <c r="D945" t="s">
        <v>12</v>
      </c>
      <c r="E945">
        <v>50</v>
      </c>
      <c r="F945" s="1">
        <v>45536</v>
      </c>
    </row>
    <row r="946" spans="1:6" x14ac:dyDescent="0.35">
      <c r="A946" t="s">
        <v>1022</v>
      </c>
      <c r="B946">
        <v>1965</v>
      </c>
      <c r="C946">
        <v>50</v>
      </c>
      <c r="D946" t="s">
        <v>12</v>
      </c>
      <c r="E946">
        <v>50</v>
      </c>
      <c r="F946" s="1">
        <v>45566</v>
      </c>
    </row>
    <row r="947" spans="1:6" x14ac:dyDescent="0.35">
      <c r="A947" t="s">
        <v>1023</v>
      </c>
      <c r="B947">
        <v>1965</v>
      </c>
      <c r="C947">
        <v>50</v>
      </c>
      <c r="D947" t="s">
        <v>12</v>
      </c>
      <c r="E947">
        <v>50</v>
      </c>
      <c r="F947" s="1">
        <v>45597</v>
      </c>
    </row>
    <row r="948" spans="1:6" x14ac:dyDescent="0.35">
      <c r="A948" t="s">
        <v>1024</v>
      </c>
      <c r="B948">
        <v>1965</v>
      </c>
      <c r="C948">
        <v>50</v>
      </c>
      <c r="D948" t="s">
        <v>12</v>
      </c>
      <c r="E948">
        <v>50</v>
      </c>
      <c r="F948" s="1">
        <v>45627</v>
      </c>
    </row>
    <row r="949" spans="1:6" x14ac:dyDescent="0.35">
      <c r="A949" t="s">
        <v>1025</v>
      </c>
      <c r="B949">
        <v>1965</v>
      </c>
      <c r="C949">
        <v>50</v>
      </c>
      <c r="D949" t="s">
        <v>12</v>
      </c>
      <c r="E949">
        <v>50</v>
      </c>
      <c r="F949" s="1">
        <v>45658</v>
      </c>
    </row>
    <row r="950" spans="1:6" x14ac:dyDescent="0.35">
      <c r="A950" t="s">
        <v>1026</v>
      </c>
      <c r="B950">
        <v>1965</v>
      </c>
      <c r="C950">
        <v>50</v>
      </c>
      <c r="D950" t="s">
        <v>12</v>
      </c>
      <c r="E950">
        <v>50</v>
      </c>
      <c r="F950" s="1">
        <v>45689</v>
      </c>
    </row>
    <row r="951" spans="1:6" x14ac:dyDescent="0.35">
      <c r="A951" t="s">
        <v>1027</v>
      </c>
      <c r="B951">
        <v>1965</v>
      </c>
      <c r="C951">
        <v>50</v>
      </c>
      <c r="D951" t="s">
        <v>12</v>
      </c>
      <c r="E951">
        <v>50</v>
      </c>
      <c r="F951" s="1">
        <v>45717</v>
      </c>
    </row>
    <row r="952" spans="1:6" x14ac:dyDescent="0.35">
      <c r="A952" t="s">
        <v>1028</v>
      </c>
      <c r="B952">
        <v>1965</v>
      </c>
      <c r="C952">
        <v>50</v>
      </c>
      <c r="D952" t="s">
        <v>12</v>
      </c>
      <c r="E952">
        <v>50</v>
      </c>
      <c r="F952" s="1">
        <v>45748</v>
      </c>
    </row>
    <row r="953" spans="1:6" x14ac:dyDescent="0.35">
      <c r="A953" t="s">
        <v>1029</v>
      </c>
      <c r="B953">
        <v>1965</v>
      </c>
      <c r="C953">
        <v>50</v>
      </c>
      <c r="D953" t="s">
        <v>12</v>
      </c>
      <c r="E953">
        <v>50</v>
      </c>
      <c r="F953" s="1">
        <v>45778</v>
      </c>
    </row>
    <row r="954" spans="1:6" x14ac:dyDescent="0.35">
      <c r="A954" t="s">
        <v>1030</v>
      </c>
      <c r="B954">
        <v>1970</v>
      </c>
      <c r="C954">
        <v>200</v>
      </c>
      <c r="D954" t="s">
        <v>12</v>
      </c>
      <c r="E954">
        <v>200</v>
      </c>
      <c r="F954" s="1">
        <v>45627</v>
      </c>
    </row>
    <row r="955" spans="1:6" x14ac:dyDescent="0.35">
      <c r="A955" t="s">
        <v>1031</v>
      </c>
      <c r="B955">
        <v>1970</v>
      </c>
      <c r="C955">
        <v>200</v>
      </c>
      <c r="D955" t="s">
        <v>12</v>
      </c>
      <c r="E955">
        <v>200</v>
      </c>
      <c r="F955" s="1">
        <v>45658</v>
      </c>
    </row>
    <row r="956" spans="1:6" x14ac:dyDescent="0.35">
      <c r="A956" t="s">
        <v>1032</v>
      </c>
      <c r="B956">
        <v>1970</v>
      </c>
      <c r="C956">
        <v>200</v>
      </c>
      <c r="D956" t="s">
        <v>12</v>
      </c>
      <c r="E956">
        <v>200</v>
      </c>
      <c r="F956" s="1">
        <v>45689</v>
      </c>
    </row>
    <row r="957" spans="1:6" x14ac:dyDescent="0.35">
      <c r="A957" t="s">
        <v>1033</v>
      </c>
      <c r="B957">
        <v>1970</v>
      </c>
      <c r="C957">
        <v>200</v>
      </c>
      <c r="D957" t="s">
        <v>12</v>
      </c>
      <c r="E957">
        <v>200</v>
      </c>
      <c r="F957" s="1">
        <v>45717</v>
      </c>
    </row>
    <row r="958" spans="1:6" x14ac:dyDescent="0.35">
      <c r="A958" t="s">
        <v>1034</v>
      </c>
      <c r="B958">
        <v>1970</v>
      </c>
      <c r="C958">
        <v>200</v>
      </c>
      <c r="D958" t="s">
        <v>12</v>
      </c>
      <c r="E958">
        <v>200</v>
      </c>
      <c r="F958" s="1">
        <v>45748</v>
      </c>
    </row>
    <row r="959" spans="1:6" x14ac:dyDescent="0.35">
      <c r="A959" t="s">
        <v>1035</v>
      </c>
      <c r="B959">
        <v>1970</v>
      </c>
      <c r="C959">
        <v>200</v>
      </c>
      <c r="D959" t="s">
        <v>12</v>
      </c>
      <c r="E959">
        <v>200</v>
      </c>
      <c r="F959" s="1">
        <v>45778</v>
      </c>
    </row>
    <row r="960" spans="1:6" x14ac:dyDescent="0.35">
      <c r="A960" t="s">
        <v>1036</v>
      </c>
      <c r="B960">
        <v>1970</v>
      </c>
      <c r="C960">
        <v>200</v>
      </c>
      <c r="D960" t="s">
        <v>12</v>
      </c>
      <c r="E960">
        <v>200</v>
      </c>
      <c r="F960" s="1">
        <v>45809</v>
      </c>
    </row>
    <row r="961" spans="1:6" x14ac:dyDescent="0.35">
      <c r="A961" t="s">
        <v>1037</v>
      </c>
      <c r="B961">
        <v>1975</v>
      </c>
      <c r="C961">
        <v>50</v>
      </c>
      <c r="D961" t="s">
        <v>12</v>
      </c>
      <c r="E961">
        <v>50</v>
      </c>
      <c r="F961" s="1">
        <v>45323</v>
      </c>
    </row>
    <row r="962" spans="1:6" x14ac:dyDescent="0.35">
      <c r="A962" t="s">
        <v>1038</v>
      </c>
      <c r="B962">
        <v>1975</v>
      </c>
      <c r="C962">
        <v>50</v>
      </c>
      <c r="D962" t="s">
        <v>12</v>
      </c>
      <c r="E962">
        <v>50</v>
      </c>
      <c r="F962" s="1">
        <v>45352</v>
      </c>
    </row>
    <row r="963" spans="1:6" x14ac:dyDescent="0.35">
      <c r="A963" t="s">
        <v>1039</v>
      </c>
      <c r="B963">
        <v>1975</v>
      </c>
      <c r="C963">
        <v>50</v>
      </c>
      <c r="D963" t="s">
        <v>12</v>
      </c>
      <c r="E963">
        <v>50</v>
      </c>
      <c r="F963" s="1">
        <v>45383</v>
      </c>
    </row>
    <row r="964" spans="1:6" x14ac:dyDescent="0.35">
      <c r="A964" t="s">
        <v>1040</v>
      </c>
      <c r="B964">
        <v>1975</v>
      </c>
      <c r="C964">
        <v>50</v>
      </c>
      <c r="D964" t="s">
        <v>12</v>
      </c>
      <c r="E964">
        <v>50</v>
      </c>
      <c r="F964" s="1">
        <v>45413</v>
      </c>
    </row>
    <row r="965" spans="1:6" x14ac:dyDescent="0.35">
      <c r="A965" t="s">
        <v>1041</v>
      </c>
      <c r="B965">
        <v>1975</v>
      </c>
      <c r="C965">
        <v>50</v>
      </c>
      <c r="D965" t="s">
        <v>12</v>
      </c>
      <c r="E965">
        <v>50</v>
      </c>
      <c r="F965" s="1">
        <v>45444</v>
      </c>
    </row>
    <row r="966" spans="1:6" x14ac:dyDescent="0.35">
      <c r="A966" t="s">
        <v>1042</v>
      </c>
      <c r="B966">
        <v>1982</v>
      </c>
      <c r="C966">
        <v>50</v>
      </c>
      <c r="D966" t="s">
        <v>12</v>
      </c>
      <c r="E966">
        <v>50</v>
      </c>
      <c r="F966" s="1">
        <v>45444</v>
      </c>
    </row>
    <row r="967" spans="1:6" x14ac:dyDescent="0.35">
      <c r="A967" t="s">
        <v>1043</v>
      </c>
      <c r="B967">
        <v>1982</v>
      </c>
      <c r="C967">
        <v>50</v>
      </c>
      <c r="D967" t="s">
        <v>12</v>
      </c>
      <c r="E967">
        <v>50</v>
      </c>
      <c r="F967" s="1">
        <v>45474</v>
      </c>
    </row>
    <row r="968" spans="1:6" x14ac:dyDescent="0.35">
      <c r="A968" t="s">
        <v>1044</v>
      </c>
      <c r="B968">
        <v>1982</v>
      </c>
      <c r="C968">
        <v>50</v>
      </c>
      <c r="D968" t="s">
        <v>12</v>
      </c>
      <c r="E968">
        <v>50</v>
      </c>
      <c r="F968" s="1">
        <v>45505</v>
      </c>
    </row>
    <row r="969" spans="1:6" x14ac:dyDescent="0.35">
      <c r="A969" t="s">
        <v>1045</v>
      </c>
      <c r="B969">
        <v>1982</v>
      </c>
      <c r="C969">
        <v>50</v>
      </c>
      <c r="D969" t="s">
        <v>12</v>
      </c>
      <c r="E969">
        <v>50</v>
      </c>
      <c r="F969" s="1">
        <v>45536</v>
      </c>
    </row>
    <row r="970" spans="1:6" x14ac:dyDescent="0.35">
      <c r="A970" t="s">
        <v>1046</v>
      </c>
      <c r="B970">
        <v>1982</v>
      </c>
      <c r="C970">
        <v>50</v>
      </c>
      <c r="D970" t="s">
        <v>12</v>
      </c>
      <c r="E970">
        <v>50</v>
      </c>
      <c r="F970" s="1">
        <v>45566</v>
      </c>
    </row>
    <row r="971" spans="1:6" x14ac:dyDescent="0.35">
      <c r="A971" t="s">
        <v>1047</v>
      </c>
      <c r="B971">
        <v>1982</v>
      </c>
      <c r="C971">
        <v>50</v>
      </c>
      <c r="D971" t="s">
        <v>12</v>
      </c>
      <c r="E971">
        <v>50</v>
      </c>
      <c r="F971" s="1">
        <v>45597</v>
      </c>
    </row>
    <row r="972" spans="1:6" x14ac:dyDescent="0.35">
      <c r="A972" t="s">
        <v>1048</v>
      </c>
      <c r="B972">
        <v>1982</v>
      </c>
      <c r="C972">
        <v>50</v>
      </c>
      <c r="D972" t="s">
        <v>12</v>
      </c>
      <c r="E972">
        <v>50</v>
      </c>
      <c r="F972" s="1">
        <v>45627</v>
      </c>
    </row>
    <row r="973" spans="1:6" x14ac:dyDescent="0.35">
      <c r="A973" t="s">
        <v>1049</v>
      </c>
      <c r="B973">
        <v>1982</v>
      </c>
      <c r="C973">
        <v>50</v>
      </c>
      <c r="D973" t="s">
        <v>12</v>
      </c>
      <c r="E973">
        <v>50</v>
      </c>
      <c r="F973" s="1">
        <v>45658</v>
      </c>
    </row>
    <row r="974" spans="1:6" x14ac:dyDescent="0.35">
      <c r="A974" t="s">
        <v>1050</v>
      </c>
      <c r="B974">
        <v>1982</v>
      </c>
      <c r="C974">
        <v>50</v>
      </c>
      <c r="D974" t="s">
        <v>12</v>
      </c>
      <c r="E974">
        <v>50</v>
      </c>
      <c r="F974" s="1">
        <v>45689</v>
      </c>
    </row>
    <row r="975" spans="1:6" x14ac:dyDescent="0.35">
      <c r="A975" t="s">
        <v>1051</v>
      </c>
      <c r="B975">
        <v>1982</v>
      </c>
      <c r="C975">
        <v>50</v>
      </c>
      <c r="D975" t="s">
        <v>12</v>
      </c>
      <c r="E975">
        <v>50</v>
      </c>
      <c r="F975" s="1">
        <v>45717</v>
      </c>
    </row>
    <row r="976" spans="1:6" x14ac:dyDescent="0.35">
      <c r="A976" t="s">
        <v>1052</v>
      </c>
      <c r="B976">
        <v>1982</v>
      </c>
      <c r="C976">
        <v>50</v>
      </c>
      <c r="D976" t="s">
        <v>12</v>
      </c>
      <c r="E976">
        <v>50</v>
      </c>
      <c r="F976" s="1">
        <v>45748</v>
      </c>
    </row>
    <row r="977" spans="1:6" x14ac:dyDescent="0.35">
      <c r="A977" t="s">
        <v>1053</v>
      </c>
      <c r="B977">
        <v>1982</v>
      </c>
      <c r="C977">
        <v>50</v>
      </c>
      <c r="D977" t="s">
        <v>12</v>
      </c>
      <c r="E977">
        <v>50</v>
      </c>
      <c r="F977" s="1">
        <v>45778</v>
      </c>
    </row>
    <row r="978" spans="1:6" x14ac:dyDescent="0.35">
      <c r="A978" t="s">
        <v>1054</v>
      </c>
      <c r="B978">
        <v>1986</v>
      </c>
      <c r="C978">
        <v>500</v>
      </c>
      <c r="D978" t="s">
        <v>12</v>
      </c>
      <c r="E978">
        <v>500</v>
      </c>
      <c r="F978" s="1">
        <v>45444</v>
      </c>
    </row>
    <row r="979" spans="1:6" x14ac:dyDescent="0.35">
      <c r="A979" t="s">
        <v>1055</v>
      </c>
      <c r="B979">
        <v>1986</v>
      </c>
      <c r="C979">
        <v>500</v>
      </c>
      <c r="D979" t="s">
        <v>12</v>
      </c>
      <c r="E979">
        <v>500</v>
      </c>
      <c r="F979" s="1">
        <v>45474</v>
      </c>
    </row>
    <row r="980" spans="1:6" x14ac:dyDescent="0.35">
      <c r="A980" t="s">
        <v>1056</v>
      </c>
      <c r="B980">
        <v>1986</v>
      </c>
      <c r="C980">
        <v>500</v>
      </c>
      <c r="D980" t="s">
        <v>12</v>
      </c>
      <c r="E980">
        <v>500</v>
      </c>
      <c r="F980" s="1">
        <v>45505</v>
      </c>
    </row>
    <row r="981" spans="1:6" x14ac:dyDescent="0.35">
      <c r="A981" t="s">
        <v>1057</v>
      </c>
      <c r="B981">
        <v>1986</v>
      </c>
      <c r="C981">
        <v>500</v>
      </c>
      <c r="D981" t="s">
        <v>12</v>
      </c>
      <c r="E981">
        <v>500</v>
      </c>
      <c r="F981" s="1">
        <v>45536</v>
      </c>
    </row>
    <row r="982" spans="1:6" x14ac:dyDescent="0.35">
      <c r="A982" t="s">
        <v>1058</v>
      </c>
      <c r="B982">
        <v>1986</v>
      </c>
      <c r="C982">
        <v>500</v>
      </c>
      <c r="D982" t="s">
        <v>12</v>
      </c>
      <c r="E982">
        <v>500</v>
      </c>
      <c r="F982" s="1">
        <v>45566</v>
      </c>
    </row>
    <row r="983" spans="1:6" x14ac:dyDescent="0.35">
      <c r="A983" t="s">
        <v>1059</v>
      </c>
      <c r="B983">
        <v>1988</v>
      </c>
      <c r="C983">
        <v>500</v>
      </c>
      <c r="D983" t="s">
        <v>12</v>
      </c>
      <c r="E983">
        <v>500</v>
      </c>
      <c r="F983" s="1">
        <v>45597</v>
      </c>
    </row>
    <row r="984" spans="1:6" x14ac:dyDescent="0.35">
      <c r="A984" t="s">
        <v>1060</v>
      </c>
      <c r="B984">
        <v>1988</v>
      </c>
      <c r="C984">
        <v>500</v>
      </c>
      <c r="D984" t="s">
        <v>12</v>
      </c>
      <c r="E984">
        <v>500</v>
      </c>
      <c r="F984" s="1">
        <v>45627</v>
      </c>
    </row>
    <row r="985" spans="1:6" x14ac:dyDescent="0.35">
      <c r="A985" t="s">
        <v>1061</v>
      </c>
      <c r="B985">
        <v>1988</v>
      </c>
      <c r="C985">
        <v>500</v>
      </c>
      <c r="D985" t="s">
        <v>12</v>
      </c>
      <c r="E985">
        <v>500</v>
      </c>
      <c r="F985" s="1">
        <v>45658</v>
      </c>
    </row>
    <row r="986" spans="1:6" x14ac:dyDescent="0.35">
      <c r="A986" t="s">
        <v>1062</v>
      </c>
      <c r="B986">
        <v>1988</v>
      </c>
      <c r="C986">
        <v>500</v>
      </c>
      <c r="D986" t="s">
        <v>12</v>
      </c>
      <c r="E986">
        <v>500</v>
      </c>
      <c r="F986" s="1">
        <v>45689</v>
      </c>
    </row>
    <row r="987" spans="1:6" x14ac:dyDescent="0.35">
      <c r="A987" t="s">
        <v>1063</v>
      </c>
      <c r="B987">
        <v>1988</v>
      </c>
      <c r="C987">
        <v>500</v>
      </c>
      <c r="D987" t="s">
        <v>12</v>
      </c>
      <c r="E987">
        <v>500</v>
      </c>
      <c r="F987" s="1">
        <v>45717</v>
      </c>
    </row>
    <row r="988" spans="1:6" x14ac:dyDescent="0.35">
      <c r="A988" t="s">
        <v>1064</v>
      </c>
      <c r="B988">
        <v>1999</v>
      </c>
      <c r="C988">
        <v>500</v>
      </c>
      <c r="D988" t="s">
        <v>12</v>
      </c>
      <c r="E988">
        <v>500</v>
      </c>
      <c r="F988" s="1">
        <v>45748</v>
      </c>
    </row>
    <row r="989" spans="1:6" x14ac:dyDescent="0.35">
      <c r="A989" t="s">
        <v>1065</v>
      </c>
      <c r="B989">
        <v>1999</v>
      </c>
      <c r="C989">
        <v>500</v>
      </c>
      <c r="D989" t="s">
        <v>12</v>
      </c>
      <c r="E989">
        <v>500</v>
      </c>
      <c r="F989" s="1">
        <v>45778</v>
      </c>
    </row>
  </sheetData>
  <conditionalFormatting sqref="H8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37F2-5307-4C3A-9AAD-7AC0260A953E}">
  <dimension ref="A1:D989"/>
  <sheetViews>
    <sheetView zoomScale="98" workbookViewId="0">
      <selection activeCell="C7" sqref="C7"/>
    </sheetView>
  </sheetViews>
  <sheetFormatPr defaultRowHeight="14.5" x14ac:dyDescent="0.35"/>
  <cols>
    <col min="1" max="1" width="19.26953125" customWidth="1"/>
    <col min="2" max="2" width="15.1796875" customWidth="1"/>
    <col min="3" max="3" width="14.54296875" customWidth="1"/>
    <col min="4" max="4" width="14.7265625" customWidth="1"/>
  </cols>
  <sheetData>
    <row r="1" spans="1:4" x14ac:dyDescent="0.35">
      <c r="A1" t="s">
        <v>76</v>
      </c>
      <c r="B1" t="s">
        <v>66</v>
      </c>
      <c r="C1" t="s">
        <v>1069</v>
      </c>
      <c r="D1" t="s">
        <v>69</v>
      </c>
    </row>
    <row r="2" spans="1:4" x14ac:dyDescent="0.35">
      <c r="A2" t="s">
        <v>78</v>
      </c>
      <c r="B2">
        <v>1020</v>
      </c>
      <c r="C2" t="s">
        <v>1070</v>
      </c>
      <c r="D2">
        <v>200</v>
      </c>
    </row>
    <row r="3" spans="1:4" x14ac:dyDescent="0.35">
      <c r="A3" t="s">
        <v>79</v>
      </c>
      <c r="B3">
        <v>1020</v>
      </c>
      <c r="C3" t="s">
        <v>1071</v>
      </c>
      <c r="D3">
        <v>200</v>
      </c>
    </row>
    <row r="4" spans="1:4" x14ac:dyDescent="0.35">
      <c r="A4" t="s">
        <v>80</v>
      </c>
      <c r="B4">
        <v>1020</v>
      </c>
      <c r="C4" t="s">
        <v>1072</v>
      </c>
      <c r="D4">
        <v>200</v>
      </c>
    </row>
    <row r="5" spans="1:4" x14ac:dyDescent="0.35">
      <c r="A5" t="s">
        <v>81</v>
      </c>
      <c r="B5">
        <v>1020</v>
      </c>
      <c r="C5" t="s">
        <v>1073</v>
      </c>
      <c r="D5">
        <v>200</v>
      </c>
    </row>
    <row r="6" spans="1:4" x14ac:dyDescent="0.35">
      <c r="A6" t="s">
        <v>82</v>
      </c>
      <c r="B6">
        <v>1020</v>
      </c>
      <c r="C6" t="s">
        <v>1074</v>
      </c>
      <c r="D6">
        <v>200</v>
      </c>
    </row>
    <row r="7" spans="1:4" x14ac:dyDescent="0.35">
      <c r="A7" t="s">
        <v>83</v>
      </c>
      <c r="B7">
        <v>1020</v>
      </c>
      <c r="C7" t="s">
        <v>1075</v>
      </c>
      <c r="D7">
        <v>200</v>
      </c>
    </row>
    <row r="8" spans="1:4" x14ac:dyDescent="0.35">
      <c r="A8" t="s">
        <v>84</v>
      </c>
      <c r="B8">
        <v>1020</v>
      </c>
      <c r="C8" t="s">
        <v>1076</v>
      </c>
      <c r="D8">
        <v>200</v>
      </c>
    </row>
    <row r="9" spans="1:4" x14ac:dyDescent="0.35">
      <c r="A9" t="s">
        <v>85</v>
      </c>
      <c r="B9">
        <v>1021</v>
      </c>
      <c r="C9" t="s">
        <v>1077</v>
      </c>
      <c r="D9">
        <v>200</v>
      </c>
    </row>
    <row r="10" spans="1:4" x14ac:dyDescent="0.35">
      <c r="A10" t="s">
        <v>86</v>
      </c>
      <c r="B10">
        <v>1021</v>
      </c>
      <c r="C10" t="s">
        <v>1078</v>
      </c>
      <c r="D10">
        <v>200</v>
      </c>
    </row>
    <row r="11" spans="1:4" x14ac:dyDescent="0.35">
      <c r="A11" t="s">
        <v>87</v>
      </c>
      <c r="B11">
        <v>1023</v>
      </c>
      <c r="C11" t="s">
        <v>1072</v>
      </c>
      <c r="D11">
        <v>50</v>
      </c>
    </row>
    <row r="12" spans="1:4" x14ac:dyDescent="0.35">
      <c r="A12" t="s">
        <v>88</v>
      </c>
      <c r="B12">
        <v>1023</v>
      </c>
      <c r="C12" t="s">
        <v>1073</v>
      </c>
      <c r="D12">
        <v>50</v>
      </c>
    </row>
    <row r="13" spans="1:4" x14ac:dyDescent="0.35">
      <c r="A13" t="s">
        <v>89</v>
      </c>
      <c r="B13">
        <v>1023</v>
      </c>
      <c r="C13" t="s">
        <v>1074</v>
      </c>
      <c r="D13">
        <v>50</v>
      </c>
    </row>
    <row r="14" spans="1:4" x14ac:dyDescent="0.35">
      <c r="A14" t="s">
        <v>90</v>
      </c>
      <c r="B14">
        <v>1023</v>
      </c>
      <c r="C14" t="s">
        <v>1075</v>
      </c>
      <c r="D14">
        <v>50</v>
      </c>
    </row>
    <row r="15" spans="1:4" x14ac:dyDescent="0.35">
      <c r="A15" t="s">
        <v>91</v>
      </c>
      <c r="B15">
        <v>1023</v>
      </c>
      <c r="C15" t="s">
        <v>1076</v>
      </c>
      <c r="D15">
        <v>50</v>
      </c>
    </row>
    <row r="16" spans="1:4" x14ac:dyDescent="0.35">
      <c r="A16" t="s">
        <v>92</v>
      </c>
      <c r="B16">
        <v>1023</v>
      </c>
      <c r="C16" t="s">
        <v>1079</v>
      </c>
      <c r="D16">
        <v>50</v>
      </c>
    </row>
    <row r="17" spans="1:4" x14ac:dyDescent="0.35">
      <c r="A17" t="s">
        <v>93</v>
      </c>
      <c r="B17">
        <v>1023</v>
      </c>
      <c r="C17" t="s">
        <v>1080</v>
      </c>
      <c r="D17">
        <v>50</v>
      </c>
    </row>
    <row r="18" spans="1:4" x14ac:dyDescent="0.35">
      <c r="A18" t="s">
        <v>94</v>
      </c>
      <c r="B18">
        <v>1026</v>
      </c>
      <c r="C18" t="s">
        <v>1075</v>
      </c>
      <c r="D18">
        <v>200</v>
      </c>
    </row>
    <row r="19" spans="1:4" x14ac:dyDescent="0.35">
      <c r="A19" t="s">
        <v>95</v>
      </c>
      <c r="B19">
        <v>1026</v>
      </c>
      <c r="C19" t="s">
        <v>1076</v>
      </c>
      <c r="D19">
        <v>200</v>
      </c>
    </row>
    <row r="20" spans="1:4" x14ac:dyDescent="0.35">
      <c r="A20" t="s">
        <v>96</v>
      </c>
      <c r="B20">
        <v>1026</v>
      </c>
      <c r="C20" t="s">
        <v>1079</v>
      </c>
      <c r="D20">
        <v>200</v>
      </c>
    </row>
    <row r="21" spans="1:4" x14ac:dyDescent="0.35">
      <c r="A21" t="s">
        <v>97</v>
      </c>
      <c r="B21">
        <v>1031</v>
      </c>
      <c r="C21" t="s">
        <v>1077</v>
      </c>
      <c r="D21">
        <v>200</v>
      </c>
    </row>
    <row r="22" spans="1:4" x14ac:dyDescent="0.35">
      <c r="A22" t="s">
        <v>98</v>
      </c>
      <c r="B22">
        <v>1031</v>
      </c>
      <c r="C22" t="s">
        <v>1078</v>
      </c>
      <c r="D22">
        <v>200</v>
      </c>
    </row>
    <row r="23" spans="1:4" x14ac:dyDescent="0.35">
      <c r="A23" t="s">
        <v>99</v>
      </c>
      <c r="B23">
        <v>1031</v>
      </c>
      <c r="C23" t="s">
        <v>1081</v>
      </c>
      <c r="D23">
        <v>200</v>
      </c>
    </row>
    <row r="24" spans="1:4" x14ac:dyDescent="0.35">
      <c r="A24" t="s">
        <v>100</v>
      </c>
      <c r="B24">
        <v>1031</v>
      </c>
      <c r="C24">
        <v>1031</v>
      </c>
      <c r="D24">
        <v>200</v>
      </c>
    </row>
    <row r="25" spans="1:4" x14ac:dyDescent="0.35">
      <c r="A25" t="s">
        <v>101</v>
      </c>
      <c r="B25">
        <v>1031</v>
      </c>
      <c r="C25" t="s">
        <v>1082</v>
      </c>
      <c r="D25">
        <v>200</v>
      </c>
    </row>
    <row r="26" spans="1:4" x14ac:dyDescent="0.35">
      <c r="A26" t="s">
        <v>102</v>
      </c>
      <c r="B26">
        <v>1031</v>
      </c>
      <c r="C26" t="s">
        <v>1083</v>
      </c>
      <c r="D26">
        <v>200</v>
      </c>
    </row>
    <row r="27" spans="1:4" x14ac:dyDescent="0.35">
      <c r="A27" t="s">
        <v>103</v>
      </c>
      <c r="B27">
        <v>1031</v>
      </c>
      <c r="C27" t="s">
        <v>1070</v>
      </c>
      <c r="D27">
        <v>200</v>
      </c>
    </row>
    <row r="28" spans="1:4" x14ac:dyDescent="0.35">
      <c r="A28" t="s">
        <v>104</v>
      </c>
      <c r="B28">
        <v>1031</v>
      </c>
      <c r="C28" t="s">
        <v>1071</v>
      </c>
      <c r="D28">
        <v>200</v>
      </c>
    </row>
    <row r="29" spans="1:4" x14ac:dyDescent="0.35">
      <c r="A29" t="s">
        <v>105</v>
      </c>
      <c r="B29">
        <v>1031</v>
      </c>
      <c r="C29" t="s">
        <v>1072</v>
      </c>
      <c r="D29">
        <v>200</v>
      </c>
    </row>
    <row r="30" spans="1:4" x14ac:dyDescent="0.35">
      <c r="A30" t="s">
        <v>106</v>
      </c>
      <c r="B30">
        <v>1034</v>
      </c>
      <c r="C30" t="s">
        <v>1077</v>
      </c>
      <c r="D30">
        <v>50</v>
      </c>
    </row>
    <row r="31" spans="1:4" x14ac:dyDescent="0.35">
      <c r="A31" t="s">
        <v>107</v>
      </c>
      <c r="B31">
        <v>1034</v>
      </c>
      <c r="C31" t="s">
        <v>1078</v>
      </c>
      <c r="D31">
        <v>50</v>
      </c>
    </row>
    <row r="32" spans="1:4" x14ac:dyDescent="0.35">
      <c r="A32" t="s">
        <v>108</v>
      </c>
      <c r="B32">
        <v>1034</v>
      </c>
      <c r="C32" t="s">
        <v>1081</v>
      </c>
      <c r="D32">
        <v>50</v>
      </c>
    </row>
    <row r="33" spans="1:4" x14ac:dyDescent="0.35">
      <c r="A33" t="s">
        <v>109</v>
      </c>
      <c r="B33">
        <v>1034</v>
      </c>
      <c r="C33" t="s">
        <v>1084</v>
      </c>
      <c r="D33">
        <v>50</v>
      </c>
    </row>
    <row r="34" spans="1:4" x14ac:dyDescent="0.35">
      <c r="A34" t="s">
        <v>110</v>
      </c>
      <c r="B34">
        <v>1034</v>
      </c>
      <c r="C34" t="s">
        <v>1082</v>
      </c>
      <c r="D34">
        <v>50</v>
      </c>
    </row>
    <row r="35" spans="1:4" x14ac:dyDescent="0.35">
      <c r="A35" t="s">
        <v>111</v>
      </c>
      <c r="B35">
        <v>1034</v>
      </c>
      <c r="C35" t="s">
        <v>1083</v>
      </c>
      <c r="D35">
        <v>50</v>
      </c>
    </row>
    <row r="36" spans="1:4" x14ac:dyDescent="0.35">
      <c r="A36" t="s">
        <v>112</v>
      </c>
      <c r="B36">
        <v>1034</v>
      </c>
      <c r="C36" t="s">
        <v>1070</v>
      </c>
      <c r="D36">
        <v>50</v>
      </c>
    </row>
    <row r="37" spans="1:4" x14ac:dyDescent="0.35">
      <c r="A37" t="s">
        <v>113</v>
      </c>
      <c r="B37">
        <v>1034</v>
      </c>
      <c r="C37" t="s">
        <v>1071</v>
      </c>
      <c r="D37">
        <v>50</v>
      </c>
    </row>
    <row r="38" spans="1:4" x14ac:dyDescent="0.35">
      <c r="A38" t="s">
        <v>114</v>
      </c>
      <c r="B38">
        <v>1034</v>
      </c>
      <c r="C38" t="s">
        <v>1072</v>
      </c>
      <c r="D38">
        <v>50</v>
      </c>
    </row>
    <row r="39" spans="1:4" x14ac:dyDescent="0.35">
      <c r="A39" t="s">
        <v>115</v>
      </c>
      <c r="B39">
        <v>1034</v>
      </c>
      <c r="C39" t="s">
        <v>1073</v>
      </c>
      <c r="D39">
        <v>50</v>
      </c>
    </row>
    <row r="40" spans="1:4" x14ac:dyDescent="0.35">
      <c r="A40" t="s">
        <v>116</v>
      </c>
      <c r="B40">
        <v>1034</v>
      </c>
      <c r="C40" t="s">
        <v>1074</v>
      </c>
      <c r="D40">
        <v>50</v>
      </c>
    </row>
    <row r="41" spans="1:4" x14ac:dyDescent="0.35">
      <c r="A41" t="s">
        <v>117</v>
      </c>
      <c r="B41">
        <v>1034</v>
      </c>
      <c r="C41" t="s">
        <v>1075</v>
      </c>
      <c r="D41">
        <v>50</v>
      </c>
    </row>
    <row r="42" spans="1:4" x14ac:dyDescent="0.35">
      <c r="A42" t="s">
        <v>118</v>
      </c>
      <c r="B42">
        <v>1034</v>
      </c>
      <c r="C42" t="s">
        <v>1076</v>
      </c>
      <c r="D42">
        <v>50</v>
      </c>
    </row>
    <row r="43" spans="1:4" x14ac:dyDescent="0.35">
      <c r="A43" t="s">
        <v>119</v>
      </c>
      <c r="B43">
        <v>1035</v>
      </c>
      <c r="C43" t="s">
        <v>1084</v>
      </c>
      <c r="D43">
        <v>50</v>
      </c>
    </row>
    <row r="44" spans="1:4" x14ac:dyDescent="0.35">
      <c r="A44" t="s">
        <v>120</v>
      </c>
      <c r="B44">
        <v>1035</v>
      </c>
      <c r="C44" t="s">
        <v>1082</v>
      </c>
      <c r="D44">
        <v>50</v>
      </c>
    </row>
    <row r="45" spans="1:4" x14ac:dyDescent="0.35">
      <c r="A45" t="s">
        <v>121</v>
      </c>
      <c r="B45">
        <v>1035</v>
      </c>
      <c r="C45" t="s">
        <v>1083</v>
      </c>
      <c r="D45">
        <v>50</v>
      </c>
    </row>
    <row r="46" spans="1:4" x14ac:dyDescent="0.35">
      <c r="A46" t="s">
        <v>122</v>
      </c>
      <c r="B46">
        <v>1035</v>
      </c>
      <c r="C46" t="s">
        <v>1070</v>
      </c>
      <c r="D46">
        <v>50</v>
      </c>
    </row>
    <row r="47" spans="1:4" x14ac:dyDescent="0.35">
      <c r="A47" t="s">
        <v>123</v>
      </c>
      <c r="B47">
        <v>1035</v>
      </c>
      <c r="C47" t="s">
        <v>1071</v>
      </c>
      <c r="D47">
        <v>50</v>
      </c>
    </row>
    <row r="48" spans="1:4" x14ac:dyDescent="0.35">
      <c r="A48" t="s">
        <v>124</v>
      </c>
      <c r="B48">
        <v>1035</v>
      </c>
      <c r="C48" t="s">
        <v>1072</v>
      </c>
      <c r="D48">
        <v>50</v>
      </c>
    </row>
    <row r="49" spans="1:4" x14ac:dyDescent="0.35">
      <c r="A49" t="s">
        <v>125</v>
      </c>
      <c r="B49">
        <v>1035</v>
      </c>
      <c r="C49" t="s">
        <v>1073</v>
      </c>
      <c r="D49">
        <v>50</v>
      </c>
    </row>
    <row r="50" spans="1:4" x14ac:dyDescent="0.35">
      <c r="A50" t="s">
        <v>126</v>
      </c>
      <c r="B50">
        <v>1035</v>
      </c>
      <c r="C50" t="s">
        <v>1074</v>
      </c>
      <c r="D50">
        <v>50</v>
      </c>
    </row>
    <row r="51" spans="1:4" x14ac:dyDescent="0.35">
      <c r="A51" t="s">
        <v>127</v>
      </c>
      <c r="B51">
        <v>1035</v>
      </c>
      <c r="C51" t="s">
        <v>1075</v>
      </c>
      <c r="D51">
        <v>50</v>
      </c>
    </row>
    <row r="52" spans="1:4" x14ac:dyDescent="0.35">
      <c r="A52" t="s">
        <v>128</v>
      </c>
      <c r="B52">
        <v>1035</v>
      </c>
      <c r="C52" t="s">
        <v>1076</v>
      </c>
      <c r="D52">
        <v>50</v>
      </c>
    </row>
    <row r="53" spans="1:4" x14ac:dyDescent="0.35">
      <c r="A53" t="s">
        <v>129</v>
      </c>
      <c r="B53">
        <v>1042</v>
      </c>
      <c r="C53" t="s">
        <v>1077</v>
      </c>
      <c r="D53">
        <v>200</v>
      </c>
    </row>
    <row r="54" spans="1:4" x14ac:dyDescent="0.35">
      <c r="A54" t="s">
        <v>130</v>
      </c>
      <c r="B54">
        <v>1042</v>
      </c>
      <c r="C54" t="s">
        <v>1078</v>
      </c>
      <c r="D54">
        <v>200</v>
      </c>
    </row>
    <row r="55" spans="1:4" x14ac:dyDescent="0.35">
      <c r="A55" t="s">
        <v>131</v>
      </c>
      <c r="B55">
        <v>1042</v>
      </c>
      <c r="C55" t="s">
        <v>1081</v>
      </c>
      <c r="D55">
        <v>200</v>
      </c>
    </row>
    <row r="56" spans="1:4" x14ac:dyDescent="0.35">
      <c r="A56" t="s">
        <v>132</v>
      </c>
      <c r="B56">
        <v>1042</v>
      </c>
      <c r="C56" t="s">
        <v>1084</v>
      </c>
      <c r="D56">
        <v>200</v>
      </c>
    </row>
    <row r="57" spans="1:4" x14ac:dyDescent="0.35">
      <c r="A57" t="s">
        <v>133</v>
      </c>
      <c r="B57">
        <v>1042</v>
      </c>
      <c r="C57" t="s">
        <v>1082</v>
      </c>
      <c r="D57">
        <v>200</v>
      </c>
    </row>
    <row r="58" spans="1:4" x14ac:dyDescent="0.35">
      <c r="A58" t="s">
        <v>134</v>
      </c>
      <c r="B58">
        <v>1042</v>
      </c>
      <c r="C58" t="s">
        <v>1083</v>
      </c>
      <c r="D58">
        <v>200</v>
      </c>
    </row>
    <row r="59" spans="1:4" x14ac:dyDescent="0.35">
      <c r="A59" t="s">
        <v>135</v>
      </c>
      <c r="B59">
        <v>1042</v>
      </c>
      <c r="C59" t="s">
        <v>1070</v>
      </c>
      <c r="D59">
        <v>200</v>
      </c>
    </row>
    <row r="60" spans="1:4" x14ac:dyDescent="0.35">
      <c r="A60" t="s">
        <v>136</v>
      </c>
      <c r="B60">
        <v>1042</v>
      </c>
      <c r="C60" t="s">
        <v>1071</v>
      </c>
      <c r="D60">
        <v>200</v>
      </c>
    </row>
    <row r="61" spans="1:4" x14ac:dyDescent="0.35">
      <c r="A61" t="s">
        <v>137</v>
      </c>
      <c r="B61">
        <v>1042</v>
      </c>
      <c r="C61" t="s">
        <v>1072</v>
      </c>
      <c r="D61">
        <v>200</v>
      </c>
    </row>
    <row r="62" spans="1:4" x14ac:dyDescent="0.35">
      <c r="A62" t="s">
        <v>138</v>
      </c>
      <c r="B62">
        <v>1042</v>
      </c>
      <c r="C62" t="s">
        <v>1073</v>
      </c>
      <c r="D62">
        <v>200</v>
      </c>
    </row>
    <row r="63" spans="1:4" x14ac:dyDescent="0.35">
      <c r="A63" t="s">
        <v>139</v>
      </c>
      <c r="B63">
        <v>1042</v>
      </c>
      <c r="C63" t="s">
        <v>1074</v>
      </c>
      <c r="D63">
        <v>200</v>
      </c>
    </row>
    <row r="64" spans="1:4" x14ac:dyDescent="0.35">
      <c r="A64" t="s">
        <v>140</v>
      </c>
      <c r="B64">
        <v>1042</v>
      </c>
      <c r="C64" t="s">
        <v>1075</v>
      </c>
      <c r="D64">
        <v>200</v>
      </c>
    </row>
    <row r="65" spans="1:4" x14ac:dyDescent="0.35">
      <c r="A65" t="s">
        <v>141</v>
      </c>
      <c r="B65">
        <v>1043</v>
      </c>
      <c r="C65" t="s">
        <v>1073</v>
      </c>
      <c r="D65">
        <v>500</v>
      </c>
    </row>
    <row r="66" spans="1:4" x14ac:dyDescent="0.35">
      <c r="A66" t="s">
        <v>142</v>
      </c>
      <c r="B66">
        <v>1043</v>
      </c>
      <c r="C66" t="s">
        <v>1074</v>
      </c>
      <c r="D66">
        <v>500</v>
      </c>
    </row>
    <row r="67" spans="1:4" x14ac:dyDescent="0.35">
      <c r="A67" t="s">
        <v>143</v>
      </c>
      <c r="B67">
        <v>1047</v>
      </c>
      <c r="C67" t="s">
        <v>1073</v>
      </c>
      <c r="D67">
        <v>50</v>
      </c>
    </row>
    <row r="68" spans="1:4" x14ac:dyDescent="0.35">
      <c r="A68" t="s">
        <v>144</v>
      </c>
      <c r="B68">
        <v>1047</v>
      </c>
      <c r="C68" t="s">
        <v>1074</v>
      </c>
      <c r="D68">
        <v>50</v>
      </c>
    </row>
    <row r="69" spans="1:4" x14ac:dyDescent="0.35">
      <c r="A69" t="s">
        <v>145</v>
      </c>
      <c r="B69">
        <v>1047</v>
      </c>
      <c r="C69" t="s">
        <v>1075</v>
      </c>
      <c r="D69">
        <v>50</v>
      </c>
    </row>
    <row r="70" spans="1:4" x14ac:dyDescent="0.35">
      <c r="A70" t="s">
        <v>146</v>
      </c>
      <c r="B70">
        <v>1047</v>
      </c>
      <c r="C70" t="s">
        <v>1076</v>
      </c>
      <c r="D70">
        <v>50</v>
      </c>
    </row>
    <row r="71" spans="1:4" x14ac:dyDescent="0.35">
      <c r="A71" t="s">
        <v>147</v>
      </c>
      <c r="B71">
        <v>1056</v>
      </c>
      <c r="C71" t="s">
        <v>1070</v>
      </c>
      <c r="D71">
        <v>200</v>
      </c>
    </row>
    <row r="72" spans="1:4" x14ac:dyDescent="0.35">
      <c r="A72" t="s">
        <v>148</v>
      </c>
      <c r="B72">
        <v>1056</v>
      </c>
      <c r="C72" t="s">
        <v>1071</v>
      </c>
      <c r="D72">
        <v>200</v>
      </c>
    </row>
    <row r="73" spans="1:4" x14ac:dyDescent="0.35">
      <c r="A73" t="s">
        <v>149</v>
      </c>
      <c r="B73">
        <v>1056</v>
      </c>
      <c r="C73" t="s">
        <v>1072</v>
      </c>
      <c r="D73">
        <v>200</v>
      </c>
    </row>
    <row r="74" spans="1:4" x14ac:dyDescent="0.35">
      <c r="A74" t="s">
        <v>150</v>
      </c>
      <c r="B74">
        <v>1060</v>
      </c>
      <c r="C74" t="s">
        <v>1075</v>
      </c>
      <c r="D74">
        <v>50</v>
      </c>
    </row>
    <row r="75" spans="1:4" x14ac:dyDescent="0.35">
      <c r="A75" t="s">
        <v>151</v>
      </c>
      <c r="B75">
        <v>1060</v>
      </c>
      <c r="C75" t="s">
        <v>1076</v>
      </c>
      <c r="D75">
        <v>50</v>
      </c>
    </row>
    <row r="76" spans="1:4" x14ac:dyDescent="0.35">
      <c r="A76" t="s">
        <v>152</v>
      </c>
      <c r="B76">
        <v>1060</v>
      </c>
      <c r="C76" t="s">
        <v>1079</v>
      </c>
      <c r="D76">
        <v>50</v>
      </c>
    </row>
    <row r="77" spans="1:4" x14ac:dyDescent="0.35">
      <c r="A77" t="s">
        <v>153</v>
      </c>
      <c r="B77">
        <v>1062</v>
      </c>
      <c r="C77" t="s">
        <v>1079</v>
      </c>
      <c r="D77">
        <v>200</v>
      </c>
    </row>
    <row r="78" spans="1:4" x14ac:dyDescent="0.35">
      <c r="A78" t="s">
        <v>154</v>
      </c>
      <c r="B78">
        <v>1074</v>
      </c>
      <c r="C78" t="s">
        <v>1082</v>
      </c>
      <c r="D78">
        <v>500</v>
      </c>
    </row>
    <row r="79" spans="1:4" x14ac:dyDescent="0.35">
      <c r="A79" t="s">
        <v>155</v>
      </c>
      <c r="B79">
        <v>1074</v>
      </c>
      <c r="C79" t="s">
        <v>1083</v>
      </c>
      <c r="D79">
        <v>500</v>
      </c>
    </row>
    <row r="80" spans="1:4" x14ac:dyDescent="0.35">
      <c r="A80" t="s">
        <v>156</v>
      </c>
      <c r="B80">
        <v>1074</v>
      </c>
      <c r="C80" t="s">
        <v>1070</v>
      </c>
      <c r="D80">
        <v>500</v>
      </c>
    </row>
    <row r="81" spans="1:4" x14ac:dyDescent="0.35">
      <c r="A81" t="s">
        <v>157</v>
      </c>
      <c r="B81">
        <v>1074</v>
      </c>
      <c r="C81" t="s">
        <v>1071</v>
      </c>
      <c r="D81">
        <v>500</v>
      </c>
    </row>
    <row r="82" spans="1:4" x14ac:dyDescent="0.35">
      <c r="A82" t="s">
        <v>158</v>
      </c>
      <c r="B82">
        <v>1074</v>
      </c>
      <c r="C82" t="s">
        <v>1072</v>
      </c>
      <c r="D82">
        <v>500</v>
      </c>
    </row>
    <row r="83" spans="1:4" x14ac:dyDescent="0.35">
      <c r="A83" t="s">
        <v>159</v>
      </c>
      <c r="B83">
        <v>1074</v>
      </c>
      <c r="C83" t="s">
        <v>1073</v>
      </c>
      <c r="D83">
        <v>500</v>
      </c>
    </row>
    <row r="84" spans="1:4" x14ac:dyDescent="0.35">
      <c r="A84" t="s">
        <v>160</v>
      </c>
      <c r="B84">
        <v>1074</v>
      </c>
      <c r="C84" t="s">
        <v>1074</v>
      </c>
      <c r="D84">
        <v>500</v>
      </c>
    </row>
    <row r="85" spans="1:4" x14ac:dyDescent="0.35">
      <c r="A85" t="s">
        <v>161</v>
      </c>
      <c r="B85">
        <v>1074</v>
      </c>
      <c r="C85" t="s">
        <v>1075</v>
      </c>
      <c r="D85">
        <v>500</v>
      </c>
    </row>
    <row r="86" spans="1:4" x14ac:dyDescent="0.35">
      <c r="A86" t="s">
        <v>162</v>
      </c>
      <c r="B86">
        <v>1074</v>
      </c>
      <c r="C86" t="s">
        <v>1076</v>
      </c>
      <c r="D86">
        <v>500</v>
      </c>
    </row>
    <row r="87" spans="1:4" x14ac:dyDescent="0.35">
      <c r="A87" t="s">
        <v>163</v>
      </c>
      <c r="B87">
        <v>1074</v>
      </c>
      <c r="C87" t="s">
        <v>1079</v>
      </c>
      <c r="D87">
        <v>500</v>
      </c>
    </row>
    <row r="88" spans="1:4" x14ac:dyDescent="0.35">
      <c r="A88" t="s">
        <v>164</v>
      </c>
      <c r="B88">
        <v>1075</v>
      </c>
      <c r="C88" t="s">
        <v>1070</v>
      </c>
      <c r="D88">
        <v>500</v>
      </c>
    </row>
    <row r="89" spans="1:4" x14ac:dyDescent="0.35">
      <c r="A89" t="s">
        <v>165</v>
      </c>
      <c r="B89">
        <v>1075</v>
      </c>
      <c r="C89" t="s">
        <v>1071</v>
      </c>
      <c r="D89">
        <v>500</v>
      </c>
    </row>
    <row r="90" spans="1:4" x14ac:dyDescent="0.35">
      <c r="A90" t="s">
        <v>166</v>
      </c>
      <c r="B90">
        <v>1075</v>
      </c>
      <c r="C90" t="s">
        <v>1072</v>
      </c>
      <c r="D90">
        <v>500</v>
      </c>
    </row>
    <row r="91" spans="1:4" x14ac:dyDescent="0.35">
      <c r="A91" t="s">
        <v>167</v>
      </c>
      <c r="B91">
        <v>1075</v>
      </c>
      <c r="C91" t="s">
        <v>1073</v>
      </c>
      <c r="D91">
        <v>500</v>
      </c>
    </row>
    <row r="92" spans="1:4" x14ac:dyDescent="0.35">
      <c r="A92" t="s">
        <v>168</v>
      </c>
      <c r="B92">
        <v>1075</v>
      </c>
      <c r="C92" t="s">
        <v>1074</v>
      </c>
      <c r="D92">
        <v>500</v>
      </c>
    </row>
    <row r="93" spans="1:4" x14ac:dyDescent="0.35">
      <c r="A93" t="s">
        <v>169</v>
      </c>
      <c r="B93">
        <v>1075</v>
      </c>
      <c r="C93" t="s">
        <v>1075</v>
      </c>
      <c r="D93">
        <v>500</v>
      </c>
    </row>
    <row r="94" spans="1:4" x14ac:dyDescent="0.35">
      <c r="A94" t="s">
        <v>170</v>
      </c>
      <c r="B94">
        <v>1075</v>
      </c>
      <c r="C94" t="s">
        <v>1076</v>
      </c>
      <c r="D94">
        <v>500</v>
      </c>
    </row>
    <row r="95" spans="1:4" x14ac:dyDescent="0.35">
      <c r="A95" t="s">
        <v>171</v>
      </c>
      <c r="B95">
        <v>1075</v>
      </c>
      <c r="C95" t="s">
        <v>1079</v>
      </c>
      <c r="D95">
        <v>500</v>
      </c>
    </row>
    <row r="96" spans="1:4" x14ac:dyDescent="0.35">
      <c r="A96" t="s">
        <v>172</v>
      </c>
      <c r="B96">
        <v>1075</v>
      </c>
      <c r="C96" t="s">
        <v>1080</v>
      </c>
      <c r="D96">
        <v>500</v>
      </c>
    </row>
    <row r="97" spans="1:4" x14ac:dyDescent="0.35">
      <c r="A97" t="s">
        <v>173</v>
      </c>
      <c r="B97">
        <v>1085</v>
      </c>
      <c r="C97" t="s">
        <v>1070</v>
      </c>
      <c r="D97">
        <v>50</v>
      </c>
    </row>
    <row r="98" spans="1:4" x14ac:dyDescent="0.35">
      <c r="A98" t="s">
        <v>174</v>
      </c>
      <c r="B98">
        <v>1085</v>
      </c>
      <c r="C98" t="s">
        <v>1071</v>
      </c>
      <c r="D98">
        <v>50</v>
      </c>
    </row>
    <row r="99" spans="1:4" x14ac:dyDescent="0.35">
      <c r="A99" t="s">
        <v>175</v>
      </c>
      <c r="B99">
        <v>1085</v>
      </c>
      <c r="C99" t="s">
        <v>1072</v>
      </c>
      <c r="D99">
        <v>50</v>
      </c>
    </row>
    <row r="100" spans="1:4" x14ac:dyDescent="0.35">
      <c r="A100" t="s">
        <v>176</v>
      </c>
      <c r="B100">
        <v>1085</v>
      </c>
      <c r="C100" t="s">
        <v>1073</v>
      </c>
      <c r="D100">
        <v>50</v>
      </c>
    </row>
    <row r="101" spans="1:4" x14ac:dyDescent="0.35">
      <c r="A101" t="s">
        <v>177</v>
      </c>
      <c r="B101">
        <v>1085</v>
      </c>
      <c r="C101" t="s">
        <v>1074</v>
      </c>
      <c r="D101">
        <v>50</v>
      </c>
    </row>
    <row r="102" spans="1:4" x14ac:dyDescent="0.35">
      <c r="A102" t="s">
        <v>178</v>
      </c>
      <c r="B102">
        <v>1085</v>
      </c>
      <c r="C102" t="s">
        <v>1075</v>
      </c>
      <c r="D102">
        <v>50</v>
      </c>
    </row>
    <row r="103" spans="1:4" x14ac:dyDescent="0.35">
      <c r="A103" t="s">
        <v>179</v>
      </c>
      <c r="B103">
        <v>1085</v>
      </c>
      <c r="C103" t="s">
        <v>1076</v>
      </c>
      <c r="D103">
        <v>50</v>
      </c>
    </row>
    <row r="104" spans="1:4" x14ac:dyDescent="0.35">
      <c r="A104" t="s">
        <v>180</v>
      </c>
      <c r="B104">
        <v>1095</v>
      </c>
      <c r="C104" t="s">
        <v>1078</v>
      </c>
      <c r="D104">
        <v>500</v>
      </c>
    </row>
    <row r="105" spans="1:4" x14ac:dyDescent="0.35">
      <c r="A105" t="s">
        <v>181</v>
      </c>
      <c r="B105">
        <v>1095</v>
      </c>
      <c r="C105" t="s">
        <v>1081</v>
      </c>
      <c r="D105">
        <v>500</v>
      </c>
    </row>
    <row r="106" spans="1:4" x14ac:dyDescent="0.35">
      <c r="A106" t="s">
        <v>182</v>
      </c>
      <c r="B106">
        <v>1095</v>
      </c>
      <c r="C106" t="s">
        <v>1084</v>
      </c>
      <c r="D106">
        <v>500</v>
      </c>
    </row>
    <row r="107" spans="1:4" x14ac:dyDescent="0.35">
      <c r="A107" t="s">
        <v>183</v>
      </c>
      <c r="B107">
        <v>1095</v>
      </c>
      <c r="C107" t="s">
        <v>1082</v>
      </c>
      <c r="D107">
        <v>500</v>
      </c>
    </row>
    <row r="108" spans="1:4" x14ac:dyDescent="0.35">
      <c r="A108" t="s">
        <v>184</v>
      </c>
      <c r="B108">
        <v>1119</v>
      </c>
      <c r="C108" t="s">
        <v>1084</v>
      </c>
      <c r="D108">
        <v>500</v>
      </c>
    </row>
    <row r="109" spans="1:4" x14ac:dyDescent="0.35">
      <c r="A109" t="s">
        <v>185</v>
      </c>
      <c r="B109">
        <v>1119</v>
      </c>
      <c r="C109" t="s">
        <v>1082</v>
      </c>
      <c r="D109">
        <v>500</v>
      </c>
    </row>
    <row r="110" spans="1:4" x14ac:dyDescent="0.35">
      <c r="A110" t="s">
        <v>186</v>
      </c>
      <c r="B110">
        <v>1119</v>
      </c>
      <c r="C110" t="s">
        <v>1083</v>
      </c>
      <c r="D110">
        <v>500</v>
      </c>
    </row>
    <row r="111" spans="1:4" x14ac:dyDescent="0.35">
      <c r="A111" t="s">
        <v>187</v>
      </c>
      <c r="B111">
        <v>1119</v>
      </c>
      <c r="C111" t="s">
        <v>1070</v>
      </c>
      <c r="D111">
        <v>500</v>
      </c>
    </row>
    <row r="112" spans="1:4" x14ac:dyDescent="0.35">
      <c r="A112" t="s">
        <v>188</v>
      </c>
      <c r="B112">
        <v>1119</v>
      </c>
      <c r="C112" t="s">
        <v>1071</v>
      </c>
      <c r="D112">
        <v>500</v>
      </c>
    </row>
    <row r="113" spans="1:4" x14ac:dyDescent="0.35">
      <c r="A113" t="s">
        <v>189</v>
      </c>
      <c r="B113">
        <v>1119</v>
      </c>
      <c r="C113" t="s">
        <v>1072</v>
      </c>
      <c r="D113">
        <v>500</v>
      </c>
    </row>
    <row r="114" spans="1:4" x14ac:dyDescent="0.35">
      <c r="A114" t="s">
        <v>190</v>
      </c>
      <c r="B114">
        <v>1119</v>
      </c>
      <c r="C114" t="s">
        <v>1073</v>
      </c>
      <c r="D114">
        <v>500</v>
      </c>
    </row>
    <row r="115" spans="1:4" x14ac:dyDescent="0.35">
      <c r="A115" t="s">
        <v>191</v>
      </c>
      <c r="B115">
        <v>1119</v>
      </c>
      <c r="C115" t="s">
        <v>1074</v>
      </c>
      <c r="D115">
        <v>500</v>
      </c>
    </row>
    <row r="116" spans="1:4" x14ac:dyDescent="0.35">
      <c r="A116" t="s">
        <v>192</v>
      </c>
      <c r="B116">
        <v>1119</v>
      </c>
      <c r="C116" t="s">
        <v>1075</v>
      </c>
      <c r="D116">
        <v>500</v>
      </c>
    </row>
    <row r="117" spans="1:4" x14ac:dyDescent="0.35">
      <c r="A117" t="s">
        <v>193</v>
      </c>
      <c r="B117">
        <v>1120</v>
      </c>
      <c r="C117" t="s">
        <v>1082</v>
      </c>
      <c r="D117">
        <v>500</v>
      </c>
    </row>
    <row r="118" spans="1:4" x14ac:dyDescent="0.35">
      <c r="A118" t="s">
        <v>194</v>
      </c>
      <c r="B118">
        <v>1120</v>
      </c>
      <c r="C118" t="s">
        <v>1083</v>
      </c>
      <c r="D118">
        <v>500</v>
      </c>
    </row>
    <row r="119" spans="1:4" x14ac:dyDescent="0.35">
      <c r="A119" t="s">
        <v>195</v>
      </c>
      <c r="B119">
        <v>1120</v>
      </c>
      <c r="C119" t="s">
        <v>1070</v>
      </c>
      <c r="D119">
        <v>500</v>
      </c>
    </row>
    <row r="120" spans="1:4" x14ac:dyDescent="0.35">
      <c r="A120" t="s">
        <v>196</v>
      </c>
      <c r="B120">
        <v>1120</v>
      </c>
      <c r="C120" t="s">
        <v>1071</v>
      </c>
      <c r="D120">
        <v>500</v>
      </c>
    </row>
    <row r="121" spans="1:4" x14ac:dyDescent="0.35">
      <c r="A121" t="s">
        <v>197</v>
      </c>
      <c r="B121">
        <v>1120</v>
      </c>
      <c r="C121" t="s">
        <v>1072</v>
      </c>
      <c r="D121">
        <v>500</v>
      </c>
    </row>
    <row r="122" spans="1:4" x14ac:dyDescent="0.35">
      <c r="A122" t="s">
        <v>198</v>
      </c>
      <c r="B122">
        <v>1120</v>
      </c>
      <c r="C122" t="s">
        <v>1073</v>
      </c>
      <c r="D122">
        <v>500</v>
      </c>
    </row>
    <row r="123" spans="1:4" x14ac:dyDescent="0.35">
      <c r="A123" t="s">
        <v>199</v>
      </c>
      <c r="B123">
        <v>1120</v>
      </c>
      <c r="C123" t="s">
        <v>1074</v>
      </c>
      <c r="D123">
        <v>500</v>
      </c>
    </row>
    <row r="124" spans="1:4" x14ac:dyDescent="0.35">
      <c r="A124" t="s">
        <v>200</v>
      </c>
      <c r="B124">
        <v>1125</v>
      </c>
      <c r="C124" t="s">
        <v>1082</v>
      </c>
      <c r="D124">
        <v>500</v>
      </c>
    </row>
    <row r="125" spans="1:4" x14ac:dyDescent="0.35">
      <c r="A125" t="s">
        <v>201</v>
      </c>
      <c r="B125">
        <v>1125</v>
      </c>
      <c r="C125" t="s">
        <v>1083</v>
      </c>
      <c r="D125">
        <v>500</v>
      </c>
    </row>
    <row r="126" spans="1:4" x14ac:dyDescent="0.35">
      <c r="A126" t="s">
        <v>202</v>
      </c>
      <c r="B126">
        <v>1125</v>
      </c>
      <c r="C126" t="s">
        <v>1070</v>
      </c>
      <c r="D126">
        <v>500</v>
      </c>
    </row>
    <row r="127" spans="1:4" x14ac:dyDescent="0.35">
      <c r="A127" t="s">
        <v>203</v>
      </c>
      <c r="B127">
        <v>1125</v>
      </c>
      <c r="C127" t="s">
        <v>1071</v>
      </c>
      <c r="D127">
        <v>500</v>
      </c>
    </row>
    <row r="128" spans="1:4" x14ac:dyDescent="0.35">
      <c r="A128" t="s">
        <v>204</v>
      </c>
      <c r="B128">
        <v>1125</v>
      </c>
      <c r="C128" t="s">
        <v>1072</v>
      </c>
      <c r="D128">
        <v>500</v>
      </c>
    </row>
    <row r="129" spans="1:4" x14ac:dyDescent="0.35">
      <c r="A129" t="s">
        <v>205</v>
      </c>
      <c r="B129">
        <v>1132</v>
      </c>
      <c r="C129" t="s">
        <v>1071</v>
      </c>
      <c r="D129">
        <v>50</v>
      </c>
    </row>
    <row r="130" spans="1:4" x14ac:dyDescent="0.35">
      <c r="A130" t="s">
        <v>206</v>
      </c>
      <c r="B130">
        <v>1132</v>
      </c>
      <c r="C130" t="s">
        <v>1072</v>
      </c>
      <c r="D130">
        <v>50</v>
      </c>
    </row>
    <row r="131" spans="1:4" x14ac:dyDescent="0.35">
      <c r="A131" t="s">
        <v>207</v>
      </c>
      <c r="B131">
        <v>1132</v>
      </c>
      <c r="C131" t="s">
        <v>1073</v>
      </c>
      <c r="D131">
        <v>50</v>
      </c>
    </row>
    <row r="132" spans="1:4" x14ac:dyDescent="0.35">
      <c r="A132" t="s">
        <v>208</v>
      </c>
      <c r="B132">
        <v>1132</v>
      </c>
      <c r="C132" t="s">
        <v>1074</v>
      </c>
      <c r="D132">
        <v>50</v>
      </c>
    </row>
    <row r="133" spans="1:4" x14ac:dyDescent="0.35">
      <c r="A133" t="s">
        <v>209</v>
      </c>
      <c r="B133">
        <v>1132</v>
      </c>
      <c r="C133" t="s">
        <v>1075</v>
      </c>
      <c r="D133">
        <v>50</v>
      </c>
    </row>
    <row r="134" spans="1:4" x14ac:dyDescent="0.35">
      <c r="A134" t="s">
        <v>210</v>
      </c>
      <c r="B134">
        <v>1132</v>
      </c>
      <c r="C134" t="s">
        <v>1076</v>
      </c>
      <c r="D134">
        <v>50</v>
      </c>
    </row>
    <row r="135" spans="1:4" x14ac:dyDescent="0.35">
      <c r="A135" t="s">
        <v>211</v>
      </c>
      <c r="B135">
        <v>1137</v>
      </c>
      <c r="C135" t="s">
        <v>1085</v>
      </c>
      <c r="D135">
        <v>50</v>
      </c>
    </row>
    <row r="136" spans="1:4" x14ac:dyDescent="0.35">
      <c r="A136" t="s">
        <v>212</v>
      </c>
      <c r="B136">
        <v>1143</v>
      </c>
      <c r="C136" t="s">
        <v>1077</v>
      </c>
      <c r="D136">
        <v>200</v>
      </c>
    </row>
    <row r="137" spans="1:4" x14ac:dyDescent="0.35">
      <c r="A137" t="s">
        <v>213</v>
      </c>
      <c r="B137">
        <v>1143</v>
      </c>
      <c r="C137" t="s">
        <v>1078</v>
      </c>
      <c r="D137">
        <v>200</v>
      </c>
    </row>
    <row r="138" spans="1:4" x14ac:dyDescent="0.35">
      <c r="A138" t="s">
        <v>214</v>
      </c>
      <c r="B138">
        <v>1143</v>
      </c>
      <c r="C138" t="s">
        <v>1081</v>
      </c>
      <c r="D138">
        <v>200</v>
      </c>
    </row>
    <row r="139" spans="1:4" x14ac:dyDescent="0.35">
      <c r="A139" t="s">
        <v>215</v>
      </c>
      <c r="B139">
        <v>1143</v>
      </c>
      <c r="C139" t="s">
        <v>1084</v>
      </c>
      <c r="D139">
        <v>200</v>
      </c>
    </row>
    <row r="140" spans="1:4" x14ac:dyDescent="0.35">
      <c r="A140" t="s">
        <v>216</v>
      </c>
      <c r="B140">
        <v>1143</v>
      </c>
      <c r="C140" t="s">
        <v>1082</v>
      </c>
      <c r="D140">
        <v>200</v>
      </c>
    </row>
    <row r="141" spans="1:4" x14ac:dyDescent="0.35">
      <c r="A141" t="s">
        <v>217</v>
      </c>
      <c r="B141">
        <v>1143</v>
      </c>
      <c r="C141" t="s">
        <v>1083</v>
      </c>
      <c r="D141">
        <v>200</v>
      </c>
    </row>
    <row r="142" spans="1:4" x14ac:dyDescent="0.35">
      <c r="A142" t="s">
        <v>218</v>
      </c>
      <c r="B142">
        <v>1143</v>
      </c>
      <c r="C142" t="s">
        <v>1070</v>
      </c>
      <c r="D142">
        <v>200</v>
      </c>
    </row>
    <row r="143" spans="1:4" x14ac:dyDescent="0.35">
      <c r="A143" t="s">
        <v>219</v>
      </c>
      <c r="B143">
        <v>1143</v>
      </c>
      <c r="C143" t="s">
        <v>1071</v>
      </c>
      <c r="D143">
        <v>200</v>
      </c>
    </row>
    <row r="144" spans="1:4" x14ac:dyDescent="0.35">
      <c r="A144" t="s">
        <v>220</v>
      </c>
      <c r="B144">
        <v>1143</v>
      </c>
      <c r="C144" t="s">
        <v>1072</v>
      </c>
      <c r="D144">
        <v>200</v>
      </c>
    </row>
    <row r="145" spans="1:4" x14ac:dyDescent="0.35">
      <c r="A145" t="s">
        <v>221</v>
      </c>
      <c r="B145">
        <v>1143</v>
      </c>
      <c r="C145" t="s">
        <v>1073</v>
      </c>
      <c r="D145">
        <v>200</v>
      </c>
    </row>
    <row r="146" spans="1:4" x14ac:dyDescent="0.35">
      <c r="A146" t="s">
        <v>222</v>
      </c>
      <c r="B146">
        <v>1151</v>
      </c>
      <c r="C146" t="s">
        <v>1084</v>
      </c>
      <c r="D146">
        <v>500</v>
      </c>
    </row>
    <row r="147" spans="1:4" x14ac:dyDescent="0.35">
      <c r="A147" t="s">
        <v>223</v>
      </c>
      <c r="B147">
        <v>1151</v>
      </c>
      <c r="C147" t="s">
        <v>1082</v>
      </c>
      <c r="D147">
        <v>500</v>
      </c>
    </row>
    <row r="148" spans="1:4" x14ac:dyDescent="0.35">
      <c r="A148" t="s">
        <v>224</v>
      </c>
      <c r="B148">
        <v>1151</v>
      </c>
      <c r="C148" t="s">
        <v>1083</v>
      </c>
      <c r="D148">
        <v>500</v>
      </c>
    </row>
    <row r="149" spans="1:4" x14ac:dyDescent="0.35">
      <c r="A149" t="s">
        <v>225</v>
      </c>
      <c r="B149">
        <v>1151</v>
      </c>
      <c r="C149" t="s">
        <v>1070</v>
      </c>
      <c r="D149">
        <v>500</v>
      </c>
    </row>
    <row r="150" spans="1:4" x14ac:dyDescent="0.35">
      <c r="A150" t="s">
        <v>226</v>
      </c>
      <c r="B150">
        <v>1151</v>
      </c>
      <c r="C150" t="s">
        <v>1071</v>
      </c>
      <c r="D150">
        <v>500</v>
      </c>
    </row>
    <row r="151" spans="1:4" x14ac:dyDescent="0.35">
      <c r="A151" t="s">
        <v>227</v>
      </c>
      <c r="B151">
        <v>1151</v>
      </c>
      <c r="C151" t="s">
        <v>1072</v>
      </c>
      <c r="D151">
        <v>500</v>
      </c>
    </row>
    <row r="152" spans="1:4" x14ac:dyDescent="0.35">
      <c r="A152" t="s">
        <v>228</v>
      </c>
      <c r="B152">
        <v>1151</v>
      </c>
      <c r="C152" t="s">
        <v>1073</v>
      </c>
      <c r="D152">
        <v>500</v>
      </c>
    </row>
    <row r="153" spans="1:4" x14ac:dyDescent="0.35">
      <c r="A153" t="s">
        <v>229</v>
      </c>
      <c r="B153">
        <v>1151</v>
      </c>
      <c r="C153" t="s">
        <v>1074</v>
      </c>
      <c r="D153">
        <v>500</v>
      </c>
    </row>
    <row r="154" spans="1:4" x14ac:dyDescent="0.35">
      <c r="A154" t="s">
        <v>230</v>
      </c>
      <c r="B154">
        <v>1151</v>
      </c>
      <c r="C154" t="s">
        <v>1075</v>
      </c>
      <c r="D154">
        <v>500</v>
      </c>
    </row>
    <row r="155" spans="1:4" x14ac:dyDescent="0.35">
      <c r="A155" t="s">
        <v>231</v>
      </c>
      <c r="B155">
        <v>1151</v>
      </c>
      <c r="C155" t="s">
        <v>1076</v>
      </c>
      <c r="D155">
        <v>500</v>
      </c>
    </row>
    <row r="156" spans="1:4" x14ac:dyDescent="0.35">
      <c r="A156" t="s">
        <v>232</v>
      </c>
      <c r="B156">
        <v>1154</v>
      </c>
      <c r="C156" t="s">
        <v>1080</v>
      </c>
      <c r="D156">
        <v>50</v>
      </c>
    </row>
    <row r="157" spans="1:4" x14ac:dyDescent="0.35">
      <c r="A157" t="s">
        <v>233</v>
      </c>
      <c r="B157">
        <v>1167</v>
      </c>
      <c r="C157" t="s">
        <v>1085</v>
      </c>
      <c r="D157">
        <v>500</v>
      </c>
    </row>
    <row r="158" spans="1:4" x14ac:dyDescent="0.35">
      <c r="A158" t="s">
        <v>234</v>
      </c>
      <c r="B158">
        <v>1167</v>
      </c>
      <c r="C158" t="s">
        <v>1086</v>
      </c>
      <c r="D158">
        <v>500</v>
      </c>
    </row>
    <row r="159" spans="1:4" x14ac:dyDescent="0.35">
      <c r="A159" t="s">
        <v>235</v>
      </c>
      <c r="B159">
        <v>1167</v>
      </c>
      <c r="C159" t="s">
        <v>1087</v>
      </c>
      <c r="D159">
        <v>500</v>
      </c>
    </row>
    <row r="160" spans="1:4" x14ac:dyDescent="0.35">
      <c r="A160" t="s">
        <v>236</v>
      </c>
      <c r="B160">
        <v>1167</v>
      </c>
      <c r="C160" t="s">
        <v>1077</v>
      </c>
      <c r="D160">
        <v>500</v>
      </c>
    </row>
    <row r="161" spans="1:4" x14ac:dyDescent="0.35">
      <c r="A161" t="s">
        <v>237</v>
      </c>
      <c r="B161">
        <v>1167</v>
      </c>
      <c r="C161" t="s">
        <v>1078</v>
      </c>
      <c r="D161">
        <v>500</v>
      </c>
    </row>
    <row r="162" spans="1:4" x14ac:dyDescent="0.35">
      <c r="A162" t="s">
        <v>238</v>
      </c>
      <c r="B162">
        <v>1167</v>
      </c>
      <c r="C162" t="s">
        <v>1081</v>
      </c>
      <c r="D162">
        <v>500</v>
      </c>
    </row>
    <row r="163" spans="1:4" x14ac:dyDescent="0.35">
      <c r="A163" t="s">
        <v>239</v>
      </c>
      <c r="B163">
        <v>1167</v>
      </c>
      <c r="C163" t="s">
        <v>1084</v>
      </c>
      <c r="D163">
        <v>500</v>
      </c>
    </row>
    <row r="164" spans="1:4" x14ac:dyDescent="0.35">
      <c r="A164" t="s">
        <v>240</v>
      </c>
      <c r="B164">
        <v>1167</v>
      </c>
      <c r="C164" t="s">
        <v>1082</v>
      </c>
      <c r="D164">
        <v>500</v>
      </c>
    </row>
    <row r="165" spans="1:4" x14ac:dyDescent="0.35">
      <c r="A165" t="s">
        <v>241</v>
      </c>
      <c r="B165">
        <v>1167</v>
      </c>
      <c r="C165" t="s">
        <v>1083</v>
      </c>
      <c r="D165">
        <v>500</v>
      </c>
    </row>
    <row r="166" spans="1:4" x14ac:dyDescent="0.35">
      <c r="A166" t="s">
        <v>242</v>
      </c>
      <c r="B166">
        <v>1167</v>
      </c>
      <c r="C166" t="s">
        <v>1070</v>
      </c>
      <c r="D166">
        <v>500</v>
      </c>
    </row>
    <row r="167" spans="1:4" x14ac:dyDescent="0.35">
      <c r="A167" t="s">
        <v>243</v>
      </c>
      <c r="B167">
        <v>1167</v>
      </c>
      <c r="C167" t="s">
        <v>1071</v>
      </c>
      <c r="D167">
        <v>500</v>
      </c>
    </row>
    <row r="168" spans="1:4" x14ac:dyDescent="0.35">
      <c r="A168" t="s">
        <v>244</v>
      </c>
      <c r="B168">
        <v>1167</v>
      </c>
      <c r="C168" t="s">
        <v>1072</v>
      </c>
      <c r="D168">
        <v>500</v>
      </c>
    </row>
    <row r="169" spans="1:4" x14ac:dyDescent="0.35">
      <c r="A169" t="s">
        <v>245</v>
      </c>
      <c r="B169">
        <v>1167</v>
      </c>
      <c r="C169" t="s">
        <v>1073</v>
      </c>
      <c r="D169">
        <v>500</v>
      </c>
    </row>
    <row r="170" spans="1:4" x14ac:dyDescent="0.35">
      <c r="A170" t="s">
        <v>246</v>
      </c>
      <c r="B170">
        <v>1175</v>
      </c>
      <c r="C170" t="s">
        <v>1084</v>
      </c>
      <c r="D170">
        <v>500</v>
      </c>
    </row>
    <row r="171" spans="1:4" x14ac:dyDescent="0.35">
      <c r="A171" t="s">
        <v>247</v>
      </c>
      <c r="B171">
        <v>1175</v>
      </c>
      <c r="C171" t="s">
        <v>1082</v>
      </c>
      <c r="D171">
        <v>500</v>
      </c>
    </row>
    <row r="172" spans="1:4" x14ac:dyDescent="0.35">
      <c r="A172" t="s">
        <v>248</v>
      </c>
      <c r="B172">
        <v>1178</v>
      </c>
      <c r="C172" t="s">
        <v>1073</v>
      </c>
      <c r="D172">
        <v>50</v>
      </c>
    </row>
    <row r="173" spans="1:4" x14ac:dyDescent="0.35">
      <c r="A173" t="s">
        <v>249</v>
      </c>
      <c r="B173">
        <v>1178</v>
      </c>
      <c r="C173" t="s">
        <v>1074</v>
      </c>
      <c r="D173">
        <v>50</v>
      </c>
    </row>
    <row r="174" spans="1:4" x14ac:dyDescent="0.35">
      <c r="A174" t="s">
        <v>250</v>
      </c>
      <c r="B174">
        <v>1181</v>
      </c>
      <c r="C174" t="s">
        <v>1085</v>
      </c>
      <c r="D174">
        <v>50</v>
      </c>
    </row>
    <row r="175" spans="1:4" x14ac:dyDescent="0.35">
      <c r="A175" t="s">
        <v>251</v>
      </c>
      <c r="B175">
        <v>1181</v>
      </c>
      <c r="C175" t="s">
        <v>1086</v>
      </c>
      <c r="D175">
        <v>50</v>
      </c>
    </row>
    <row r="176" spans="1:4" x14ac:dyDescent="0.35">
      <c r="A176" t="s">
        <v>252</v>
      </c>
      <c r="B176">
        <v>1181</v>
      </c>
      <c r="C176" t="s">
        <v>1087</v>
      </c>
      <c r="D176">
        <v>50</v>
      </c>
    </row>
    <row r="177" spans="1:4" x14ac:dyDescent="0.35">
      <c r="A177" t="s">
        <v>253</v>
      </c>
      <c r="B177">
        <v>1181</v>
      </c>
      <c r="C177" t="s">
        <v>1077</v>
      </c>
      <c r="D177">
        <v>50</v>
      </c>
    </row>
    <row r="178" spans="1:4" x14ac:dyDescent="0.35">
      <c r="A178" t="s">
        <v>254</v>
      </c>
      <c r="B178">
        <v>1181</v>
      </c>
      <c r="C178" t="s">
        <v>1078</v>
      </c>
      <c r="D178">
        <v>50</v>
      </c>
    </row>
    <row r="179" spans="1:4" x14ac:dyDescent="0.35">
      <c r="A179" t="s">
        <v>255</v>
      </c>
      <c r="B179">
        <v>1185</v>
      </c>
      <c r="C179" t="s">
        <v>1072</v>
      </c>
      <c r="D179">
        <v>200</v>
      </c>
    </row>
    <row r="180" spans="1:4" x14ac:dyDescent="0.35">
      <c r="A180" t="s">
        <v>256</v>
      </c>
      <c r="B180">
        <v>1185</v>
      </c>
      <c r="C180" t="s">
        <v>1073</v>
      </c>
      <c r="D180">
        <v>200</v>
      </c>
    </row>
    <row r="181" spans="1:4" x14ac:dyDescent="0.35">
      <c r="A181" t="s">
        <v>257</v>
      </c>
      <c r="B181">
        <v>1185</v>
      </c>
      <c r="C181" t="s">
        <v>1074</v>
      </c>
      <c r="D181">
        <v>200</v>
      </c>
    </row>
    <row r="182" spans="1:4" x14ac:dyDescent="0.35">
      <c r="A182" t="s">
        <v>258</v>
      </c>
      <c r="B182">
        <v>1185</v>
      </c>
      <c r="C182" t="s">
        <v>1075</v>
      </c>
      <c r="D182">
        <v>200</v>
      </c>
    </row>
    <row r="183" spans="1:4" x14ac:dyDescent="0.35">
      <c r="A183" t="s">
        <v>259</v>
      </c>
      <c r="B183">
        <v>1185</v>
      </c>
      <c r="C183" t="s">
        <v>1076</v>
      </c>
      <c r="D183">
        <v>200</v>
      </c>
    </row>
    <row r="184" spans="1:4" x14ac:dyDescent="0.35">
      <c r="A184" t="s">
        <v>260</v>
      </c>
      <c r="B184">
        <v>1185</v>
      </c>
      <c r="C184" t="s">
        <v>1079</v>
      </c>
      <c r="D184">
        <v>200</v>
      </c>
    </row>
    <row r="185" spans="1:4" x14ac:dyDescent="0.35">
      <c r="A185" t="s">
        <v>261</v>
      </c>
      <c r="B185">
        <v>1185</v>
      </c>
      <c r="C185" t="s">
        <v>1080</v>
      </c>
      <c r="D185">
        <v>200</v>
      </c>
    </row>
    <row r="186" spans="1:4" x14ac:dyDescent="0.35">
      <c r="A186" t="s">
        <v>262</v>
      </c>
      <c r="B186">
        <v>1188</v>
      </c>
      <c r="C186" t="s">
        <v>1084</v>
      </c>
      <c r="D186">
        <v>200</v>
      </c>
    </row>
    <row r="187" spans="1:4" x14ac:dyDescent="0.35">
      <c r="A187" t="s">
        <v>263</v>
      </c>
      <c r="B187">
        <v>1188</v>
      </c>
      <c r="C187" t="s">
        <v>1082</v>
      </c>
      <c r="D187">
        <v>200</v>
      </c>
    </row>
    <row r="188" spans="1:4" x14ac:dyDescent="0.35">
      <c r="A188" t="s">
        <v>264</v>
      </c>
      <c r="B188">
        <v>1188</v>
      </c>
      <c r="C188" t="s">
        <v>1083</v>
      </c>
      <c r="D188">
        <v>200</v>
      </c>
    </row>
    <row r="189" spans="1:4" x14ac:dyDescent="0.35">
      <c r="A189" t="s">
        <v>265</v>
      </c>
      <c r="B189">
        <v>1193</v>
      </c>
      <c r="C189" t="s">
        <v>1085</v>
      </c>
      <c r="D189">
        <v>200</v>
      </c>
    </row>
    <row r="190" spans="1:4" x14ac:dyDescent="0.35">
      <c r="A190" t="s">
        <v>266</v>
      </c>
      <c r="B190">
        <v>1193</v>
      </c>
      <c r="C190" t="s">
        <v>1086</v>
      </c>
      <c r="D190">
        <v>200</v>
      </c>
    </row>
    <row r="191" spans="1:4" x14ac:dyDescent="0.35">
      <c r="A191" t="s">
        <v>267</v>
      </c>
      <c r="B191">
        <v>1193</v>
      </c>
      <c r="C191" t="s">
        <v>1087</v>
      </c>
      <c r="D191">
        <v>200</v>
      </c>
    </row>
    <row r="192" spans="1:4" x14ac:dyDescent="0.35">
      <c r="A192" t="s">
        <v>268</v>
      </c>
      <c r="B192">
        <v>1193</v>
      </c>
      <c r="C192" t="s">
        <v>1077</v>
      </c>
      <c r="D192">
        <v>200</v>
      </c>
    </row>
    <row r="193" spans="1:4" x14ac:dyDescent="0.35">
      <c r="A193" t="s">
        <v>269</v>
      </c>
      <c r="B193">
        <v>1193</v>
      </c>
      <c r="C193" t="s">
        <v>1078</v>
      </c>
      <c r="D193">
        <v>200</v>
      </c>
    </row>
    <row r="194" spans="1:4" x14ac:dyDescent="0.35">
      <c r="A194" t="s">
        <v>270</v>
      </c>
      <c r="B194">
        <v>1193</v>
      </c>
      <c r="C194" t="s">
        <v>1081</v>
      </c>
      <c r="D194">
        <v>200</v>
      </c>
    </row>
    <row r="195" spans="1:4" x14ac:dyDescent="0.35">
      <c r="A195" t="s">
        <v>271</v>
      </c>
      <c r="B195">
        <v>1193</v>
      </c>
      <c r="C195" t="s">
        <v>1084</v>
      </c>
      <c r="D195">
        <v>200</v>
      </c>
    </row>
    <row r="196" spans="1:4" x14ac:dyDescent="0.35">
      <c r="A196" t="s">
        <v>272</v>
      </c>
      <c r="B196">
        <v>1193</v>
      </c>
      <c r="C196" t="s">
        <v>1082</v>
      </c>
      <c r="D196">
        <v>200</v>
      </c>
    </row>
    <row r="197" spans="1:4" x14ac:dyDescent="0.35">
      <c r="A197" t="s">
        <v>273</v>
      </c>
      <c r="B197">
        <v>1193</v>
      </c>
      <c r="C197" t="s">
        <v>1083</v>
      </c>
      <c r="D197">
        <v>200</v>
      </c>
    </row>
    <row r="198" spans="1:4" x14ac:dyDescent="0.35">
      <c r="A198" t="s">
        <v>274</v>
      </c>
      <c r="B198">
        <v>1193</v>
      </c>
      <c r="C198" t="s">
        <v>1070</v>
      </c>
      <c r="D198">
        <v>200</v>
      </c>
    </row>
    <row r="199" spans="1:4" x14ac:dyDescent="0.35">
      <c r="A199" t="s">
        <v>275</v>
      </c>
      <c r="B199">
        <v>1193</v>
      </c>
      <c r="C199" t="s">
        <v>1071</v>
      </c>
      <c r="D199">
        <v>200</v>
      </c>
    </row>
    <row r="200" spans="1:4" x14ac:dyDescent="0.35">
      <c r="A200" t="s">
        <v>276</v>
      </c>
      <c r="B200">
        <v>1193</v>
      </c>
      <c r="C200" t="s">
        <v>1072</v>
      </c>
      <c r="D200">
        <v>200</v>
      </c>
    </row>
    <row r="201" spans="1:4" x14ac:dyDescent="0.35">
      <c r="A201" t="s">
        <v>277</v>
      </c>
      <c r="B201">
        <v>1193</v>
      </c>
      <c r="C201" t="s">
        <v>1073</v>
      </c>
      <c r="D201">
        <v>200</v>
      </c>
    </row>
    <row r="202" spans="1:4" x14ac:dyDescent="0.35">
      <c r="A202" t="s">
        <v>278</v>
      </c>
      <c r="B202">
        <v>1193</v>
      </c>
      <c r="C202" t="s">
        <v>1074</v>
      </c>
      <c r="D202">
        <v>200</v>
      </c>
    </row>
    <row r="203" spans="1:4" x14ac:dyDescent="0.35">
      <c r="A203" t="s">
        <v>279</v>
      </c>
      <c r="B203">
        <v>1193</v>
      </c>
      <c r="C203" t="s">
        <v>1075</v>
      </c>
      <c r="D203">
        <v>200</v>
      </c>
    </row>
    <row r="204" spans="1:4" x14ac:dyDescent="0.35">
      <c r="A204" t="s">
        <v>280</v>
      </c>
      <c r="B204">
        <v>1197</v>
      </c>
      <c r="C204" t="s">
        <v>1075</v>
      </c>
      <c r="D204">
        <v>50</v>
      </c>
    </row>
    <row r="205" spans="1:4" x14ac:dyDescent="0.35">
      <c r="A205" t="s">
        <v>281</v>
      </c>
      <c r="B205">
        <v>1197</v>
      </c>
      <c r="C205" t="s">
        <v>1076</v>
      </c>
      <c r="D205">
        <v>50</v>
      </c>
    </row>
    <row r="206" spans="1:4" x14ac:dyDescent="0.35">
      <c r="A206" t="s">
        <v>282</v>
      </c>
      <c r="B206">
        <v>1197</v>
      </c>
      <c r="C206" t="s">
        <v>1079</v>
      </c>
      <c r="D206">
        <v>50</v>
      </c>
    </row>
    <row r="207" spans="1:4" x14ac:dyDescent="0.35">
      <c r="A207" t="s">
        <v>283</v>
      </c>
      <c r="B207">
        <v>1197</v>
      </c>
      <c r="C207" t="s">
        <v>1080</v>
      </c>
      <c r="D207">
        <v>50</v>
      </c>
    </row>
    <row r="208" spans="1:4" x14ac:dyDescent="0.35">
      <c r="A208" t="s">
        <v>284</v>
      </c>
      <c r="B208">
        <v>1200</v>
      </c>
      <c r="C208" t="s">
        <v>1087</v>
      </c>
      <c r="D208">
        <v>200</v>
      </c>
    </row>
    <row r="209" spans="1:4" x14ac:dyDescent="0.35">
      <c r="A209" t="s">
        <v>285</v>
      </c>
      <c r="B209">
        <v>1200</v>
      </c>
      <c r="C209" t="s">
        <v>1077</v>
      </c>
      <c r="D209">
        <v>200</v>
      </c>
    </row>
    <row r="210" spans="1:4" x14ac:dyDescent="0.35">
      <c r="A210" t="s">
        <v>286</v>
      </c>
      <c r="B210">
        <v>1200</v>
      </c>
      <c r="C210" t="s">
        <v>1078</v>
      </c>
      <c r="D210">
        <v>200</v>
      </c>
    </row>
    <row r="211" spans="1:4" x14ac:dyDescent="0.35">
      <c r="A211" t="s">
        <v>287</v>
      </c>
      <c r="B211">
        <v>1200</v>
      </c>
      <c r="C211" t="s">
        <v>1081</v>
      </c>
      <c r="D211">
        <v>200</v>
      </c>
    </row>
    <row r="212" spans="1:4" x14ac:dyDescent="0.35">
      <c r="A212" t="s">
        <v>288</v>
      </c>
      <c r="B212">
        <v>1200</v>
      </c>
      <c r="C212" t="s">
        <v>1084</v>
      </c>
      <c r="D212">
        <v>200</v>
      </c>
    </row>
    <row r="213" spans="1:4" x14ac:dyDescent="0.35">
      <c r="A213" t="s">
        <v>289</v>
      </c>
      <c r="B213">
        <v>1200</v>
      </c>
      <c r="C213" t="s">
        <v>1082</v>
      </c>
      <c r="D213">
        <v>200</v>
      </c>
    </row>
    <row r="214" spans="1:4" x14ac:dyDescent="0.35">
      <c r="A214" t="s">
        <v>290</v>
      </c>
      <c r="B214">
        <v>1200</v>
      </c>
      <c r="C214" t="s">
        <v>1083</v>
      </c>
      <c r="D214">
        <v>200</v>
      </c>
    </row>
    <row r="215" spans="1:4" x14ac:dyDescent="0.35">
      <c r="A215" t="s">
        <v>291</v>
      </c>
      <c r="B215">
        <v>1200</v>
      </c>
      <c r="C215" t="s">
        <v>1070</v>
      </c>
      <c r="D215">
        <v>200</v>
      </c>
    </row>
    <row r="216" spans="1:4" x14ac:dyDescent="0.35">
      <c r="A216" t="s">
        <v>292</v>
      </c>
      <c r="B216">
        <v>1200</v>
      </c>
      <c r="C216" t="s">
        <v>1071</v>
      </c>
      <c r="D216">
        <v>200</v>
      </c>
    </row>
    <row r="217" spans="1:4" x14ac:dyDescent="0.35">
      <c r="A217" t="s">
        <v>293</v>
      </c>
      <c r="B217">
        <v>1200</v>
      </c>
      <c r="C217" t="s">
        <v>1072</v>
      </c>
      <c r="D217">
        <v>200</v>
      </c>
    </row>
    <row r="218" spans="1:4" x14ac:dyDescent="0.35">
      <c r="A218" t="s">
        <v>294</v>
      </c>
      <c r="B218">
        <v>1200</v>
      </c>
      <c r="C218" t="s">
        <v>1073</v>
      </c>
      <c r="D218">
        <v>200</v>
      </c>
    </row>
    <row r="219" spans="1:4" x14ac:dyDescent="0.35">
      <c r="A219" t="s">
        <v>295</v>
      </c>
      <c r="B219">
        <v>1200</v>
      </c>
      <c r="C219" t="s">
        <v>1074</v>
      </c>
      <c r="D219">
        <v>200</v>
      </c>
    </row>
    <row r="220" spans="1:4" x14ac:dyDescent="0.35">
      <c r="A220" t="s">
        <v>296</v>
      </c>
      <c r="B220">
        <v>1200</v>
      </c>
      <c r="C220" t="s">
        <v>1075</v>
      </c>
      <c r="D220">
        <v>200</v>
      </c>
    </row>
    <row r="221" spans="1:4" x14ac:dyDescent="0.35">
      <c r="A221" t="s">
        <v>297</v>
      </c>
      <c r="B221">
        <v>1200</v>
      </c>
      <c r="C221" t="s">
        <v>1076</v>
      </c>
      <c r="D221">
        <v>200</v>
      </c>
    </row>
    <row r="222" spans="1:4" x14ac:dyDescent="0.35">
      <c r="A222" t="s">
        <v>298</v>
      </c>
      <c r="B222">
        <v>1200</v>
      </c>
      <c r="C222" t="s">
        <v>1079</v>
      </c>
      <c r="D222">
        <v>200</v>
      </c>
    </row>
    <row r="223" spans="1:4" x14ac:dyDescent="0.35">
      <c r="A223" t="s">
        <v>299</v>
      </c>
      <c r="B223">
        <v>1210</v>
      </c>
      <c r="C223" t="s">
        <v>1082</v>
      </c>
      <c r="D223">
        <v>500</v>
      </c>
    </row>
    <row r="224" spans="1:4" x14ac:dyDescent="0.35">
      <c r="A224" t="s">
        <v>300</v>
      </c>
      <c r="B224">
        <v>1210</v>
      </c>
      <c r="C224" t="s">
        <v>1083</v>
      </c>
      <c r="D224">
        <v>500</v>
      </c>
    </row>
    <row r="225" spans="1:4" x14ac:dyDescent="0.35">
      <c r="A225" t="s">
        <v>301</v>
      </c>
      <c r="B225">
        <v>1210</v>
      </c>
      <c r="C225" t="s">
        <v>1070</v>
      </c>
      <c r="D225">
        <v>500</v>
      </c>
    </row>
    <row r="226" spans="1:4" x14ac:dyDescent="0.35">
      <c r="A226" t="s">
        <v>302</v>
      </c>
      <c r="B226">
        <v>1210</v>
      </c>
      <c r="C226" t="s">
        <v>1071</v>
      </c>
      <c r="D226">
        <v>500</v>
      </c>
    </row>
    <row r="227" spans="1:4" x14ac:dyDescent="0.35">
      <c r="A227" t="s">
        <v>303</v>
      </c>
      <c r="B227">
        <v>1210</v>
      </c>
      <c r="C227" t="s">
        <v>1072</v>
      </c>
      <c r="D227">
        <v>500</v>
      </c>
    </row>
    <row r="228" spans="1:4" x14ac:dyDescent="0.35">
      <c r="A228" t="s">
        <v>304</v>
      </c>
      <c r="B228">
        <v>1210</v>
      </c>
      <c r="C228" t="s">
        <v>1073</v>
      </c>
      <c r="D228">
        <v>500</v>
      </c>
    </row>
    <row r="229" spans="1:4" x14ac:dyDescent="0.35">
      <c r="A229" t="s">
        <v>305</v>
      </c>
      <c r="B229">
        <v>1210</v>
      </c>
      <c r="C229" t="s">
        <v>1074</v>
      </c>
      <c r="D229">
        <v>500</v>
      </c>
    </row>
    <row r="230" spans="1:4" x14ac:dyDescent="0.35">
      <c r="A230" t="s">
        <v>306</v>
      </c>
      <c r="B230">
        <v>1214</v>
      </c>
      <c r="C230" t="s">
        <v>1087</v>
      </c>
      <c r="D230">
        <v>500</v>
      </c>
    </row>
    <row r="231" spans="1:4" x14ac:dyDescent="0.35">
      <c r="A231" t="s">
        <v>307</v>
      </c>
      <c r="B231">
        <v>1214</v>
      </c>
      <c r="C231" t="s">
        <v>1077</v>
      </c>
      <c r="D231">
        <v>500</v>
      </c>
    </row>
    <row r="232" spans="1:4" x14ac:dyDescent="0.35">
      <c r="A232" t="s">
        <v>308</v>
      </c>
      <c r="B232">
        <v>1214</v>
      </c>
      <c r="C232" t="s">
        <v>1078</v>
      </c>
      <c r="D232">
        <v>500</v>
      </c>
    </row>
    <row r="233" spans="1:4" x14ac:dyDescent="0.35">
      <c r="A233" t="s">
        <v>309</v>
      </c>
      <c r="B233">
        <v>1214</v>
      </c>
      <c r="C233" t="s">
        <v>1081</v>
      </c>
      <c r="D233">
        <v>500</v>
      </c>
    </row>
    <row r="234" spans="1:4" x14ac:dyDescent="0.35">
      <c r="A234" t="s">
        <v>310</v>
      </c>
      <c r="B234">
        <v>1214</v>
      </c>
      <c r="C234" t="s">
        <v>1084</v>
      </c>
      <c r="D234">
        <v>500</v>
      </c>
    </row>
    <row r="235" spans="1:4" x14ac:dyDescent="0.35">
      <c r="A235" t="s">
        <v>311</v>
      </c>
      <c r="B235">
        <v>1214</v>
      </c>
      <c r="C235" t="s">
        <v>1082</v>
      </c>
      <c r="D235">
        <v>500</v>
      </c>
    </row>
    <row r="236" spans="1:4" x14ac:dyDescent="0.35">
      <c r="A236" t="s">
        <v>312</v>
      </c>
      <c r="B236">
        <v>1214</v>
      </c>
      <c r="C236" t="s">
        <v>1083</v>
      </c>
      <c r="D236">
        <v>500</v>
      </c>
    </row>
    <row r="237" spans="1:4" x14ac:dyDescent="0.35">
      <c r="A237" t="s">
        <v>313</v>
      </c>
      <c r="B237">
        <v>1214</v>
      </c>
      <c r="C237" t="s">
        <v>1070</v>
      </c>
      <c r="D237">
        <v>500</v>
      </c>
    </row>
    <row r="238" spans="1:4" x14ac:dyDescent="0.35">
      <c r="A238" t="s">
        <v>314</v>
      </c>
      <c r="B238">
        <v>1214</v>
      </c>
      <c r="C238" t="s">
        <v>1071</v>
      </c>
      <c r="D238">
        <v>500</v>
      </c>
    </row>
    <row r="239" spans="1:4" x14ac:dyDescent="0.35">
      <c r="A239" t="s">
        <v>315</v>
      </c>
      <c r="B239">
        <v>1220</v>
      </c>
      <c r="C239" t="s">
        <v>1087</v>
      </c>
      <c r="D239">
        <v>50</v>
      </c>
    </row>
    <row r="240" spans="1:4" x14ac:dyDescent="0.35">
      <c r="A240" t="s">
        <v>316</v>
      </c>
      <c r="B240">
        <v>1220</v>
      </c>
      <c r="C240" t="s">
        <v>1077</v>
      </c>
      <c r="D240">
        <v>50</v>
      </c>
    </row>
    <row r="241" spans="1:4" x14ac:dyDescent="0.35">
      <c r="A241" t="s">
        <v>317</v>
      </c>
      <c r="B241">
        <v>1220</v>
      </c>
      <c r="C241" t="s">
        <v>1078</v>
      </c>
      <c r="D241">
        <v>50</v>
      </c>
    </row>
    <row r="242" spans="1:4" x14ac:dyDescent="0.35">
      <c r="A242" t="s">
        <v>318</v>
      </c>
      <c r="B242">
        <v>1220</v>
      </c>
      <c r="C242" t="s">
        <v>1081</v>
      </c>
      <c r="D242">
        <v>50</v>
      </c>
    </row>
    <row r="243" spans="1:4" x14ac:dyDescent="0.35">
      <c r="A243" t="s">
        <v>319</v>
      </c>
      <c r="B243">
        <v>1220</v>
      </c>
      <c r="C243" t="s">
        <v>1084</v>
      </c>
      <c r="D243">
        <v>50</v>
      </c>
    </row>
    <row r="244" spans="1:4" x14ac:dyDescent="0.35">
      <c r="A244" t="s">
        <v>320</v>
      </c>
      <c r="B244">
        <v>1220</v>
      </c>
      <c r="C244" t="s">
        <v>1082</v>
      </c>
      <c r="D244">
        <v>50</v>
      </c>
    </row>
    <row r="245" spans="1:4" x14ac:dyDescent="0.35">
      <c r="A245" t="s">
        <v>321</v>
      </c>
      <c r="B245">
        <v>1220</v>
      </c>
      <c r="C245" t="s">
        <v>1083</v>
      </c>
      <c r="D245">
        <v>50</v>
      </c>
    </row>
    <row r="246" spans="1:4" x14ac:dyDescent="0.35">
      <c r="A246" t="s">
        <v>322</v>
      </c>
      <c r="B246">
        <v>1220</v>
      </c>
      <c r="C246" t="s">
        <v>1070</v>
      </c>
      <c r="D246">
        <v>50</v>
      </c>
    </row>
    <row r="247" spans="1:4" x14ac:dyDescent="0.35">
      <c r="A247" t="s">
        <v>323</v>
      </c>
      <c r="B247">
        <v>1222</v>
      </c>
      <c r="C247" t="s">
        <v>1086</v>
      </c>
      <c r="D247">
        <v>200</v>
      </c>
    </row>
    <row r="248" spans="1:4" x14ac:dyDescent="0.35">
      <c r="A248" t="s">
        <v>324</v>
      </c>
      <c r="B248">
        <v>1222</v>
      </c>
      <c r="C248" t="s">
        <v>1087</v>
      </c>
      <c r="D248">
        <v>200</v>
      </c>
    </row>
    <row r="249" spans="1:4" x14ac:dyDescent="0.35">
      <c r="A249" t="s">
        <v>325</v>
      </c>
      <c r="B249">
        <v>1222</v>
      </c>
      <c r="C249" t="s">
        <v>1077</v>
      </c>
      <c r="D249">
        <v>200</v>
      </c>
    </row>
    <row r="250" spans="1:4" x14ac:dyDescent="0.35">
      <c r="A250" t="s">
        <v>326</v>
      </c>
      <c r="B250">
        <v>1222</v>
      </c>
      <c r="C250" t="s">
        <v>1078</v>
      </c>
      <c r="D250">
        <v>200</v>
      </c>
    </row>
    <row r="251" spans="1:4" x14ac:dyDescent="0.35">
      <c r="A251" t="s">
        <v>327</v>
      </c>
      <c r="B251">
        <v>1222</v>
      </c>
      <c r="C251" t="s">
        <v>1081</v>
      </c>
      <c r="D251">
        <v>200</v>
      </c>
    </row>
    <row r="252" spans="1:4" x14ac:dyDescent="0.35">
      <c r="A252" t="s">
        <v>328</v>
      </c>
      <c r="B252">
        <v>1222</v>
      </c>
      <c r="C252" t="s">
        <v>1084</v>
      </c>
      <c r="D252">
        <v>200</v>
      </c>
    </row>
    <row r="253" spans="1:4" x14ac:dyDescent="0.35">
      <c r="A253" t="s">
        <v>329</v>
      </c>
      <c r="B253">
        <v>1222</v>
      </c>
      <c r="C253" t="s">
        <v>1082</v>
      </c>
      <c r="D253">
        <v>200</v>
      </c>
    </row>
    <row r="254" spans="1:4" x14ac:dyDescent="0.35">
      <c r="A254" t="s">
        <v>330</v>
      </c>
      <c r="B254">
        <v>1222</v>
      </c>
      <c r="C254" t="s">
        <v>1083</v>
      </c>
      <c r="D254">
        <v>200</v>
      </c>
    </row>
    <row r="255" spans="1:4" x14ac:dyDescent="0.35">
      <c r="A255" t="s">
        <v>331</v>
      </c>
      <c r="B255">
        <v>1222</v>
      </c>
      <c r="C255" t="s">
        <v>1070</v>
      </c>
      <c r="D255">
        <v>200</v>
      </c>
    </row>
    <row r="256" spans="1:4" x14ac:dyDescent="0.35">
      <c r="A256" t="s">
        <v>332</v>
      </c>
      <c r="B256">
        <v>1222</v>
      </c>
      <c r="C256" t="s">
        <v>1071</v>
      </c>
      <c r="D256">
        <v>200</v>
      </c>
    </row>
    <row r="257" spans="1:4" x14ac:dyDescent="0.35">
      <c r="A257" t="s">
        <v>333</v>
      </c>
      <c r="B257">
        <v>1222</v>
      </c>
      <c r="C257" t="s">
        <v>1072</v>
      </c>
      <c r="D257">
        <v>200</v>
      </c>
    </row>
    <row r="258" spans="1:4" x14ac:dyDescent="0.35">
      <c r="A258" t="s">
        <v>334</v>
      </c>
      <c r="B258">
        <v>1222</v>
      </c>
      <c r="C258" t="s">
        <v>1073</v>
      </c>
      <c r="D258">
        <v>200</v>
      </c>
    </row>
    <row r="259" spans="1:4" x14ac:dyDescent="0.35">
      <c r="A259" t="s">
        <v>335</v>
      </c>
      <c r="B259">
        <v>1222</v>
      </c>
      <c r="C259" t="s">
        <v>1074</v>
      </c>
      <c r="D259">
        <v>200</v>
      </c>
    </row>
    <row r="260" spans="1:4" x14ac:dyDescent="0.35">
      <c r="A260" t="s">
        <v>336</v>
      </c>
      <c r="B260">
        <v>1222</v>
      </c>
      <c r="C260" t="s">
        <v>1075</v>
      </c>
      <c r="D260">
        <v>200</v>
      </c>
    </row>
    <row r="261" spans="1:4" x14ac:dyDescent="0.35">
      <c r="A261" t="s">
        <v>337</v>
      </c>
      <c r="B261">
        <v>1223</v>
      </c>
      <c r="C261" t="s">
        <v>1074</v>
      </c>
      <c r="D261">
        <v>500</v>
      </c>
    </row>
    <row r="262" spans="1:4" x14ac:dyDescent="0.35">
      <c r="A262" t="s">
        <v>338</v>
      </c>
      <c r="B262">
        <v>1223</v>
      </c>
      <c r="C262" t="s">
        <v>1075</v>
      </c>
      <c r="D262">
        <v>500</v>
      </c>
    </row>
    <row r="263" spans="1:4" x14ac:dyDescent="0.35">
      <c r="A263" t="s">
        <v>339</v>
      </c>
      <c r="B263">
        <v>1223</v>
      </c>
      <c r="C263" t="s">
        <v>1076</v>
      </c>
      <c r="D263">
        <v>500</v>
      </c>
    </row>
    <row r="264" spans="1:4" x14ac:dyDescent="0.35">
      <c r="A264" t="s">
        <v>340</v>
      </c>
      <c r="B264">
        <v>1225</v>
      </c>
      <c r="C264" t="s">
        <v>1080</v>
      </c>
      <c r="D264">
        <v>500</v>
      </c>
    </row>
    <row r="265" spans="1:4" x14ac:dyDescent="0.35">
      <c r="A265" t="s">
        <v>341</v>
      </c>
      <c r="B265">
        <v>1226</v>
      </c>
      <c r="C265" t="s">
        <v>1070</v>
      </c>
      <c r="D265">
        <v>50</v>
      </c>
    </row>
    <row r="266" spans="1:4" x14ac:dyDescent="0.35">
      <c r="A266" t="s">
        <v>342</v>
      </c>
      <c r="B266">
        <v>1226</v>
      </c>
      <c r="C266" t="s">
        <v>1071</v>
      </c>
      <c r="D266">
        <v>50</v>
      </c>
    </row>
    <row r="267" spans="1:4" x14ac:dyDescent="0.35">
      <c r="A267" t="s">
        <v>343</v>
      </c>
      <c r="B267">
        <v>1226</v>
      </c>
      <c r="C267" t="s">
        <v>1072</v>
      </c>
      <c r="D267">
        <v>50</v>
      </c>
    </row>
    <row r="268" spans="1:4" x14ac:dyDescent="0.35">
      <c r="A268" t="s">
        <v>344</v>
      </c>
      <c r="B268">
        <v>1226</v>
      </c>
      <c r="C268" t="s">
        <v>1073</v>
      </c>
      <c r="D268">
        <v>50</v>
      </c>
    </row>
    <row r="269" spans="1:4" x14ac:dyDescent="0.35">
      <c r="A269" t="s">
        <v>345</v>
      </c>
      <c r="B269">
        <v>1226</v>
      </c>
      <c r="C269" t="s">
        <v>1074</v>
      </c>
      <c r="D269">
        <v>50</v>
      </c>
    </row>
    <row r="270" spans="1:4" x14ac:dyDescent="0.35">
      <c r="A270" t="s">
        <v>346</v>
      </c>
      <c r="B270">
        <v>1226</v>
      </c>
      <c r="C270" t="s">
        <v>1075</v>
      </c>
      <c r="D270">
        <v>50</v>
      </c>
    </row>
    <row r="271" spans="1:4" x14ac:dyDescent="0.35">
      <c r="A271" t="s">
        <v>347</v>
      </c>
      <c r="B271">
        <v>1229</v>
      </c>
      <c r="C271" t="s">
        <v>1073</v>
      </c>
      <c r="D271">
        <v>500</v>
      </c>
    </row>
    <row r="272" spans="1:4" x14ac:dyDescent="0.35">
      <c r="A272" t="s">
        <v>348</v>
      </c>
      <c r="B272">
        <v>1229</v>
      </c>
      <c r="C272" t="s">
        <v>1074</v>
      </c>
      <c r="D272">
        <v>500</v>
      </c>
    </row>
    <row r="273" spans="1:4" x14ac:dyDescent="0.35">
      <c r="A273" t="s">
        <v>349</v>
      </c>
      <c r="B273">
        <v>1229</v>
      </c>
      <c r="C273" t="s">
        <v>1075</v>
      </c>
      <c r="D273">
        <v>500</v>
      </c>
    </row>
    <row r="274" spans="1:4" x14ac:dyDescent="0.35">
      <c r="A274" t="s">
        <v>350</v>
      </c>
      <c r="B274">
        <v>1229</v>
      </c>
      <c r="C274" t="s">
        <v>1076</v>
      </c>
      <c r="D274">
        <v>500</v>
      </c>
    </row>
    <row r="275" spans="1:4" x14ac:dyDescent="0.35">
      <c r="A275" t="s">
        <v>351</v>
      </c>
      <c r="B275">
        <v>1234</v>
      </c>
      <c r="C275" t="s">
        <v>1070</v>
      </c>
      <c r="D275">
        <v>50</v>
      </c>
    </row>
    <row r="276" spans="1:4" x14ac:dyDescent="0.35">
      <c r="A276" t="s">
        <v>352</v>
      </c>
      <c r="B276">
        <v>1234</v>
      </c>
      <c r="C276" t="s">
        <v>1071</v>
      </c>
      <c r="D276">
        <v>50</v>
      </c>
    </row>
    <row r="277" spans="1:4" x14ac:dyDescent="0.35">
      <c r="A277" t="s">
        <v>353</v>
      </c>
      <c r="B277">
        <v>1234</v>
      </c>
      <c r="C277" t="s">
        <v>1072</v>
      </c>
      <c r="D277">
        <v>50</v>
      </c>
    </row>
    <row r="278" spans="1:4" x14ac:dyDescent="0.35">
      <c r="A278" t="s">
        <v>354</v>
      </c>
      <c r="B278">
        <v>1234</v>
      </c>
      <c r="C278" t="s">
        <v>1073</v>
      </c>
      <c r="D278">
        <v>50</v>
      </c>
    </row>
    <row r="279" spans="1:4" x14ac:dyDescent="0.35">
      <c r="A279" t="s">
        <v>355</v>
      </c>
      <c r="B279">
        <v>1234</v>
      </c>
      <c r="C279" t="s">
        <v>1074</v>
      </c>
      <c r="D279">
        <v>50</v>
      </c>
    </row>
    <row r="280" spans="1:4" x14ac:dyDescent="0.35">
      <c r="A280" t="s">
        <v>356</v>
      </c>
      <c r="B280">
        <v>1235</v>
      </c>
      <c r="C280" t="s">
        <v>1074</v>
      </c>
      <c r="D280">
        <v>500</v>
      </c>
    </row>
    <row r="281" spans="1:4" x14ac:dyDescent="0.35">
      <c r="A281" t="s">
        <v>357</v>
      </c>
      <c r="B281">
        <v>1235</v>
      </c>
      <c r="C281" t="s">
        <v>1075</v>
      </c>
      <c r="D281">
        <v>500</v>
      </c>
    </row>
    <row r="282" spans="1:4" x14ac:dyDescent="0.35">
      <c r="A282" t="s">
        <v>358</v>
      </c>
      <c r="B282">
        <v>1239</v>
      </c>
      <c r="C282" t="s">
        <v>1078</v>
      </c>
      <c r="D282">
        <v>200</v>
      </c>
    </row>
    <row r="283" spans="1:4" x14ac:dyDescent="0.35">
      <c r="A283" t="s">
        <v>359</v>
      </c>
      <c r="B283">
        <v>1239</v>
      </c>
      <c r="C283" t="s">
        <v>1081</v>
      </c>
      <c r="D283">
        <v>200</v>
      </c>
    </row>
    <row r="284" spans="1:4" x14ac:dyDescent="0.35">
      <c r="A284" t="s">
        <v>360</v>
      </c>
      <c r="B284">
        <v>1239</v>
      </c>
      <c r="C284" t="s">
        <v>1084</v>
      </c>
      <c r="D284">
        <v>200</v>
      </c>
    </row>
    <row r="285" spans="1:4" x14ac:dyDescent="0.35">
      <c r="A285" t="s">
        <v>361</v>
      </c>
      <c r="B285">
        <v>1239</v>
      </c>
      <c r="C285" t="s">
        <v>1082</v>
      </c>
      <c r="D285">
        <v>200</v>
      </c>
    </row>
    <row r="286" spans="1:4" x14ac:dyDescent="0.35">
      <c r="A286" t="s">
        <v>362</v>
      </c>
      <c r="B286">
        <v>1239</v>
      </c>
      <c r="C286" t="s">
        <v>1083</v>
      </c>
      <c r="D286">
        <v>200</v>
      </c>
    </row>
    <row r="287" spans="1:4" x14ac:dyDescent="0.35">
      <c r="A287" t="s">
        <v>363</v>
      </c>
      <c r="B287">
        <v>1239</v>
      </c>
      <c r="C287" t="s">
        <v>1070</v>
      </c>
      <c r="D287">
        <v>200</v>
      </c>
    </row>
    <row r="288" spans="1:4" x14ac:dyDescent="0.35">
      <c r="A288" t="s">
        <v>364</v>
      </c>
      <c r="B288">
        <v>1239</v>
      </c>
      <c r="C288" t="s">
        <v>1071</v>
      </c>
      <c r="D288">
        <v>200</v>
      </c>
    </row>
    <row r="289" spans="1:4" x14ac:dyDescent="0.35">
      <c r="A289" t="s">
        <v>365</v>
      </c>
      <c r="B289">
        <v>1239</v>
      </c>
      <c r="C289" t="s">
        <v>1072</v>
      </c>
      <c r="D289">
        <v>200</v>
      </c>
    </row>
    <row r="290" spans="1:4" x14ac:dyDescent="0.35">
      <c r="A290" t="s">
        <v>366</v>
      </c>
      <c r="B290">
        <v>1239</v>
      </c>
      <c r="C290" t="s">
        <v>1073</v>
      </c>
      <c r="D290">
        <v>200</v>
      </c>
    </row>
    <row r="291" spans="1:4" x14ac:dyDescent="0.35">
      <c r="A291" t="s">
        <v>367</v>
      </c>
      <c r="B291">
        <v>1239</v>
      </c>
      <c r="C291" t="s">
        <v>1074</v>
      </c>
      <c r="D291">
        <v>200</v>
      </c>
    </row>
    <row r="292" spans="1:4" x14ac:dyDescent="0.35">
      <c r="A292" t="s">
        <v>368</v>
      </c>
      <c r="B292">
        <v>1239</v>
      </c>
      <c r="C292" t="s">
        <v>1075</v>
      </c>
      <c r="D292">
        <v>200</v>
      </c>
    </row>
    <row r="293" spans="1:4" x14ac:dyDescent="0.35">
      <c r="A293" t="s">
        <v>369</v>
      </c>
      <c r="B293">
        <v>1239</v>
      </c>
      <c r="C293" t="s">
        <v>1076</v>
      </c>
      <c r="D293">
        <v>200</v>
      </c>
    </row>
    <row r="294" spans="1:4" x14ac:dyDescent="0.35">
      <c r="A294" t="s">
        <v>370</v>
      </c>
      <c r="B294">
        <v>1239</v>
      </c>
      <c r="C294" t="s">
        <v>1079</v>
      </c>
      <c r="D294">
        <v>200</v>
      </c>
    </row>
    <row r="295" spans="1:4" x14ac:dyDescent="0.35">
      <c r="A295" t="s">
        <v>371</v>
      </c>
      <c r="B295">
        <v>1241</v>
      </c>
      <c r="C295" t="s">
        <v>1083</v>
      </c>
      <c r="D295">
        <v>200</v>
      </c>
    </row>
    <row r="296" spans="1:4" x14ac:dyDescent="0.35">
      <c r="A296" t="s">
        <v>372</v>
      </c>
      <c r="B296">
        <v>1241</v>
      </c>
      <c r="C296" t="s">
        <v>1070</v>
      </c>
      <c r="D296">
        <v>200</v>
      </c>
    </row>
    <row r="297" spans="1:4" x14ac:dyDescent="0.35">
      <c r="A297" t="s">
        <v>373</v>
      </c>
      <c r="B297">
        <v>1241</v>
      </c>
      <c r="C297" t="s">
        <v>1071</v>
      </c>
      <c r="D297">
        <v>200</v>
      </c>
    </row>
    <row r="298" spans="1:4" x14ac:dyDescent="0.35">
      <c r="A298" t="s">
        <v>374</v>
      </c>
      <c r="B298">
        <v>1241</v>
      </c>
      <c r="C298" t="s">
        <v>1072</v>
      </c>
      <c r="D298">
        <v>200</v>
      </c>
    </row>
    <row r="299" spans="1:4" x14ac:dyDescent="0.35">
      <c r="A299" t="s">
        <v>375</v>
      </c>
      <c r="B299">
        <v>1241</v>
      </c>
      <c r="C299" t="s">
        <v>1073</v>
      </c>
      <c r="D299">
        <v>200</v>
      </c>
    </row>
    <row r="300" spans="1:4" x14ac:dyDescent="0.35">
      <c r="A300" t="s">
        <v>376</v>
      </c>
      <c r="B300">
        <v>1241</v>
      </c>
      <c r="C300" t="s">
        <v>1074</v>
      </c>
      <c r="D300">
        <v>200</v>
      </c>
    </row>
    <row r="301" spans="1:4" x14ac:dyDescent="0.35">
      <c r="A301" t="s">
        <v>377</v>
      </c>
      <c r="B301">
        <v>1241</v>
      </c>
      <c r="C301" t="s">
        <v>1075</v>
      </c>
      <c r="D301">
        <v>200</v>
      </c>
    </row>
    <row r="302" spans="1:4" x14ac:dyDescent="0.35">
      <c r="A302" t="s">
        <v>378</v>
      </c>
      <c r="B302">
        <v>1242</v>
      </c>
      <c r="C302" t="s">
        <v>1075</v>
      </c>
      <c r="D302">
        <v>50</v>
      </c>
    </row>
    <row r="303" spans="1:4" x14ac:dyDescent="0.35">
      <c r="A303" t="s">
        <v>379</v>
      </c>
      <c r="B303">
        <v>1242</v>
      </c>
      <c r="C303" t="s">
        <v>1076</v>
      </c>
      <c r="D303">
        <v>50</v>
      </c>
    </row>
    <row r="304" spans="1:4" x14ac:dyDescent="0.35">
      <c r="A304" t="s">
        <v>380</v>
      </c>
      <c r="B304">
        <v>1242</v>
      </c>
      <c r="C304" t="s">
        <v>1079</v>
      </c>
      <c r="D304">
        <v>50</v>
      </c>
    </row>
    <row r="305" spans="1:4" x14ac:dyDescent="0.35">
      <c r="A305" t="s">
        <v>381</v>
      </c>
      <c r="B305">
        <v>1242</v>
      </c>
      <c r="C305" t="s">
        <v>1080</v>
      </c>
      <c r="D305">
        <v>50</v>
      </c>
    </row>
    <row r="306" spans="1:4" x14ac:dyDescent="0.35">
      <c r="A306" t="s">
        <v>382</v>
      </c>
      <c r="B306">
        <v>1247</v>
      </c>
      <c r="C306" t="s">
        <v>1078</v>
      </c>
      <c r="D306">
        <v>200</v>
      </c>
    </row>
    <row r="307" spans="1:4" x14ac:dyDescent="0.35">
      <c r="A307" t="s">
        <v>383</v>
      </c>
      <c r="B307">
        <v>1247</v>
      </c>
      <c r="C307" t="s">
        <v>1081</v>
      </c>
      <c r="D307">
        <v>200</v>
      </c>
    </row>
    <row r="308" spans="1:4" x14ac:dyDescent="0.35">
      <c r="A308" t="s">
        <v>384</v>
      </c>
      <c r="B308">
        <v>1247</v>
      </c>
      <c r="C308" t="s">
        <v>1084</v>
      </c>
      <c r="D308">
        <v>200</v>
      </c>
    </row>
    <row r="309" spans="1:4" x14ac:dyDescent="0.35">
      <c r="A309" t="s">
        <v>385</v>
      </c>
      <c r="B309">
        <v>1257</v>
      </c>
      <c r="C309" t="s">
        <v>1087</v>
      </c>
      <c r="D309">
        <v>500</v>
      </c>
    </row>
    <row r="310" spans="1:4" x14ac:dyDescent="0.35">
      <c r="A310" t="s">
        <v>386</v>
      </c>
      <c r="B310">
        <v>1257</v>
      </c>
      <c r="C310" t="s">
        <v>1077</v>
      </c>
      <c r="D310">
        <v>500</v>
      </c>
    </row>
    <row r="311" spans="1:4" x14ac:dyDescent="0.35">
      <c r="A311" t="s">
        <v>387</v>
      </c>
      <c r="B311">
        <v>1257</v>
      </c>
      <c r="C311" t="s">
        <v>1078</v>
      </c>
      <c r="D311">
        <v>500</v>
      </c>
    </row>
    <row r="312" spans="1:4" x14ac:dyDescent="0.35">
      <c r="A312" t="s">
        <v>388</v>
      </c>
      <c r="B312">
        <v>1263</v>
      </c>
      <c r="C312" t="s">
        <v>1073</v>
      </c>
      <c r="D312">
        <v>50</v>
      </c>
    </row>
    <row r="313" spans="1:4" x14ac:dyDescent="0.35">
      <c r="A313" t="s">
        <v>389</v>
      </c>
      <c r="B313">
        <v>1263</v>
      </c>
      <c r="C313" t="s">
        <v>1074</v>
      </c>
      <c r="D313">
        <v>50</v>
      </c>
    </row>
    <row r="314" spans="1:4" x14ac:dyDescent="0.35">
      <c r="A314" t="s">
        <v>390</v>
      </c>
      <c r="B314">
        <v>1263</v>
      </c>
      <c r="C314" t="s">
        <v>1075</v>
      </c>
      <c r="D314">
        <v>50</v>
      </c>
    </row>
    <row r="315" spans="1:4" x14ac:dyDescent="0.35">
      <c r="A315" t="s">
        <v>391</v>
      </c>
      <c r="B315">
        <v>1263</v>
      </c>
      <c r="C315" t="s">
        <v>1076</v>
      </c>
      <c r="D315">
        <v>50</v>
      </c>
    </row>
    <row r="316" spans="1:4" x14ac:dyDescent="0.35">
      <c r="A316" t="s">
        <v>392</v>
      </c>
      <c r="B316">
        <v>1263</v>
      </c>
      <c r="C316" t="s">
        <v>1079</v>
      </c>
      <c r="D316">
        <v>50</v>
      </c>
    </row>
    <row r="317" spans="1:4" x14ac:dyDescent="0.35">
      <c r="A317" t="s">
        <v>393</v>
      </c>
      <c r="B317">
        <v>1263</v>
      </c>
      <c r="C317" t="s">
        <v>1080</v>
      </c>
      <c r="D317">
        <v>50</v>
      </c>
    </row>
    <row r="318" spans="1:4" x14ac:dyDescent="0.35">
      <c r="A318" t="s">
        <v>394</v>
      </c>
      <c r="B318">
        <v>1265</v>
      </c>
      <c r="C318" t="s">
        <v>1087</v>
      </c>
      <c r="D318">
        <v>50</v>
      </c>
    </row>
    <row r="319" spans="1:4" x14ac:dyDescent="0.35">
      <c r="A319" t="s">
        <v>395</v>
      </c>
      <c r="B319">
        <v>1265</v>
      </c>
      <c r="C319" t="s">
        <v>1077</v>
      </c>
      <c r="D319">
        <v>50</v>
      </c>
    </row>
    <row r="320" spans="1:4" x14ac:dyDescent="0.35">
      <c r="A320" t="s">
        <v>396</v>
      </c>
      <c r="B320">
        <v>1265</v>
      </c>
      <c r="C320" t="s">
        <v>1078</v>
      </c>
      <c r="D320">
        <v>50</v>
      </c>
    </row>
    <row r="321" spans="1:4" x14ac:dyDescent="0.35">
      <c r="A321" t="s">
        <v>397</v>
      </c>
      <c r="B321">
        <v>1265</v>
      </c>
      <c r="C321" t="s">
        <v>1081</v>
      </c>
      <c r="D321">
        <v>50</v>
      </c>
    </row>
    <row r="322" spans="1:4" x14ac:dyDescent="0.35">
      <c r="A322" t="s">
        <v>398</v>
      </c>
      <c r="B322">
        <v>1268</v>
      </c>
      <c r="C322" t="s">
        <v>1078</v>
      </c>
      <c r="D322">
        <v>500</v>
      </c>
    </row>
    <row r="323" spans="1:4" x14ac:dyDescent="0.35">
      <c r="A323" t="s">
        <v>399</v>
      </c>
      <c r="B323">
        <v>1268</v>
      </c>
      <c r="C323" t="s">
        <v>1081</v>
      </c>
      <c r="D323">
        <v>500</v>
      </c>
    </row>
    <row r="324" spans="1:4" x14ac:dyDescent="0.35">
      <c r="A324" t="s">
        <v>400</v>
      </c>
      <c r="B324">
        <v>1268</v>
      </c>
      <c r="C324" t="s">
        <v>1084</v>
      </c>
      <c r="D324">
        <v>500</v>
      </c>
    </row>
    <row r="325" spans="1:4" x14ac:dyDescent="0.35">
      <c r="A325" t="s">
        <v>401</v>
      </c>
      <c r="B325">
        <v>1268</v>
      </c>
      <c r="C325" t="s">
        <v>1082</v>
      </c>
      <c r="D325">
        <v>500</v>
      </c>
    </row>
    <row r="326" spans="1:4" x14ac:dyDescent="0.35">
      <c r="A326" t="s">
        <v>402</v>
      </c>
      <c r="B326">
        <v>1268</v>
      </c>
      <c r="C326" t="s">
        <v>1083</v>
      </c>
      <c r="D326">
        <v>500</v>
      </c>
    </row>
    <row r="327" spans="1:4" x14ac:dyDescent="0.35">
      <c r="A327" t="s">
        <v>403</v>
      </c>
      <c r="B327">
        <v>1268</v>
      </c>
      <c r="C327" t="s">
        <v>1070</v>
      </c>
      <c r="D327">
        <v>500</v>
      </c>
    </row>
    <row r="328" spans="1:4" x14ac:dyDescent="0.35">
      <c r="A328" t="s">
        <v>404</v>
      </c>
      <c r="B328">
        <v>1268</v>
      </c>
      <c r="C328" t="s">
        <v>1071</v>
      </c>
      <c r="D328">
        <v>500</v>
      </c>
    </row>
    <row r="329" spans="1:4" x14ac:dyDescent="0.35">
      <c r="A329" t="s">
        <v>405</v>
      </c>
      <c r="B329">
        <v>1268</v>
      </c>
      <c r="C329" t="s">
        <v>1072</v>
      </c>
      <c r="D329">
        <v>500</v>
      </c>
    </row>
    <row r="330" spans="1:4" x14ac:dyDescent="0.35">
      <c r="A330" t="s">
        <v>406</v>
      </c>
      <c r="B330">
        <v>1268</v>
      </c>
      <c r="C330" t="s">
        <v>1073</v>
      </c>
      <c r="D330">
        <v>500</v>
      </c>
    </row>
    <row r="331" spans="1:4" x14ac:dyDescent="0.35">
      <c r="A331" t="s">
        <v>407</v>
      </c>
      <c r="B331">
        <v>1268</v>
      </c>
      <c r="C331" t="s">
        <v>1074</v>
      </c>
      <c r="D331">
        <v>500</v>
      </c>
    </row>
    <row r="332" spans="1:4" x14ac:dyDescent="0.35">
      <c r="A332" t="s">
        <v>408</v>
      </c>
      <c r="B332">
        <v>1268</v>
      </c>
      <c r="C332" t="s">
        <v>1075</v>
      </c>
      <c r="D332">
        <v>500</v>
      </c>
    </row>
    <row r="333" spans="1:4" x14ac:dyDescent="0.35">
      <c r="A333" t="s">
        <v>409</v>
      </c>
      <c r="B333">
        <v>1268</v>
      </c>
      <c r="C333" t="s">
        <v>1076</v>
      </c>
      <c r="D333">
        <v>500</v>
      </c>
    </row>
    <row r="334" spans="1:4" x14ac:dyDescent="0.35">
      <c r="A334" t="s">
        <v>410</v>
      </c>
      <c r="B334">
        <v>1268</v>
      </c>
      <c r="C334" t="s">
        <v>1079</v>
      </c>
      <c r="D334">
        <v>500</v>
      </c>
    </row>
    <row r="335" spans="1:4" x14ac:dyDescent="0.35">
      <c r="A335" t="s">
        <v>411</v>
      </c>
      <c r="B335">
        <v>1273</v>
      </c>
      <c r="C335" t="s">
        <v>1070</v>
      </c>
      <c r="D335">
        <v>200</v>
      </c>
    </row>
    <row r="336" spans="1:4" x14ac:dyDescent="0.35">
      <c r="A336" t="s">
        <v>412</v>
      </c>
      <c r="B336">
        <v>1273</v>
      </c>
      <c r="C336" t="s">
        <v>1071</v>
      </c>
      <c r="D336">
        <v>200</v>
      </c>
    </row>
    <row r="337" spans="1:4" x14ac:dyDescent="0.35">
      <c r="A337" t="s">
        <v>413</v>
      </c>
      <c r="B337">
        <v>1273</v>
      </c>
      <c r="C337" t="s">
        <v>1072</v>
      </c>
      <c r="D337">
        <v>200</v>
      </c>
    </row>
    <row r="338" spans="1:4" x14ac:dyDescent="0.35">
      <c r="A338" t="s">
        <v>414</v>
      </c>
      <c r="B338">
        <v>1273</v>
      </c>
      <c r="C338" t="s">
        <v>1073</v>
      </c>
      <c r="D338">
        <v>200</v>
      </c>
    </row>
    <row r="339" spans="1:4" x14ac:dyDescent="0.35">
      <c r="A339" t="s">
        <v>415</v>
      </c>
      <c r="B339">
        <v>1273</v>
      </c>
      <c r="C339" t="s">
        <v>1074</v>
      </c>
      <c r="D339">
        <v>200</v>
      </c>
    </row>
    <row r="340" spans="1:4" x14ac:dyDescent="0.35">
      <c r="A340" t="s">
        <v>416</v>
      </c>
      <c r="B340">
        <v>1273</v>
      </c>
      <c r="C340" t="s">
        <v>1075</v>
      </c>
      <c r="D340">
        <v>200</v>
      </c>
    </row>
    <row r="341" spans="1:4" x14ac:dyDescent="0.35">
      <c r="A341" t="s">
        <v>417</v>
      </c>
      <c r="B341">
        <v>1273</v>
      </c>
      <c r="C341" t="s">
        <v>1076</v>
      </c>
      <c r="D341">
        <v>200</v>
      </c>
    </row>
    <row r="342" spans="1:4" x14ac:dyDescent="0.35">
      <c r="A342" t="s">
        <v>418</v>
      </c>
      <c r="B342">
        <v>1276</v>
      </c>
      <c r="C342" t="s">
        <v>1074</v>
      </c>
      <c r="D342">
        <v>200</v>
      </c>
    </row>
    <row r="343" spans="1:4" x14ac:dyDescent="0.35">
      <c r="A343" t="s">
        <v>419</v>
      </c>
      <c r="B343">
        <v>1276</v>
      </c>
      <c r="C343" t="s">
        <v>1075</v>
      </c>
      <c r="D343">
        <v>200</v>
      </c>
    </row>
    <row r="344" spans="1:4" x14ac:dyDescent="0.35">
      <c r="A344" t="s">
        <v>420</v>
      </c>
      <c r="B344">
        <v>1277</v>
      </c>
      <c r="C344" t="s">
        <v>1080</v>
      </c>
      <c r="D344">
        <v>500</v>
      </c>
    </row>
    <row r="345" spans="1:4" x14ac:dyDescent="0.35">
      <c r="A345" t="s">
        <v>421</v>
      </c>
      <c r="B345">
        <v>1278</v>
      </c>
      <c r="C345" t="s">
        <v>1076</v>
      </c>
      <c r="D345">
        <v>500</v>
      </c>
    </row>
    <row r="346" spans="1:4" x14ac:dyDescent="0.35">
      <c r="A346" t="s">
        <v>422</v>
      </c>
      <c r="B346">
        <v>1278</v>
      </c>
      <c r="C346" t="s">
        <v>1079</v>
      </c>
      <c r="D346">
        <v>500</v>
      </c>
    </row>
    <row r="347" spans="1:4" x14ac:dyDescent="0.35">
      <c r="A347" t="s">
        <v>423</v>
      </c>
      <c r="B347">
        <v>1282</v>
      </c>
      <c r="C347" t="s">
        <v>1087</v>
      </c>
      <c r="D347">
        <v>200</v>
      </c>
    </row>
    <row r="348" spans="1:4" x14ac:dyDescent="0.35">
      <c r="A348" t="s">
        <v>424</v>
      </c>
      <c r="B348">
        <v>1282</v>
      </c>
      <c r="C348" t="s">
        <v>1077</v>
      </c>
      <c r="D348">
        <v>200</v>
      </c>
    </row>
    <row r="349" spans="1:4" x14ac:dyDescent="0.35">
      <c r="A349" t="s">
        <v>425</v>
      </c>
      <c r="B349">
        <v>1282</v>
      </c>
      <c r="C349" t="s">
        <v>1078</v>
      </c>
      <c r="D349">
        <v>200</v>
      </c>
    </row>
    <row r="350" spans="1:4" x14ac:dyDescent="0.35">
      <c r="A350" t="s">
        <v>426</v>
      </c>
      <c r="B350">
        <v>1282</v>
      </c>
      <c r="C350" t="s">
        <v>1081</v>
      </c>
      <c r="D350">
        <v>200</v>
      </c>
    </row>
    <row r="351" spans="1:4" x14ac:dyDescent="0.35">
      <c r="A351" t="s">
        <v>427</v>
      </c>
      <c r="B351">
        <v>1282</v>
      </c>
      <c r="C351" t="s">
        <v>1084</v>
      </c>
      <c r="D351">
        <v>200</v>
      </c>
    </row>
    <row r="352" spans="1:4" x14ac:dyDescent="0.35">
      <c r="A352" t="s">
        <v>428</v>
      </c>
      <c r="B352">
        <v>1282</v>
      </c>
      <c r="C352" t="s">
        <v>1082</v>
      </c>
      <c r="D352">
        <v>200</v>
      </c>
    </row>
    <row r="353" spans="1:4" x14ac:dyDescent="0.35">
      <c r="A353" t="s">
        <v>429</v>
      </c>
      <c r="B353">
        <v>1282</v>
      </c>
      <c r="C353" t="s">
        <v>1083</v>
      </c>
      <c r="D353">
        <v>200</v>
      </c>
    </row>
    <row r="354" spans="1:4" x14ac:dyDescent="0.35">
      <c r="A354" t="s">
        <v>430</v>
      </c>
      <c r="B354">
        <v>1282</v>
      </c>
      <c r="C354" t="s">
        <v>1070</v>
      </c>
      <c r="D354">
        <v>200</v>
      </c>
    </row>
    <row r="355" spans="1:4" x14ac:dyDescent="0.35">
      <c r="A355" t="s">
        <v>431</v>
      </c>
      <c r="B355">
        <v>1282</v>
      </c>
      <c r="C355" t="s">
        <v>1071</v>
      </c>
      <c r="D355">
        <v>200</v>
      </c>
    </row>
    <row r="356" spans="1:4" x14ac:dyDescent="0.35">
      <c r="A356" t="s">
        <v>432</v>
      </c>
      <c r="B356">
        <v>1282</v>
      </c>
      <c r="C356" t="s">
        <v>1072</v>
      </c>
      <c r="D356">
        <v>200</v>
      </c>
    </row>
    <row r="357" spans="1:4" x14ac:dyDescent="0.35">
      <c r="A357" t="s">
        <v>433</v>
      </c>
      <c r="B357">
        <v>1282</v>
      </c>
      <c r="C357" t="s">
        <v>1073</v>
      </c>
      <c r="D357">
        <v>200</v>
      </c>
    </row>
    <row r="358" spans="1:4" x14ac:dyDescent="0.35">
      <c r="A358" t="s">
        <v>434</v>
      </c>
      <c r="B358">
        <v>1282</v>
      </c>
      <c r="C358" t="s">
        <v>1074</v>
      </c>
      <c r="D358">
        <v>200</v>
      </c>
    </row>
    <row r="359" spans="1:4" x14ac:dyDescent="0.35">
      <c r="A359" t="s">
        <v>435</v>
      </c>
      <c r="B359">
        <v>1282</v>
      </c>
      <c r="C359" t="s">
        <v>1075</v>
      </c>
      <c r="D359">
        <v>200</v>
      </c>
    </row>
    <row r="360" spans="1:4" x14ac:dyDescent="0.35">
      <c r="A360" t="s">
        <v>436</v>
      </c>
      <c r="B360">
        <v>1282</v>
      </c>
      <c r="C360" t="s">
        <v>1076</v>
      </c>
      <c r="D360">
        <v>200</v>
      </c>
    </row>
    <row r="361" spans="1:4" x14ac:dyDescent="0.35">
      <c r="A361" t="s">
        <v>437</v>
      </c>
      <c r="B361">
        <v>1282</v>
      </c>
      <c r="C361" t="s">
        <v>1079</v>
      </c>
      <c r="D361">
        <v>200</v>
      </c>
    </row>
    <row r="362" spans="1:4" x14ac:dyDescent="0.35">
      <c r="A362" t="s">
        <v>438</v>
      </c>
      <c r="B362">
        <v>1282</v>
      </c>
      <c r="C362" t="s">
        <v>1080</v>
      </c>
      <c r="D362">
        <v>200</v>
      </c>
    </row>
    <row r="363" spans="1:4" x14ac:dyDescent="0.35">
      <c r="A363" t="s">
        <v>439</v>
      </c>
      <c r="B363">
        <v>1287</v>
      </c>
      <c r="C363" t="s">
        <v>1074</v>
      </c>
      <c r="D363">
        <v>50</v>
      </c>
    </row>
    <row r="364" spans="1:4" x14ac:dyDescent="0.35">
      <c r="A364" t="s">
        <v>440</v>
      </c>
      <c r="B364">
        <v>1287</v>
      </c>
      <c r="C364" t="s">
        <v>1075</v>
      </c>
      <c r="D364">
        <v>50</v>
      </c>
    </row>
    <row r="365" spans="1:4" x14ac:dyDescent="0.35">
      <c r="A365" t="s">
        <v>441</v>
      </c>
      <c r="B365">
        <v>1287</v>
      </c>
      <c r="C365" t="s">
        <v>1076</v>
      </c>
      <c r="D365">
        <v>50</v>
      </c>
    </row>
    <row r="366" spans="1:4" x14ac:dyDescent="0.35">
      <c r="A366" t="s">
        <v>442</v>
      </c>
      <c r="B366">
        <v>1291</v>
      </c>
      <c r="C366" t="s">
        <v>1084</v>
      </c>
      <c r="D366">
        <v>50</v>
      </c>
    </row>
    <row r="367" spans="1:4" x14ac:dyDescent="0.35">
      <c r="A367" t="s">
        <v>443</v>
      </c>
      <c r="B367">
        <v>1291</v>
      </c>
      <c r="C367" t="s">
        <v>1082</v>
      </c>
      <c r="D367">
        <v>50</v>
      </c>
    </row>
    <row r="368" spans="1:4" x14ac:dyDescent="0.35">
      <c r="A368" t="s">
        <v>444</v>
      </c>
      <c r="B368">
        <v>1292</v>
      </c>
      <c r="C368" t="s">
        <v>1077</v>
      </c>
      <c r="D368">
        <v>50</v>
      </c>
    </row>
    <row r="369" spans="1:4" x14ac:dyDescent="0.35">
      <c r="A369" t="s">
        <v>445</v>
      </c>
      <c r="B369">
        <v>1292</v>
      </c>
      <c r="C369" t="s">
        <v>1078</v>
      </c>
      <c r="D369">
        <v>50</v>
      </c>
    </row>
    <row r="370" spans="1:4" x14ac:dyDescent="0.35">
      <c r="A370" t="s">
        <v>446</v>
      </c>
      <c r="B370">
        <v>1292</v>
      </c>
      <c r="C370" t="s">
        <v>1081</v>
      </c>
      <c r="D370">
        <v>50</v>
      </c>
    </row>
    <row r="371" spans="1:4" x14ac:dyDescent="0.35">
      <c r="A371" t="s">
        <v>447</v>
      </c>
      <c r="B371">
        <v>1292</v>
      </c>
      <c r="C371" t="s">
        <v>1084</v>
      </c>
      <c r="D371">
        <v>50</v>
      </c>
    </row>
    <row r="372" spans="1:4" x14ac:dyDescent="0.35">
      <c r="A372" t="s">
        <v>448</v>
      </c>
      <c r="B372">
        <v>1294</v>
      </c>
      <c r="C372" t="s">
        <v>1087</v>
      </c>
      <c r="D372">
        <v>500</v>
      </c>
    </row>
    <row r="373" spans="1:4" x14ac:dyDescent="0.35">
      <c r="A373" t="s">
        <v>449</v>
      </c>
      <c r="B373">
        <v>1294</v>
      </c>
      <c r="C373" t="s">
        <v>1077</v>
      </c>
      <c r="D373">
        <v>500</v>
      </c>
    </row>
    <row r="374" spans="1:4" x14ac:dyDescent="0.35">
      <c r="A374" t="s">
        <v>450</v>
      </c>
      <c r="B374">
        <v>1294</v>
      </c>
      <c r="C374" t="s">
        <v>1078</v>
      </c>
      <c r="D374">
        <v>500</v>
      </c>
    </row>
    <row r="375" spans="1:4" x14ac:dyDescent="0.35">
      <c r="A375" t="s">
        <v>451</v>
      </c>
      <c r="B375">
        <v>1294</v>
      </c>
      <c r="C375" t="s">
        <v>1081</v>
      </c>
      <c r="D375">
        <v>500</v>
      </c>
    </row>
    <row r="376" spans="1:4" x14ac:dyDescent="0.35">
      <c r="A376" t="s">
        <v>452</v>
      </c>
      <c r="B376">
        <v>1294</v>
      </c>
      <c r="C376" t="s">
        <v>1084</v>
      </c>
      <c r="D376">
        <v>500</v>
      </c>
    </row>
    <row r="377" spans="1:4" x14ac:dyDescent="0.35">
      <c r="A377" t="s">
        <v>453</v>
      </c>
      <c r="B377">
        <v>1294</v>
      </c>
      <c r="C377" t="s">
        <v>1082</v>
      </c>
      <c r="D377">
        <v>500</v>
      </c>
    </row>
    <row r="378" spans="1:4" x14ac:dyDescent="0.35">
      <c r="A378" t="s">
        <v>454</v>
      </c>
      <c r="B378">
        <v>1294</v>
      </c>
      <c r="C378" t="s">
        <v>1083</v>
      </c>
      <c r="D378">
        <v>500</v>
      </c>
    </row>
    <row r="379" spans="1:4" x14ac:dyDescent="0.35">
      <c r="A379" t="s">
        <v>455</v>
      </c>
      <c r="B379">
        <v>1294</v>
      </c>
      <c r="C379" t="s">
        <v>1070</v>
      </c>
      <c r="D379">
        <v>500</v>
      </c>
    </row>
    <row r="380" spans="1:4" x14ac:dyDescent="0.35">
      <c r="A380" t="s">
        <v>456</v>
      </c>
      <c r="B380">
        <v>1294</v>
      </c>
      <c r="C380" t="s">
        <v>1071</v>
      </c>
      <c r="D380">
        <v>500</v>
      </c>
    </row>
    <row r="381" spans="1:4" x14ac:dyDescent="0.35">
      <c r="A381" t="s">
        <v>457</v>
      </c>
      <c r="B381">
        <v>1294</v>
      </c>
      <c r="C381" t="s">
        <v>1072</v>
      </c>
      <c r="D381">
        <v>500</v>
      </c>
    </row>
    <row r="382" spans="1:4" x14ac:dyDescent="0.35">
      <c r="A382" t="s">
        <v>458</v>
      </c>
      <c r="B382">
        <v>1294</v>
      </c>
      <c r="C382" t="s">
        <v>1073</v>
      </c>
      <c r="D382">
        <v>500</v>
      </c>
    </row>
    <row r="383" spans="1:4" x14ac:dyDescent="0.35">
      <c r="A383" t="s">
        <v>459</v>
      </c>
      <c r="B383">
        <v>1294</v>
      </c>
      <c r="C383" t="s">
        <v>1074</v>
      </c>
      <c r="D383">
        <v>500</v>
      </c>
    </row>
    <row r="384" spans="1:4" x14ac:dyDescent="0.35">
      <c r="A384" t="s">
        <v>460</v>
      </c>
      <c r="B384">
        <v>1294</v>
      </c>
      <c r="C384" t="s">
        <v>1075</v>
      </c>
      <c r="D384">
        <v>500</v>
      </c>
    </row>
    <row r="385" spans="1:4" x14ac:dyDescent="0.35">
      <c r="A385" t="s">
        <v>461</v>
      </c>
      <c r="B385">
        <v>1294</v>
      </c>
      <c r="C385" t="s">
        <v>1076</v>
      </c>
      <c r="D385">
        <v>500</v>
      </c>
    </row>
    <row r="386" spans="1:4" x14ac:dyDescent="0.35">
      <c r="A386" t="s">
        <v>462</v>
      </c>
      <c r="B386">
        <v>1294</v>
      </c>
      <c r="C386" t="s">
        <v>1079</v>
      </c>
      <c r="D386">
        <v>500</v>
      </c>
    </row>
    <row r="387" spans="1:4" x14ac:dyDescent="0.35">
      <c r="A387" t="s">
        <v>463</v>
      </c>
      <c r="B387">
        <v>1308</v>
      </c>
      <c r="C387" t="s">
        <v>1078</v>
      </c>
      <c r="D387">
        <v>50</v>
      </c>
    </row>
    <row r="388" spans="1:4" x14ac:dyDescent="0.35">
      <c r="A388" t="s">
        <v>464</v>
      </c>
      <c r="B388">
        <v>1308</v>
      </c>
      <c r="C388" t="s">
        <v>1081</v>
      </c>
      <c r="D388">
        <v>50</v>
      </c>
    </row>
    <row r="389" spans="1:4" x14ac:dyDescent="0.35">
      <c r="A389" t="s">
        <v>465</v>
      </c>
      <c r="B389">
        <v>1308</v>
      </c>
      <c r="C389" t="s">
        <v>1084</v>
      </c>
      <c r="D389">
        <v>50</v>
      </c>
    </row>
    <row r="390" spans="1:4" x14ac:dyDescent="0.35">
      <c r="A390" t="s">
        <v>466</v>
      </c>
      <c r="B390">
        <v>1308</v>
      </c>
      <c r="C390" t="s">
        <v>1082</v>
      </c>
      <c r="D390">
        <v>50</v>
      </c>
    </row>
    <row r="391" spans="1:4" x14ac:dyDescent="0.35">
      <c r="A391" t="s">
        <v>467</v>
      </c>
      <c r="B391">
        <v>1308</v>
      </c>
      <c r="C391" t="s">
        <v>1083</v>
      </c>
      <c r="D391">
        <v>50</v>
      </c>
    </row>
    <row r="392" spans="1:4" x14ac:dyDescent="0.35">
      <c r="A392" t="s">
        <v>468</v>
      </c>
      <c r="B392">
        <v>1308</v>
      </c>
      <c r="C392" t="s">
        <v>1070</v>
      </c>
      <c r="D392">
        <v>50</v>
      </c>
    </row>
    <row r="393" spans="1:4" x14ac:dyDescent="0.35">
      <c r="A393" t="s">
        <v>469</v>
      </c>
      <c r="B393">
        <v>1308</v>
      </c>
      <c r="C393" t="s">
        <v>1071</v>
      </c>
      <c r="D393">
        <v>50</v>
      </c>
    </row>
    <row r="394" spans="1:4" x14ac:dyDescent="0.35">
      <c r="A394" t="s">
        <v>470</v>
      </c>
      <c r="B394">
        <v>1308</v>
      </c>
      <c r="C394" t="s">
        <v>1072</v>
      </c>
      <c r="D394">
        <v>50</v>
      </c>
    </row>
    <row r="395" spans="1:4" x14ac:dyDescent="0.35">
      <c r="A395" t="s">
        <v>471</v>
      </c>
      <c r="B395">
        <v>1308</v>
      </c>
      <c r="C395" t="s">
        <v>1073</v>
      </c>
      <c r="D395">
        <v>50</v>
      </c>
    </row>
    <row r="396" spans="1:4" x14ac:dyDescent="0.35">
      <c r="A396" t="s">
        <v>472</v>
      </c>
      <c r="B396">
        <v>1308</v>
      </c>
      <c r="C396" t="s">
        <v>1074</v>
      </c>
      <c r="D396">
        <v>50</v>
      </c>
    </row>
    <row r="397" spans="1:4" x14ac:dyDescent="0.35">
      <c r="A397" t="s">
        <v>473</v>
      </c>
      <c r="B397">
        <v>1308</v>
      </c>
      <c r="C397" t="s">
        <v>1075</v>
      </c>
      <c r="D397">
        <v>50</v>
      </c>
    </row>
    <row r="398" spans="1:4" x14ac:dyDescent="0.35">
      <c r="A398" t="s">
        <v>474</v>
      </c>
      <c r="B398">
        <v>1309</v>
      </c>
      <c r="C398" t="s">
        <v>1082</v>
      </c>
      <c r="D398">
        <v>50</v>
      </c>
    </row>
    <row r="399" spans="1:4" x14ac:dyDescent="0.35">
      <c r="A399" t="s">
        <v>475</v>
      </c>
      <c r="B399">
        <v>1309</v>
      </c>
      <c r="C399" t="s">
        <v>1083</v>
      </c>
      <c r="D399">
        <v>50</v>
      </c>
    </row>
    <row r="400" spans="1:4" x14ac:dyDescent="0.35">
      <c r="A400" t="s">
        <v>476</v>
      </c>
      <c r="B400">
        <v>1309</v>
      </c>
      <c r="C400" t="s">
        <v>1070</v>
      </c>
      <c r="D400">
        <v>50</v>
      </c>
    </row>
    <row r="401" spans="1:4" x14ac:dyDescent="0.35">
      <c r="A401" t="s">
        <v>477</v>
      </c>
      <c r="B401">
        <v>1312</v>
      </c>
      <c r="C401" t="s">
        <v>1071</v>
      </c>
      <c r="D401">
        <v>50</v>
      </c>
    </row>
    <row r="402" spans="1:4" x14ac:dyDescent="0.35">
      <c r="A402" t="s">
        <v>478</v>
      </c>
      <c r="B402">
        <v>1312</v>
      </c>
      <c r="C402" t="s">
        <v>1072</v>
      </c>
      <c r="D402">
        <v>50</v>
      </c>
    </row>
    <row r="403" spans="1:4" x14ac:dyDescent="0.35">
      <c r="A403" t="s">
        <v>479</v>
      </c>
      <c r="B403">
        <v>1312</v>
      </c>
      <c r="C403" t="s">
        <v>1073</v>
      </c>
      <c r="D403">
        <v>50</v>
      </c>
    </row>
    <row r="404" spans="1:4" x14ac:dyDescent="0.35">
      <c r="A404" t="s">
        <v>480</v>
      </c>
      <c r="B404">
        <v>1312</v>
      </c>
      <c r="C404" t="s">
        <v>1074</v>
      </c>
      <c r="D404">
        <v>50</v>
      </c>
    </row>
    <row r="405" spans="1:4" x14ac:dyDescent="0.35">
      <c r="A405" t="s">
        <v>481</v>
      </c>
      <c r="B405">
        <v>1313</v>
      </c>
      <c r="C405" t="s">
        <v>1086</v>
      </c>
      <c r="D405">
        <v>500</v>
      </c>
    </row>
    <row r="406" spans="1:4" x14ac:dyDescent="0.35">
      <c r="A406" t="s">
        <v>482</v>
      </c>
      <c r="B406">
        <v>1313</v>
      </c>
      <c r="C406" t="s">
        <v>1087</v>
      </c>
      <c r="D406">
        <v>500</v>
      </c>
    </row>
    <row r="407" spans="1:4" x14ac:dyDescent="0.35">
      <c r="A407" t="s">
        <v>483</v>
      </c>
      <c r="B407">
        <v>1313</v>
      </c>
      <c r="C407" t="s">
        <v>1077</v>
      </c>
      <c r="D407">
        <v>500</v>
      </c>
    </row>
    <row r="408" spans="1:4" x14ac:dyDescent="0.35">
      <c r="A408" t="s">
        <v>484</v>
      </c>
      <c r="B408">
        <v>1313</v>
      </c>
      <c r="C408" t="s">
        <v>1078</v>
      </c>
      <c r="D408">
        <v>500</v>
      </c>
    </row>
    <row r="409" spans="1:4" x14ac:dyDescent="0.35">
      <c r="A409" t="s">
        <v>485</v>
      </c>
      <c r="B409">
        <v>1313</v>
      </c>
      <c r="C409" t="s">
        <v>1081</v>
      </c>
      <c r="D409">
        <v>500</v>
      </c>
    </row>
    <row r="410" spans="1:4" x14ac:dyDescent="0.35">
      <c r="A410" t="s">
        <v>486</v>
      </c>
      <c r="B410">
        <v>1313</v>
      </c>
      <c r="C410" t="s">
        <v>1084</v>
      </c>
      <c r="D410">
        <v>500</v>
      </c>
    </row>
    <row r="411" spans="1:4" x14ac:dyDescent="0.35">
      <c r="A411" t="s">
        <v>487</v>
      </c>
      <c r="B411">
        <v>1313</v>
      </c>
      <c r="C411" t="s">
        <v>1082</v>
      </c>
      <c r="D411">
        <v>500</v>
      </c>
    </row>
    <row r="412" spans="1:4" x14ac:dyDescent="0.35">
      <c r="A412" t="s">
        <v>488</v>
      </c>
      <c r="B412">
        <v>1313</v>
      </c>
      <c r="C412" t="s">
        <v>1083</v>
      </c>
      <c r="D412">
        <v>500</v>
      </c>
    </row>
    <row r="413" spans="1:4" x14ac:dyDescent="0.35">
      <c r="A413" t="s">
        <v>489</v>
      </c>
      <c r="B413">
        <v>1313</v>
      </c>
      <c r="C413" t="s">
        <v>1070</v>
      </c>
      <c r="D413">
        <v>500</v>
      </c>
    </row>
    <row r="414" spans="1:4" x14ac:dyDescent="0.35">
      <c r="A414" t="s">
        <v>490</v>
      </c>
      <c r="B414">
        <v>1313</v>
      </c>
      <c r="C414" t="s">
        <v>1071</v>
      </c>
      <c r="D414">
        <v>500</v>
      </c>
    </row>
    <row r="415" spans="1:4" x14ac:dyDescent="0.35">
      <c r="A415" t="s">
        <v>491</v>
      </c>
      <c r="B415">
        <v>1313</v>
      </c>
      <c r="C415" t="s">
        <v>1072</v>
      </c>
      <c r="D415">
        <v>500</v>
      </c>
    </row>
    <row r="416" spans="1:4" x14ac:dyDescent="0.35">
      <c r="A416" t="s">
        <v>492</v>
      </c>
      <c r="B416">
        <v>1313</v>
      </c>
      <c r="C416" t="s">
        <v>1073</v>
      </c>
      <c r="D416">
        <v>500</v>
      </c>
    </row>
    <row r="417" spans="1:4" x14ac:dyDescent="0.35">
      <c r="A417" t="s">
        <v>493</v>
      </c>
      <c r="B417">
        <v>1313</v>
      </c>
      <c r="C417" t="s">
        <v>1074</v>
      </c>
      <c r="D417">
        <v>500</v>
      </c>
    </row>
    <row r="418" spans="1:4" x14ac:dyDescent="0.35">
      <c r="A418" t="s">
        <v>494</v>
      </c>
      <c r="B418">
        <v>1332</v>
      </c>
      <c r="C418" t="s">
        <v>1073</v>
      </c>
      <c r="D418">
        <v>200</v>
      </c>
    </row>
    <row r="419" spans="1:4" x14ac:dyDescent="0.35">
      <c r="A419" t="s">
        <v>495</v>
      </c>
      <c r="B419">
        <v>1332</v>
      </c>
      <c r="C419" t="s">
        <v>1074</v>
      </c>
      <c r="D419">
        <v>200</v>
      </c>
    </row>
    <row r="420" spans="1:4" x14ac:dyDescent="0.35">
      <c r="A420" t="s">
        <v>496</v>
      </c>
      <c r="B420">
        <v>1332</v>
      </c>
      <c r="C420" t="s">
        <v>1075</v>
      </c>
      <c r="D420">
        <v>200</v>
      </c>
    </row>
    <row r="421" spans="1:4" x14ac:dyDescent="0.35">
      <c r="A421" t="s">
        <v>497</v>
      </c>
      <c r="B421">
        <v>1337</v>
      </c>
      <c r="C421" t="s">
        <v>1082</v>
      </c>
      <c r="D421">
        <v>50</v>
      </c>
    </row>
    <row r="422" spans="1:4" x14ac:dyDescent="0.35">
      <c r="A422" t="s">
        <v>498</v>
      </c>
      <c r="B422">
        <v>1337</v>
      </c>
      <c r="C422" t="s">
        <v>1083</v>
      </c>
      <c r="D422">
        <v>50</v>
      </c>
    </row>
    <row r="423" spans="1:4" x14ac:dyDescent="0.35">
      <c r="A423" t="s">
        <v>499</v>
      </c>
      <c r="B423">
        <v>1337</v>
      </c>
      <c r="C423" t="s">
        <v>1070</v>
      </c>
      <c r="D423">
        <v>50</v>
      </c>
    </row>
    <row r="424" spans="1:4" x14ac:dyDescent="0.35">
      <c r="A424" t="s">
        <v>500</v>
      </c>
      <c r="B424">
        <v>1337</v>
      </c>
      <c r="C424" t="s">
        <v>1071</v>
      </c>
      <c r="D424">
        <v>50</v>
      </c>
    </row>
    <row r="425" spans="1:4" x14ac:dyDescent="0.35">
      <c r="A425" t="s">
        <v>501</v>
      </c>
      <c r="B425">
        <v>1346</v>
      </c>
      <c r="C425" t="s">
        <v>1087</v>
      </c>
      <c r="D425">
        <v>200</v>
      </c>
    </row>
    <row r="426" spans="1:4" x14ac:dyDescent="0.35">
      <c r="A426" t="s">
        <v>502</v>
      </c>
      <c r="B426">
        <v>1346</v>
      </c>
      <c r="C426" t="s">
        <v>1077</v>
      </c>
      <c r="D426">
        <v>200</v>
      </c>
    </row>
    <row r="427" spans="1:4" x14ac:dyDescent="0.35">
      <c r="A427" t="s">
        <v>503</v>
      </c>
      <c r="B427">
        <v>1346</v>
      </c>
      <c r="C427" t="s">
        <v>1078</v>
      </c>
      <c r="D427">
        <v>200</v>
      </c>
    </row>
    <row r="428" spans="1:4" x14ac:dyDescent="0.35">
      <c r="A428" t="s">
        <v>504</v>
      </c>
      <c r="B428">
        <v>1346</v>
      </c>
      <c r="C428" t="s">
        <v>1081</v>
      </c>
      <c r="D428">
        <v>200</v>
      </c>
    </row>
    <row r="429" spans="1:4" x14ac:dyDescent="0.35">
      <c r="A429" t="s">
        <v>505</v>
      </c>
      <c r="B429">
        <v>1347</v>
      </c>
      <c r="C429" t="s">
        <v>1071</v>
      </c>
      <c r="D429">
        <v>50</v>
      </c>
    </row>
    <row r="430" spans="1:4" x14ac:dyDescent="0.35">
      <c r="A430" t="s">
        <v>506</v>
      </c>
      <c r="B430">
        <v>1347</v>
      </c>
      <c r="C430" t="s">
        <v>1072</v>
      </c>
      <c r="D430">
        <v>50</v>
      </c>
    </row>
    <row r="431" spans="1:4" x14ac:dyDescent="0.35">
      <c r="A431" t="s">
        <v>507</v>
      </c>
      <c r="B431">
        <v>1347</v>
      </c>
      <c r="C431" t="s">
        <v>1073</v>
      </c>
      <c r="D431">
        <v>50</v>
      </c>
    </row>
    <row r="432" spans="1:4" x14ac:dyDescent="0.35">
      <c r="A432" t="s">
        <v>508</v>
      </c>
      <c r="B432">
        <v>1347</v>
      </c>
      <c r="C432" t="s">
        <v>1074</v>
      </c>
      <c r="D432">
        <v>50</v>
      </c>
    </row>
    <row r="433" spans="1:4" x14ac:dyDescent="0.35">
      <c r="A433" t="s">
        <v>509</v>
      </c>
      <c r="B433">
        <v>1347</v>
      </c>
      <c r="C433" t="s">
        <v>1075</v>
      </c>
      <c r="D433">
        <v>50</v>
      </c>
    </row>
    <row r="434" spans="1:4" x14ac:dyDescent="0.35">
      <c r="A434" t="s">
        <v>510</v>
      </c>
      <c r="B434">
        <v>1347</v>
      </c>
      <c r="C434" t="s">
        <v>1076</v>
      </c>
      <c r="D434">
        <v>50</v>
      </c>
    </row>
    <row r="435" spans="1:4" x14ac:dyDescent="0.35">
      <c r="A435" t="s">
        <v>511</v>
      </c>
      <c r="B435">
        <v>1352</v>
      </c>
      <c r="C435" t="s">
        <v>1086</v>
      </c>
      <c r="D435">
        <v>500</v>
      </c>
    </row>
    <row r="436" spans="1:4" x14ac:dyDescent="0.35">
      <c r="A436" t="s">
        <v>512</v>
      </c>
      <c r="B436">
        <v>1352</v>
      </c>
      <c r="C436" t="s">
        <v>1087</v>
      </c>
      <c r="D436">
        <v>500</v>
      </c>
    </row>
    <row r="437" spans="1:4" x14ac:dyDescent="0.35">
      <c r="A437" t="s">
        <v>513</v>
      </c>
      <c r="B437">
        <v>1352</v>
      </c>
      <c r="C437" t="s">
        <v>1077</v>
      </c>
      <c r="D437">
        <v>500</v>
      </c>
    </row>
    <row r="438" spans="1:4" x14ac:dyDescent="0.35">
      <c r="A438" t="s">
        <v>514</v>
      </c>
      <c r="B438">
        <v>1352</v>
      </c>
      <c r="C438" t="s">
        <v>1078</v>
      </c>
      <c r="D438">
        <v>500</v>
      </c>
    </row>
    <row r="439" spans="1:4" x14ac:dyDescent="0.35">
      <c r="A439" t="s">
        <v>515</v>
      </c>
      <c r="B439">
        <v>1352</v>
      </c>
      <c r="C439" t="s">
        <v>1081</v>
      </c>
      <c r="D439">
        <v>500</v>
      </c>
    </row>
    <row r="440" spans="1:4" x14ac:dyDescent="0.35">
      <c r="A440" t="s">
        <v>516</v>
      </c>
      <c r="B440">
        <v>1352</v>
      </c>
      <c r="C440" t="s">
        <v>1084</v>
      </c>
      <c r="D440">
        <v>500</v>
      </c>
    </row>
    <row r="441" spans="1:4" x14ac:dyDescent="0.35">
      <c r="A441" t="s">
        <v>517</v>
      </c>
      <c r="B441">
        <v>1352</v>
      </c>
      <c r="C441" t="s">
        <v>1082</v>
      </c>
      <c r="D441">
        <v>500</v>
      </c>
    </row>
    <row r="442" spans="1:4" x14ac:dyDescent="0.35">
      <c r="A442" t="s">
        <v>518</v>
      </c>
      <c r="B442">
        <v>1352</v>
      </c>
      <c r="C442" t="s">
        <v>1083</v>
      </c>
      <c r="D442">
        <v>500</v>
      </c>
    </row>
    <row r="443" spans="1:4" x14ac:dyDescent="0.35">
      <c r="A443" t="s">
        <v>519</v>
      </c>
      <c r="B443">
        <v>1352</v>
      </c>
      <c r="C443" t="s">
        <v>1070</v>
      </c>
      <c r="D443">
        <v>500</v>
      </c>
    </row>
    <row r="444" spans="1:4" x14ac:dyDescent="0.35">
      <c r="A444" t="s">
        <v>520</v>
      </c>
      <c r="B444">
        <v>1355</v>
      </c>
      <c r="C444" t="s">
        <v>1072</v>
      </c>
      <c r="D444">
        <v>500</v>
      </c>
    </row>
    <row r="445" spans="1:4" x14ac:dyDescent="0.35">
      <c r="A445" t="s">
        <v>521</v>
      </c>
      <c r="B445">
        <v>1355</v>
      </c>
      <c r="C445" t="s">
        <v>1073</v>
      </c>
      <c r="D445">
        <v>500</v>
      </c>
    </row>
    <row r="446" spans="1:4" x14ac:dyDescent="0.35">
      <c r="A446" t="s">
        <v>522</v>
      </c>
      <c r="B446">
        <v>1355</v>
      </c>
      <c r="C446" t="s">
        <v>1074</v>
      </c>
      <c r="D446">
        <v>500</v>
      </c>
    </row>
    <row r="447" spans="1:4" x14ac:dyDescent="0.35">
      <c r="A447" t="s">
        <v>523</v>
      </c>
      <c r="B447">
        <v>1355</v>
      </c>
      <c r="C447" t="s">
        <v>1075</v>
      </c>
      <c r="D447">
        <v>500</v>
      </c>
    </row>
    <row r="448" spans="1:4" x14ac:dyDescent="0.35">
      <c r="A448" t="s">
        <v>524</v>
      </c>
      <c r="B448">
        <v>1358</v>
      </c>
      <c r="C448" t="s">
        <v>1081</v>
      </c>
      <c r="D448">
        <v>500</v>
      </c>
    </row>
    <row r="449" spans="1:4" x14ac:dyDescent="0.35">
      <c r="A449" t="s">
        <v>525</v>
      </c>
      <c r="B449">
        <v>1358</v>
      </c>
      <c r="C449" t="s">
        <v>1084</v>
      </c>
      <c r="D449">
        <v>500</v>
      </c>
    </row>
    <row r="450" spans="1:4" x14ac:dyDescent="0.35">
      <c r="A450" t="s">
        <v>526</v>
      </c>
      <c r="B450">
        <v>1358</v>
      </c>
      <c r="C450" t="s">
        <v>1082</v>
      </c>
      <c r="D450">
        <v>500</v>
      </c>
    </row>
    <row r="451" spans="1:4" x14ac:dyDescent="0.35">
      <c r="A451" t="s">
        <v>527</v>
      </c>
      <c r="B451">
        <v>1358</v>
      </c>
      <c r="C451" t="s">
        <v>1083</v>
      </c>
      <c r="D451">
        <v>500</v>
      </c>
    </row>
    <row r="452" spans="1:4" x14ac:dyDescent="0.35">
      <c r="A452" t="s">
        <v>528</v>
      </c>
      <c r="B452">
        <v>1358</v>
      </c>
      <c r="C452" t="s">
        <v>1070</v>
      </c>
      <c r="D452">
        <v>500</v>
      </c>
    </row>
    <row r="453" spans="1:4" x14ac:dyDescent="0.35">
      <c r="A453" t="s">
        <v>529</v>
      </c>
      <c r="B453">
        <v>1358</v>
      </c>
      <c r="C453" t="s">
        <v>1071</v>
      </c>
      <c r="D453">
        <v>500</v>
      </c>
    </row>
    <row r="454" spans="1:4" x14ac:dyDescent="0.35">
      <c r="A454" t="s">
        <v>530</v>
      </c>
      <c r="B454">
        <v>1358</v>
      </c>
      <c r="C454" t="s">
        <v>1072</v>
      </c>
      <c r="D454">
        <v>500</v>
      </c>
    </row>
    <row r="455" spans="1:4" x14ac:dyDescent="0.35">
      <c r="A455" t="s">
        <v>531</v>
      </c>
      <c r="B455">
        <v>1358</v>
      </c>
      <c r="C455" t="s">
        <v>1073</v>
      </c>
      <c r="D455">
        <v>500</v>
      </c>
    </row>
    <row r="456" spans="1:4" x14ac:dyDescent="0.35">
      <c r="A456" t="s">
        <v>532</v>
      </c>
      <c r="B456">
        <v>1358</v>
      </c>
      <c r="C456" t="s">
        <v>1074</v>
      </c>
      <c r="D456">
        <v>500</v>
      </c>
    </row>
    <row r="457" spans="1:4" x14ac:dyDescent="0.35">
      <c r="A457" t="s">
        <v>533</v>
      </c>
      <c r="B457">
        <v>1358</v>
      </c>
      <c r="C457" t="s">
        <v>1075</v>
      </c>
      <c r="D457">
        <v>500</v>
      </c>
    </row>
    <row r="458" spans="1:4" x14ac:dyDescent="0.35">
      <c r="A458" t="s">
        <v>534</v>
      </c>
      <c r="B458">
        <v>1359</v>
      </c>
      <c r="C458" t="s">
        <v>1076</v>
      </c>
      <c r="D458">
        <v>50</v>
      </c>
    </row>
    <row r="459" spans="1:4" x14ac:dyDescent="0.35">
      <c r="A459" t="s">
        <v>535</v>
      </c>
      <c r="B459">
        <v>1359</v>
      </c>
      <c r="C459" t="s">
        <v>1079</v>
      </c>
      <c r="D459">
        <v>50</v>
      </c>
    </row>
    <row r="460" spans="1:4" x14ac:dyDescent="0.35">
      <c r="A460" t="s">
        <v>536</v>
      </c>
      <c r="B460">
        <v>1359</v>
      </c>
      <c r="C460" t="s">
        <v>1080</v>
      </c>
      <c r="D460">
        <v>50</v>
      </c>
    </row>
    <row r="461" spans="1:4" x14ac:dyDescent="0.35">
      <c r="A461" t="s">
        <v>537</v>
      </c>
      <c r="B461">
        <v>1379</v>
      </c>
      <c r="C461" t="s">
        <v>1083</v>
      </c>
      <c r="D461">
        <v>50</v>
      </c>
    </row>
    <row r="462" spans="1:4" x14ac:dyDescent="0.35">
      <c r="A462" t="s">
        <v>538</v>
      </c>
      <c r="B462">
        <v>1379</v>
      </c>
      <c r="C462" t="s">
        <v>1070</v>
      </c>
      <c r="D462">
        <v>50</v>
      </c>
    </row>
    <row r="463" spans="1:4" x14ac:dyDescent="0.35">
      <c r="A463" t="s">
        <v>539</v>
      </c>
      <c r="B463">
        <v>1379</v>
      </c>
      <c r="C463" t="s">
        <v>1071</v>
      </c>
      <c r="D463">
        <v>50</v>
      </c>
    </row>
    <row r="464" spans="1:4" x14ac:dyDescent="0.35">
      <c r="A464" t="s">
        <v>540</v>
      </c>
      <c r="B464">
        <v>1379</v>
      </c>
      <c r="C464" t="s">
        <v>1072</v>
      </c>
      <c r="D464">
        <v>50</v>
      </c>
    </row>
    <row r="465" spans="1:4" x14ac:dyDescent="0.35">
      <c r="A465" t="s">
        <v>541</v>
      </c>
      <c r="B465">
        <v>1379</v>
      </c>
      <c r="C465" t="s">
        <v>1073</v>
      </c>
      <c r="D465">
        <v>50</v>
      </c>
    </row>
    <row r="466" spans="1:4" x14ac:dyDescent="0.35">
      <c r="A466" t="s">
        <v>542</v>
      </c>
      <c r="B466">
        <v>1379</v>
      </c>
      <c r="C466" t="s">
        <v>1074</v>
      </c>
      <c r="D466">
        <v>50</v>
      </c>
    </row>
    <row r="467" spans="1:4" x14ac:dyDescent="0.35">
      <c r="A467" t="s">
        <v>543</v>
      </c>
      <c r="B467">
        <v>1380</v>
      </c>
      <c r="C467" t="s">
        <v>1087</v>
      </c>
      <c r="D467">
        <v>200</v>
      </c>
    </row>
    <row r="468" spans="1:4" x14ac:dyDescent="0.35">
      <c r="A468" t="s">
        <v>544</v>
      </c>
      <c r="B468">
        <v>1380</v>
      </c>
      <c r="C468" t="s">
        <v>1077</v>
      </c>
      <c r="D468">
        <v>200</v>
      </c>
    </row>
    <row r="469" spans="1:4" x14ac:dyDescent="0.35">
      <c r="A469" t="s">
        <v>545</v>
      </c>
      <c r="B469">
        <v>1380</v>
      </c>
      <c r="C469" t="s">
        <v>1078</v>
      </c>
      <c r="D469">
        <v>200</v>
      </c>
    </row>
    <row r="470" spans="1:4" x14ac:dyDescent="0.35">
      <c r="A470" t="s">
        <v>546</v>
      </c>
      <c r="B470">
        <v>1380</v>
      </c>
      <c r="C470" t="s">
        <v>1081</v>
      </c>
      <c r="D470">
        <v>200</v>
      </c>
    </row>
    <row r="471" spans="1:4" x14ac:dyDescent="0.35">
      <c r="A471" t="s">
        <v>547</v>
      </c>
      <c r="B471">
        <v>1380</v>
      </c>
      <c r="C471" t="s">
        <v>1084</v>
      </c>
      <c r="D471">
        <v>200</v>
      </c>
    </row>
    <row r="472" spans="1:4" x14ac:dyDescent="0.35">
      <c r="A472" t="s">
        <v>548</v>
      </c>
      <c r="B472">
        <v>1380</v>
      </c>
      <c r="C472" t="s">
        <v>1082</v>
      </c>
      <c r="D472">
        <v>200</v>
      </c>
    </row>
    <row r="473" spans="1:4" x14ac:dyDescent="0.35">
      <c r="A473" t="s">
        <v>549</v>
      </c>
      <c r="B473">
        <v>1380</v>
      </c>
      <c r="C473" t="s">
        <v>1083</v>
      </c>
      <c r="D473">
        <v>200</v>
      </c>
    </row>
    <row r="474" spans="1:4" x14ac:dyDescent="0.35">
      <c r="A474" t="s">
        <v>550</v>
      </c>
      <c r="B474">
        <v>1380</v>
      </c>
      <c r="C474" t="s">
        <v>1070</v>
      </c>
      <c r="D474">
        <v>200</v>
      </c>
    </row>
    <row r="475" spans="1:4" x14ac:dyDescent="0.35">
      <c r="A475" t="s">
        <v>551</v>
      </c>
      <c r="B475">
        <v>1380</v>
      </c>
      <c r="C475" t="s">
        <v>1071</v>
      </c>
      <c r="D475">
        <v>200</v>
      </c>
    </row>
    <row r="476" spans="1:4" x14ac:dyDescent="0.35">
      <c r="A476" t="s">
        <v>552</v>
      </c>
      <c r="B476">
        <v>1380</v>
      </c>
      <c r="C476" t="s">
        <v>1072</v>
      </c>
      <c r="D476">
        <v>200</v>
      </c>
    </row>
    <row r="477" spans="1:4" x14ac:dyDescent="0.35">
      <c r="A477" t="s">
        <v>553</v>
      </c>
      <c r="B477">
        <v>1380</v>
      </c>
      <c r="C477" t="s">
        <v>1073</v>
      </c>
      <c r="D477">
        <v>200</v>
      </c>
    </row>
    <row r="478" spans="1:4" x14ac:dyDescent="0.35">
      <c r="A478" t="s">
        <v>554</v>
      </c>
      <c r="B478">
        <v>1380</v>
      </c>
      <c r="C478" t="s">
        <v>1074</v>
      </c>
      <c r="D478">
        <v>200</v>
      </c>
    </row>
    <row r="479" spans="1:4" x14ac:dyDescent="0.35">
      <c r="A479" t="s">
        <v>555</v>
      </c>
      <c r="B479">
        <v>1380</v>
      </c>
      <c r="C479" t="s">
        <v>1075</v>
      </c>
      <c r="D479">
        <v>200</v>
      </c>
    </row>
    <row r="480" spans="1:4" x14ac:dyDescent="0.35">
      <c r="A480" t="s">
        <v>556</v>
      </c>
      <c r="B480">
        <v>1380</v>
      </c>
      <c r="C480" t="s">
        <v>1076</v>
      </c>
      <c r="D480">
        <v>200</v>
      </c>
    </row>
    <row r="481" spans="1:4" x14ac:dyDescent="0.35">
      <c r="A481" t="s">
        <v>557</v>
      </c>
      <c r="B481">
        <v>1380</v>
      </c>
      <c r="C481" t="s">
        <v>1079</v>
      </c>
      <c r="D481">
        <v>200</v>
      </c>
    </row>
    <row r="482" spans="1:4" x14ac:dyDescent="0.35">
      <c r="A482" t="s">
        <v>558</v>
      </c>
      <c r="B482">
        <v>1382</v>
      </c>
      <c r="C482" t="s">
        <v>1076</v>
      </c>
      <c r="D482">
        <v>200</v>
      </c>
    </row>
    <row r="483" spans="1:4" x14ac:dyDescent="0.35">
      <c r="A483" t="s">
        <v>559</v>
      </c>
      <c r="B483">
        <v>1382</v>
      </c>
      <c r="C483" t="s">
        <v>1079</v>
      </c>
      <c r="D483">
        <v>200</v>
      </c>
    </row>
    <row r="484" spans="1:4" x14ac:dyDescent="0.35">
      <c r="A484" t="s">
        <v>560</v>
      </c>
      <c r="B484">
        <v>1386</v>
      </c>
      <c r="C484" t="s">
        <v>1077</v>
      </c>
      <c r="D484">
        <v>500</v>
      </c>
    </row>
    <row r="485" spans="1:4" x14ac:dyDescent="0.35">
      <c r="A485" t="s">
        <v>561</v>
      </c>
      <c r="B485">
        <v>1386</v>
      </c>
      <c r="C485" t="s">
        <v>1078</v>
      </c>
      <c r="D485">
        <v>500</v>
      </c>
    </row>
    <row r="486" spans="1:4" x14ac:dyDescent="0.35">
      <c r="A486" t="s">
        <v>562</v>
      </c>
      <c r="B486">
        <v>1386</v>
      </c>
      <c r="C486" t="s">
        <v>1081</v>
      </c>
      <c r="D486">
        <v>500</v>
      </c>
    </row>
    <row r="487" spans="1:4" x14ac:dyDescent="0.35">
      <c r="A487" t="s">
        <v>563</v>
      </c>
      <c r="B487">
        <v>1386</v>
      </c>
      <c r="C487" t="s">
        <v>1084</v>
      </c>
      <c r="D487">
        <v>500</v>
      </c>
    </row>
    <row r="488" spans="1:4" x14ac:dyDescent="0.35">
      <c r="A488" t="s">
        <v>564</v>
      </c>
      <c r="B488">
        <v>1386</v>
      </c>
      <c r="C488" t="s">
        <v>1082</v>
      </c>
      <c r="D488">
        <v>500</v>
      </c>
    </row>
    <row r="489" spans="1:4" x14ac:dyDescent="0.35">
      <c r="A489" t="s">
        <v>565</v>
      </c>
      <c r="B489">
        <v>1386</v>
      </c>
      <c r="C489" t="s">
        <v>1083</v>
      </c>
      <c r="D489">
        <v>500</v>
      </c>
    </row>
    <row r="490" spans="1:4" x14ac:dyDescent="0.35">
      <c r="A490" t="s">
        <v>566</v>
      </c>
      <c r="B490">
        <v>1386</v>
      </c>
      <c r="C490" t="s">
        <v>1070</v>
      </c>
      <c r="D490">
        <v>500</v>
      </c>
    </row>
    <row r="491" spans="1:4" x14ac:dyDescent="0.35">
      <c r="A491" t="s">
        <v>567</v>
      </c>
      <c r="B491">
        <v>1393</v>
      </c>
      <c r="C491" t="s">
        <v>1083</v>
      </c>
      <c r="D491">
        <v>500</v>
      </c>
    </row>
    <row r="492" spans="1:4" x14ac:dyDescent="0.35">
      <c r="A492" t="s">
        <v>568</v>
      </c>
      <c r="B492">
        <v>1393</v>
      </c>
      <c r="C492" t="s">
        <v>1070</v>
      </c>
      <c r="D492">
        <v>500</v>
      </c>
    </row>
    <row r="493" spans="1:4" x14ac:dyDescent="0.35">
      <c r="A493" t="s">
        <v>569</v>
      </c>
      <c r="B493">
        <v>1393</v>
      </c>
      <c r="C493" t="s">
        <v>1071</v>
      </c>
      <c r="D493">
        <v>500</v>
      </c>
    </row>
    <row r="494" spans="1:4" x14ac:dyDescent="0.35">
      <c r="A494" t="s">
        <v>570</v>
      </c>
      <c r="B494">
        <v>1393</v>
      </c>
      <c r="C494" t="s">
        <v>1072</v>
      </c>
      <c r="D494">
        <v>500</v>
      </c>
    </row>
    <row r="495" spans="1:4" x14ac:dyDescent="0.35">
      <c r="A495" t="s">
        <v>571</v>
      </c>
      <c r="B495">
        <v>1393</v>
      </c>
      <c r="C495" t="s">
        <v>1073</v>
      </c>
      <c r="D495">
        <v>500</v>
      </c>
    </row>
    <row r="496" spans="1:4" x14ac:dyDescent="0.35">
      <c r="A496" t="s">
        <v>572</v>
      </c>
      <c r="B496">
        <v>1393</v>
      </c>
      <c r="C496" t="s">
        <v>1074</v>
      </c>
      <c r="D496">
        <v>500</v>
      </c>
    </row>
    <row r="497" spans="1:4" x14ac:dyDescent="0.35">
      <c r="A497" t="s">
        <v>573</v>
      </c>
      <c r="B497">
        <v>1393</v>
      </c>
      <c r="C497" t="s">
        <v>1075</v>
      </c>
      <c r="D497">
        <v>500</v>
      </c>
    </row>
    <row r="498" spans="1:4" x14ac:dyDescent="0.35">
      <c r="A498" t="s">
        <v>574</v>
      </c>
      <c r="B498">
        <v>1393</v>
      </c>
      <c r="C498" t="s">
        <v>1076</v>
      </c>
      <c r="D498">
        <v>500</v>
      </c>
    </row>
    <row r="499" spans="1:4" x14ac:dyDescent="0.35">
      <c r="A499" t="s">
        <v>575</v>
      </c>
      <c r="B499">
        <v>1397</v>
      </c>
      <c r="C499" t="s">
        <v>1078</v>
      </c>
      <c r="D499">
        <v>50</v>
      </c>
    </row>
    <row r="500" spans="1:4" x14ac:dyDescent="0.35">
      <c r="A500" t="s">
        <v>576</v>
      </c>
      <c r="B500">
        <v>1397</v>
      </c>
      <c r="C500" t="s">
        <v>1081</v>
      </c>
      <c r="D500">
        <v>50</v>
      </c>
    </row>
    <row r="501" spans="1:4" x14ac:dyDescent="0.35">
      <c r="A501" t="s">
        <v>577</v>
      </c>
      <c r="B501">
        <v>1397</v>
      </c>
      <c r="C501" t="s">
        <v>1084</v>
      </c>
      <c r="D501">
        <v>50</v>
      </c>
    </row>
    <row r="502" spans="1:4" x14ac:dyDescent="0.35">
      <c r="A502" t="s">
        <v>578</v>
      </c>
      <c r="B502">
        <v>1397</v>
      </c>
      <c r="C502" t="s">
        <v>1082</v>
      </c>
      <c r="D502">
        <v>50</v>
      </c>
    </row>
    <row r="503" spans="1:4" x14ac:dyDescent="0.35">
      <c r="A503" t="s">
        <v>579</v>
      </c>
      <c r="B503">
        <v>1397</v>
      </c>
      <c r="C503" t="s">
        <v>1083</v>
      </c>
      <c r="D503">
        <v>50</v>
      </c>
    </row>
    <row r="504" spans="1:4" x14ac:dyDescent="0.35">
      <c r="A504" t="s">
        <v>580</v>
      </c>
      <c r="B504">
        <v>1397</v>
      </c>
      <c r="C504" t="s">
        <v>1070</v>
      </c>
      <c r="D504">
        <v>50</v>
      </c>
    </row>
    <row r="505" spans="1:4" x14ac:dyDescent="0.35">
      <c r="A505" t="s">
        <v>581</v>
      </c>
      <c r="B505">
        <v>1397</v>
      </c>
      <c r="C505" t="s">
        <v>1071</v>
      </c>
      <c r="D505">
        <v>50</v>
      </c>
    </row>
    <row r="506" spans="1:4" x14ac:dyDescent="0.35">
      <c r="A506" t="s">
        <v>582</v>
      </c>
      <c r="B506">
        <v>1397</v>
      </c>
      <c r="C506" t="s">
        <v>1072</v>
      </c>
      <c r="D506">
        <v>50</v>
      </c>
    </row>
    <row r="507" spans="1:4" x14ac:dyDescent="0.35">
      <c r="A507" t="s">
        <v>583</v>
      </c>
      <c r="B507">
        <v>1397</v>
      </c>
      <c r="C507" t="s">
        <v>1073</v>
      </c>
      <c r="D507">
        <v>50</v>
      </c>
    </row>
    <row r="508" spans="1:4" x14ac:dyDescent="0.35">
      <c r="A508" t="s">
        <v>584</v>
      </c>
      <c r="B508">
        <v>1397</v>
      </c>
      <c r="C508" t="s">
        <v>1074</v>
      </c>
      <c r="D508">
        <v>50</v>
      </c>
    </row>
    <row r="509" spans="1:4" x14ac:dyDescent="0.35">
      <c r="A509" t="s">
        <v>585</v>
      </c>
      <c r="B509">
        <v>1397</v>
      </c>
      <c r="C509" t="s">
        <v>1075</v>
      </c>
      <c r="D509">
        <v>50</v>
      </c>
    </row>
    <row r="510" spans="1:4" x14ac:dyDescent="0.35">
      <c r="A510" t="s">
        <v>586</v>
      </c>
      <c r="B510">
        <v>1397</v>
      </c>
      <c r="C510" t="s">
        <v>1076</v>
      </c>
      <c r="D510">
        <v>50</v>
      </c>
    </row>
    <row r="511" spans="1:4" x14ac:dyDescent="0.35">
      <c r="A511" t="s">
        <v>587</v>
      </c>
      <c r="B511">
        <v>1401</v>
      </c>
      <c r="C511" t="s">
        <v>1073</v>
      </c>
      <c r="D511">
        <v>500</v>
      </c>
    </row>
    <row r="512" spans="1:4" x14ac:dyDescent="0.35">
      <c r="A512" t="s">
        <v>588</v>
      </c>
      <c r="B512">
        <v>1401</v>
      </c>
      <c r="C512" t="s">
        <v>1074</v>
      </c>
      <c r="D512">
        <v>500</v>
      </c>
    </row>
    <row r="513" spans="1:4" x14ac:dyDescent="0.35">
      <c r="A513" t="s">
        <v>589</v>
      </c>
      <c r="B513">
        <v>1401</v>
      </c>
      <c r="C513" t="s">
        <v>1075</v>
      </c>
      <c r="D513">
        <v>500</v>
      </c>
    </row>
    <row r="514" spans="1:4" x14ac:dyDescent="0.35">
      <c r="A514" t="s">
        <v>590</v>
      </c>
      <c r="B514">
        <v>1401</v>
      </c>
      <c r="C514" t="s">
        <v>1076</v>
      </c>
      <c r="D514">
        <v>500</v>
      </c>
    </row>
    <row r="515" spans="1:4" x14ac:dyDescent="0.35">
      <c r="A515" t="s">
        <v>591</v>
      </c>
      <c r="B515">
        <v>1401</v>
      </c>
      <c r="C515" t="s">
        <v>1079</v>
      </c>
      <c r="D515">
        <v>500</v>
      </c>
    </row>
    <row r="516" spans="1:4" x14ac:dyDescent="0.35">
      <c r="A516" t="s">
        <v>592</v>
      </c>
      <c r="B516">
        <v>1403</v>
      </c>
      <c r="C516" t="s">
        <v>1075</v>
      </c>
      <c r="D516">
        <v>200</v>
      </c>
    </row>
    <row r="517" spans="1:4" x14ac:dyDescent="0.35">
      <c r="A517" t="s">
        <v>593</v>
      </c>
      <c r="B517">
        <v>1403</v>
      </c>
      <c r="C517" t="s">
        <v>1076</v>
      </c>
      <c r="D517">
        <v>200</v>
      </c>
    </row>
    <row r="518" spans="1:4" x14ac:dyDescent="0.35">
      <c r="A518" t="s">
        <v>594</v>
      </c>
      <c r="B518">
        <v>1404</v>
      </c>
      <c r="C518" t="s">
        <v>1076</v>
      </c>
      <c r="D518">
        <v>50</v>
      </c>
    </row>
    <row r="519" spans="1:4" x14ac:dyDescent="0.35">
      <c r="A519" t="s">
        <v>595</v>
      </c>
      <c r="B519">
        <v>1404</v>
      </c>
      <c r="C519" t="s">
        <v>1079</v>
      </c>
      <c r="D519">
        <v>50</v>
      </c>
    </row>
    <row r="520" spans="1:4" x14ac:dyDescent="0.35">
      <c r="A520" t="s">
        <v>596</v>
      </c>
      <c r="B520">
        <v>1414</v>
      </c>
      <c r="C520" t="s">
        <v>1074</v>
      </c>
      <c r="D520">
        <v>500</v>
      </c>
    </row>
    <row r="521" spans="1:4" x14ac:dyDescent="0.35">
      <c r="A521" t="s">
        <v>597</v>
      </c>
      <c r="B521">
        <v>1414</v>
      </c>
      <c r="C521" t="s">
        <v>1075</v>
      </c>
      <c r="D521">
        <v>500</v>
      </c>
    </row>
    <row r="522" spans="1:4" x14ac:dyDescent="0.35">
      <c r="A522" t="s">
        <v>598</v>
      </c>
      <c r="B522">
        <v>1414</v>
      </c>
      <c r="C522" t="s">
        <v>1076</v>
      </c>
      <c r="D522">
        <v>500</v>
      </c>
    </row>
    <row r="523" spans="1:4" x14ac:dyDescent="0.35">
      <c r="A523" t="s">
        <v>599</v>
      </c>
      <c r="B523">
        <v>1414</v>
      </c>
      <c r="C523" t="s">
        <v>1079</v>
      </c>
      <c r="D523">
        <v>500</v>
      </c>
    </row>
    <row r="524" spans="1:4" x14ac:dyDescent="0.35">
      <c r="A524" t="s">
        <v>600</v>
      </c>
      <c r="B524">
        <v>1419</v>
      </c>
      <c r="C524" t="s">
        <v>1073</v>
      </c>
      <c r="D524">
        <v>200</v>
      </c>
    </row>
    <row r="525" spans="1:4" x14ac:dyDescent="0.35">
      <c r="A525" t="s">
        <v>601</v>
      </c>
      <c r="B525">
        <v>1419</v>
      </c>
      <c r="C525" t="s">
        <v>1074</v>
      </c>
      <c r="D525">
        <v>200</v>
      </c>
    </row>
    <row r="526" spans="1:4" x14ac:dyDescent="0.35">
      <c r="A526" t="s">
        <v>602</v>
      </c>
      <c r="B526">
        <v>1419</v>
      </c>
      <c r="C526" t="s">
        <v>1075</v>
      </c>
      <c r="D526">
        <v>200</v>
      </c>
    </row>
    <row r="527" spans="1:4" x14ac:dyDescent="0.35">
      <c r="A527" t="s">
        <v>603</v>
      </c>
      <c r="B527">
        <v>1424</v>
      </c>
      <c r="C527" t="s">
        <v>1076</v>
      </c>
      <c r="D527">
        <v>500</v>
      </c>
    </row>
    <row r="528" spans="1:4" x14ac:dyDescent="0.35">
      <c r="A528" t="s">
        <v>604</v>
      </c>
      <c r="B528">
        <v>1424</v>
      </c>
      <c r="C528" t="s">
        <v>1079</v>
      </c>
      <c r="D528">
        <v>500</v>
      </c>
    </row>
    <row r="529" spans="1:4" x14ac:dyDescent="0.35">
      <c r="A529" t="s">
        <v>605</v>
      </c>
      <c r="B529">
        <v>1428</v>
      </c>
      <c r="C529" t="s">
        <v>1081</v>
      </c>
      <c r="D529">
        <v>500</v>
      </c>
    </row>
    <row r="530" spans="1:4" x14ac:dyDescent="0.35">
      <c r="A530" t="s">
        <v>606</v>
      </c>
      <c r="B530">
        <v>1428</v>
      </c>
      <c r="C530" t="s">
        <v>1084</v>
      </c>
      <c r="D530">
        <v>500</v>
      </c>
    </row>
    <row r="531" spans="1:4" x14ac:dyDescent="0.35">
      <c r="A531" t="s">
        <v>607</v>
      </c>
      <c r="B531">
        <v>1428</v>
      </c>
      <c r="C531" t="s">
        <v>1082</v>
      </c>
      <c r="D531">
        <v>500</v>
      </c>
    </row>
    <row r="532" spans="1:4" x14ac:dyDescent="0.35">
      <c r="A532" t="s">
        <v>608</v>
      </c>
      <c r="B532">
        <v>1428</v>
      </c>
      <c r="C532" t="s">
        <v>1083</v>
      </c>
      <c r="D532">
        <v>500</v>
      </c>
    </row>
    <row r="533" spans="1:4" x14ac:dyDescent="0.35">
      <c r="A533" t="s">
        <v>609</v>
      </c>
      <c r="B533">
        <v>1428</v>
      </c>
      <c r="C533" t="s">
        <v>1070</v>
      </c>
      <c r="D533">
        <v>500</v>
      </c>
    </row>
    <row r="534" spans="1:4" x14ac:dyDescent="0.35">
      <c r="A534" t="s">
        <v>610</v>
      </c>
      <c r="B534">
        <v>1428</v>
      </c>
      <c r="C534" t="s">
        <v>1071</v>
      </c>
      <c r="D534">
        <v>500</v>
      </c>
    </row>
    <row r="535" spans="1:4" x14ac:dyDescent="0.35">
      <c r="A535" t="s">
        <v>611</v>
      </c>
      <c r="B535">
        <v>1428</v>
      </c>
      <c r="C535" t="s">
        <v>1072</v>
      </c>
      <c r="D535">
        <v>500</v>
      </c>
    </row>
    <row r="536" spans="1:4" x14ac:dyDescent="0.35">
      <c r="A536" t="s">
        <v>612</v>
      </c>
      <c r="B536">
        <v>1428</v>
      </c>
      <c r="C536" t="s">
        <v>1073</v>
      </c>
      <c r="D536">
        <v>500</v>
      </c>
    </row>
    <row r="537" spans="1:4" x14ac:dyDescent="0.35">
      <c r="A537" t="s">
        <v>613</v>
      </c>
      <c r="B537">
        <v>1428</v>
      </c>
      <c r="C537" t="s">
        <v>1074</v>
      </c>
      <c r="D537">
        <v>500</v>
      </c>
    </row>
    <row r="538" spans="1:4" x14ac:dyDescent="0.35">
      <c r="A538" t="s">
        <v>614</v>
      </c>
      <c r="B538">
        <v>1438</v>
      </c>
      <c r="C538" t="s">
        <v>1075</v>
      </c>
      <c r="D538">
        <v>200</v>
      </c>
    </row>
    <row r="539" spans="1:4" x14ac:dyDescent="0.35">
      <c r="A539" t="s">
        <v>615</v>
      </c>
      <c r="B539">
        <v>1438</v>
      </c>
      <c r="C539" t="s">
        <v>1076</v>
      </c>
      <c r="D539">
        <v>200</v>
      </c>
    </row>
    <row r="540" spans="1:4" x14ac:dyDescent="0.35">
      <c r="A540" t="s">
        <v>616</v>
      </c>
      <c r="B540">
        <v>1442</v>
      </c>
      <c r="C540" t="s">
        <v>1073</v>
      </c>
      <c r="D540">
        <v>50</v>
      </c>
    </row>
    <row r="541" spans="1:4" x14ac:dyDescent="0.35">
      <c r="A541" t="s">
        <v>617</v>
      </c>
      <c r="B541">
        <v>1442</v>
      </c>
      <c r="C541" t="s">
        <v>1074</v>
      </c>
      <c r="D541">
        <v>50</v>
      </c>
    </row>
    <row r="542" spans="1:4" x14ac:dyDescent="0.35">
      <c r="A542" t="s">
        <v>618</v>
      </c>
      <c r="B542">
        <v>1442</v>
      </c>
      <c r="C542" t="s">
        <v>1075</v>
      </c>
      <c r="D542">
        <v>50</v>
      </c>
    </row>
    <row r="543" spans="1:4" x14ac:dyDescent="0.35">
      <c r="A543" t="s">
        <v>619</v>
      </c>
      <c r="B543">
        <v>1443</v>
      </c>
      <c r="C543" t="s">
        <v>1074</v>
      </c>
      <c r="D543">
        <v>500</v>
      </c>
    </row>
    <row r="544" spans="1:4" x14ac:dyDescent="0.35">
      <c r="A544" t="s">
        <v>620</v>
      </c>
      <c r="B544">
        <v>1443</v>
      </c>
      <c r="C544" t="s">
        <v>1075</v>
      </c>
      <c r="D544">
        <v>500</v>
      </c>
    </row>
    <row r="545" spans="1:4" x14ac:dyDescent="0.35">
      <c r="A545" t="s">
        <v>621</v>
      </c>
      <c r="B545">
        <v>1443</v>
      </c>
      <c r="C545" t="s">
        <v>1076</v>
      </c>
      <c r="D545">
        <v>500</v>
      </c>
    </row>
    <row r="546" spans="1:4" x14ac:dyDescent="0.35">
      <c r="A546" t="s">
        <v>622</v>
      </c>
      <c r="B546">
        <v>1443</v>
      </c>
      <c r="C546" t="s">
        <v>1079</v>
      </c>
      <c r="D546">
        <v>500</v>
      </c>
    </row>
    <row r="547" spans="1:4" x14ac:dyDescent="0.35">
      <c r="A547" t="s">
        <v>623</v>
      </c>
      <c r="B547">
        <v>1443</v>
      </c>
      <c r="C547" t="s">
        <v>1080</v>
      </c>
      <c r="D547">
        <v>500</v>
      </c>
    </row>
    <row r="548" spans="1:4" x14ac:dyDescent="0.35">
      <c r="A548" t="s">
        <v>624</v>
      </c>
      <c r="B548">
        <v>1448</v>
      </c>
      <c r="C548" t="s">
        <v>1081</v>
      </c>
      <c r="D548">
        <v>200</v>
      </c>
    </row>
    <row r="549" spans="1:4" x14ac:dyDescent="0.35">
      <c r="A549" t="s">
        <v>625</v>
      </c>
      <c r="B549">
        <v>1448</v>
      </c>
      <c r="C549" t="s">
        <v>1084</v>
      </c>
      <c r="D549">
        <v>200</v>
      </c>
    </row>
    <row r="550" spans="1:4" x14ac:dyDescent="0.35">
      <c r="A550" t="s">
        <v>626</v>
      </c>
      <c r="B550">
        <v>1448</v>
      </c>
      <c r="C550" t="s">
        <v>1082</v>
      </c>
      <c r="D550">
        <v>200</v>
      </c>
    </row>
    <row r="551" spans="1:4" x14ac:dyDescent="0.35">
      <c r="A551" t="s">
        <v>627</v>
      </c>
      <c r="B551">
        <v>1450</v>
      </c>
      <c r="C551" t="s">
        <v>1087</v>
      </c>
      <c r="D551">
        <v>50</v>
      </c>
    </row>
    <row r="552" spans="1:4" x14ac:dyDescent="0.35">
      <c r="A552" t="s">
        <v>628</v>
      </c>
      <c r="B552">
        <v>1450</v>
      </c>
      <c r="C552" t="s">
        <v>1077</v>
      </c>
      <c r="D552">
        <v>50</v>
      </c>
    </row>
    <row r="553" spans="1:4" x14ac:dyDescent="0.35">
      <c r="A553" t="s">
        <v>629</v>
      </c>
      <c r="B553">
        <v>1450</v>
      </c>
      <c r="C553" t="s">
        <v>1078</v>
      </c>
      <c r="D553">
        <v>50</v>
      </c>
    </row>
    <row r="554" spans="1:4" x14ac:dyDescent="0.35">
      <c r="A554" t="s">
        <v>630</v>
      </c>
      <c r="B554">
        <v>1450</v>
      </c>
      <c r="C554" t="s">
        <v>1081</v>
      </c>
      <c r="D554">
        <v>50</v>
      </c>
    </row>
    <row r="555" spans="1:4" x14ac:dyDescent="0.35">
      <c r="A555" t="s">
        <v>631</v>
      </c>
      <c r="B555">
        <v>1450</v>
      </c>
      <c r="C555" t="s">
        <v>1084</v>
      </c>
      <c r="D555">
        <v>50</v>
      </c>
    </row>
    <row r="556" spans="1:4" x14ac:dyDescent="0.35">
      <c r="A556" t="s">
        <v>632</v>
      </c>
      <c r="B556">
        <v>1450</v>
      </c>
      <c r="C556" t="s">
        <v>1082</v>
      </c>
      <c r="D556">
        <v>50</v>
      </c>
    </row>
    <row r="557" spans="1:4" x14ac:dyDescent="0.35">
      <c r="A557" t="s">
        <v>633</v>
      </c>
      <c r="B557">
        <v>1450</v>
      </c>
      <c r="C557" t="s">
        <v>1083</v>
      </c>
      <c r="D557">
        <v>50</v>
      </c>
    </row>
    <row r="558" spans="1:4" x14ac:dyDescent="0.35">
      <c r="A558" t="s">
        <v>634</v>
      </c>
      <c r="B558">
        <v>1450</v>
      </c>
      <c r="C558" t="s">
        <v>1070</v>
      </c>
      <c r="D558">
        <v>50</v>
      </c>
    </row>
    <row r="559" spans="1:4" x14ac:dyDescent="0.35">
      <c r="A559" t="s">
        <v>635</v>
      </c>
      <c r="B559">
        <v>1450</v>
      </c>
      <c r="C559" t="s">
        <v>1071</v>
      </c>
      <c r="D559">
        <v>50</v>
      </c>
    </row>
    <row r="560" spans="1:4" x14ac:dyDescent="0.35">
      <c r="A560" t="s">
        <v>636</v>
      </c>
      <c r="B560">
        <v>1450</v>
      </c>
      <c r="C560" t="s">
        <v>1072</v>
      </c>
      <c r="D560">
        <v>50</v>
      </c>
    </row>
    <row r="561" spans="1:4" x14ac:dyDescent="0.35">
      <c r="A561" t="s">
        <v>637</v>
      </c>
      <c r="B561">
        <v>1450</v>
      </c>
      <c r="C561" t="s">
        <v>1073</v>
      </c>
      <c r="D561">
        <v>50</v>
      </c>
    </row>
    <row r="562" spans="1:4" x14ac:dyDescent="0.35">
      <c r="A562" t="s">
        <v>638</v>
      </c>
      <c r="B562">
        <v>1450</v>
      </c>
      <c r="C562" t="s">
        <v>1074</v>
      </c>
      <c r="D562">
        <v>50</v>
      </c>
    </row>
    <row r="563" spans="1:4" x14ac:dyDescent="0.35">
      <c r="A563" t="s">
        <v>639</v>
      </c>
      <c r="B563">
        <v>1450</v>
      </c>
      <c r="C563" t="s">
        <v>1075</v>
      </c>
      <c r="D563">
        <v>50</v>
      </c>
    </row>
    <row r="564" spans="1:4" x14ac:dyDescent="0.35">
      <c r="A564" t="s">
        <v>640</v>
      </c>
      <c r="B564">
        <v>1450</v>
      </c>
      <c r="C564" t="s">
        <v>1076</v>
      </c>
      <c r="D564">
        <v>50</v>
      </c>
    </row>
    <row r="565" spans="1:4" x14ac:dyDescent="0.35">
      <c r="A565" t="s">
        <v>641</v>
      </c>
      <c r="B565">
        <v>1453</v>
      </c>
      <c r="C565" t="s">
        <v>1076</v>
      </c>
      <c r="D565">
        <v>500</v>
      </c>
    </row>
    <row r="566" spans="1:4" x14ac:dyDescent="0.35">
      <c r="A566" t="s">
        <v>642</v>
      </c>
      <c r="B566">
        <v>1453</v>
      </c>
      <c r="C566" t="s">
        <v>1079</v>
      </c>
      <c r="D566">
        <v>500</v>
      </c>
    </row>
    <row r="567" spans="1:4" x14ac:dyDescent="0.35">
      <c r="A567" t="s">
        <v>643</v>
      </c>
      <c r="B567">
        <v>1457</v>
      </c>
      <c r="C567" t="s">
        <v>1073</v>
      </c>
      <c r="D567">
        <v>500</v>
      </c>
    </row>
    <row r="568" spans="1:4" x14ac:dyDescent="0.35">
      <c r="A568" t="s">
        <v>644</v>
      </c>
      <c r="B568">
        <v>1457</v>
      </c>
      <c r="C568" t="s">
        <v>1074</v>
      </c>
      <c r="D568">
        <v>500</v>
      </c>
    </row>
    <row r="569" spans="1:4" x14ac:dyDescent="0.35">
      <c r="A569" t="s">
        <v>645</v>
      </c>
      <c r="B569">
        <v>1457</v>
      </c>
      <c r="C569" t="s">
        <v>1075</v>
      </c>
      <c r="D569">
        <v>500</v>
      </c>
    </row>
    <row r="570" spans="1:4" x14ac:dyDescent="0.35">
      <c r="A570" t="s">
        <v>646</v>
      </c>
      <c r="B570">
        <v>1457</v>
      </c>
      <c r="C570" t="s">
        <v>1076</v>
      </c>
      <c r="D570">
        <v>500</v>
      </c>
    </row>
    <row r="571" spans="1:4" x14ac:dyDescent="0.35">
      <c r="A571" t="s">
        <v>647</v>
      </c>
      <c r="B571">
        <v>1457</v>
      </c>
      <c r="C571" t="s">
        <v>1079</v>
      </c>
      <c r="D571">
        <v>500</v>
      </c>
    </row>
    <row r="572" spans="1:4" x14ac:dyDescent="0.35">
      <c r="A572" t="s">
        <v>648</v>
      </c>
      <c r="B572">
        <v>1465</v>
      </c>
      <c r="C572" t="s">
        <v>1083</v>
      </c>
      <c r="D572">
        <v>50</v>
      </c>
    </row>
    <row r="573" spans="1:4" x14ac:dyDescent="0.35">
      <c r="A573" t="s">
        <v>649</v>
      </c>
      <c r="B573">
        <v>1465</v>
      </c>
      <c r="C573" t="s">
        <v>1070</v>
      </c>
      <c r="D573">
        <v>50</v>
      </c>
    </row>
    <row r="574" spans="1:4" x14ac:dyDescent="0.35">
      <c r="A574" t="s">
        <v>650</v>
      </c>
      <c r="B574">
        <v>1465</v>
      </c>
      <c r="C574" t="s">
        <v>1071</v>
      </c>
      <c r="D574">
        <v>50</v>
      </c>
    </row>
    <row r="575" spans="1:4" x14ac:dyDescent="0.35">
      <c r="A575" t="s">
        <v>651</v>
      </c>
      <c r="B575">
        <v>1471</v>
      </c>
      <c r="C575" t="s">
        <v>1085</v>
      </c>
      <c r="D575">
        <v>200</v>
      </c>
    </row>
    <row r="576" spans="1:4" x14ac:dyDescent="0.35">
      <c r="A576" t="s">
        <v>652</v>
      </c>
      <c r="B576">
        <v>1471</v>
      </c>
      <c r="C576" t="s">
        <v>1086</v>
      </c>
      <c r="D576">
        <v>200</v>
      </c>
    </row>
    <row r="577" spans="1:4" x14ac:dyDescent="0.35">
      <c r="A577" t="s">
        <v>653</v>
      </c>
      <c r="B577">
        <v>1471</v>
      </c>
      <c r="C577" t="s">
        <v>1087</v>
      </c>
      <c r="D577">
        <v>200</v>
      </c>
    </row>
    <row r="578" spans="1:4" x14ac:dyDescent="0.35">
      <c r="A578" t="s">
        <v>654</v>
      </c>
      <c r="B578">
        <v>1471</v>
      </c>
      <c r="C578" t="s">
        <v>1077</v>
      </c>
      <c r="D578">
        <v>200</v>
      </c>
    </row>
    <row r="579" spans="1:4" x14ac:dyDescent="0.35">
      <c r="A579" t="s">
        <v>655</v>
      </c>
      <c r="B579">
        <v>1471</v>
      </c>
      <c r="C579" t="s">
        <v>1078</v>
      </c>
      <c r="D579">
        <v>200</v>
      </c>
    </row>
    <row r="580" spans="1:4" x14ac:dyDescent="0.35">
      <c r="A580" t="s">
        <v>656</v>
      </c>
      <c r="B580">
        <v>1475</v>
      </c>
      <c r="C580" t="s">
        <v>1082</v>
      </c>
      <c r="D580">
        <v>200</v>
      </c>
    </row>
    <row r="581" spans="1:4" x14ac:dyDescent="0.35">
      <c r="A581" t="s">
        <v>657</v>
      </c>
      <c r="B581">
        <v>1475</v>
      </c>
      <c r="C581" t="s">
        <v>1083</v>
      </c>
      <c r="D581">
        <v>200</v>
      </c>
    </row>
    <row r="582" spans="1:4" x14ac:dyDescent="0.35">
      <c r="A582" t="s">
        <v>658</v>
      </c>
      <c r="B582">
        <v>1475</v>
      </c>
      <c r="C582" t="s">
        <v>1070</v>
      </c>
      <c r="D582">
        <v>200</v>
      </c>
    </row>
    <row r="583" spans="1:4" x14ac:dyDescent="0.35">
      <c r="A583" t="s">
        <v>659</v>
      </c>
      <c r="B583">
        <v>1475</v>
      </c>
      <c r="C583" t="s">
        <v>1071</v>
      </c>
      <c r="D583">
        <v>200</v>
      </c>
    </row>
    <row r="584" spans="1:4" x14ac:dyDescent="0.35">
      <c r="A584" t="s">
        <v>660</v>
      </c>
      <c r="B584">
        <v>1475</v>
      </c>
      <c r="C584" t="s">
        <v>1072</v>
      </c>
      <c r="D584">
        <v>200</v>
      </c>
    </row>
    <row r="585" spans="1:4" x14ac:dyDescent="0.35">
      <c r="A585" t="s">
        <v>661</v>
      </c>
      <c r="B585">
        <v>1475</v>
      </c>
      <c r="C585" t="s">
        <v>1073</v>
      </c>
      <c r="D585">
        <v>200</v>
      </c>
    </row>
    <row r="586" spans="1:4" x14ac:dyDescent="0.35">
      <c r="A586" t="s">
        <v>662</v>
      </c>
      <c r="B586">
        <v>1475</v>
      </c>
      <c r="C586" t="s">
        <v>1074</v>
      </c>
      <c r="D586">
        <v>200</v>
      </c>
    </row>
    <row r="587" spans="1:4" x14ac:dyDescent="0.35">
      <c r="A587" t="s">
        <v>663</v>
      </c>
      <c r="B587">
        <v>1475</v>
      </c>
      <c r="C587" t="s">
        <v>1075</v>
      </c>
      <c r="D587">
        <v>200</v>
      </c>
    </row>
    <row r="588" spans="1:4" x14ac:dyDescent="0.35">
      <c r="A588" t="s">
        <v>664</v>
      </c>
      <c r="B588">
        <v>1478</v>
      </c>
      <c r="C588" t="s">
        <v>1087</v>
      </c>
      <c r="D588">
        <v>200</v>
      </c>
    </row>
    <row r="589" spans="1:4" x14ac:dyDescent="0.35">
      <c r="A589" t="s">
        <v>665</v>
      </c>
      <c r="B589">
        <v>1478</v>
      </c>
      <c r="C589" t="s">
        <v>1077</v>
      </c>
      <c r="D589">
        <v>200</v>
      </c>
    </row>
    <row r="590" spans="1:4" x14ac:dyDescent="0.35">
      <c r="A590" t="s">
        <v>666</v>
      </c>
      <c r="B590">
        <v>1478</v>
      </c>
      <c r="C590" t="s">
        <v>1078</v>
      </c>
      <c r="D590">
        <v>200</v>
      </c>
    </row>
    <row r="591" spans="1:4" x14ac:dyDescent="0.35">
      <c r="A591" t="s">
        <v>667</v>
      </c>
      <c r="B591">
        <v>1478</v>
      </c>
      <c r="C591" t="s">
        <v>1081</v>
      </c>
      <c r="D591">
        <v>200</v>
      </c>
    </row>
    <row r="592" spans="1:4" x14ac:dyDescent="0.35">
      <c r="A592" t="s">
        <v>668</v>
      </c>
      <c r="B592">
        <v>1478</v>
      </c>
      <c r="C592" t="s">
        <v>1084</v>
      </c>
      <c r="D592">
        <v>200</v>
      </c>
    </row>
    <row r="593" spans="1:4" x14ac:dyDescent="0.35">
      <c r="A593" t="s">
        <v>669</v>
      </c>
      <c r="B593">
        <v>1478</v>
      </c>
      <c r="C593" t="s">
        <v>1082</v>
      </c>
      <c r="D593">
        <v>200</v>
      </c>
    </row>
    <row r="594" spans="1:4" x14ac:dyDescent="0.35">
      <c r="A594" t="s">
        <v>670</v>
      </c>
      <c r="B594">
        <v>1478</v>
      </c>
      <c r="C594" t="s">
        <v>1083</v>
      </c>
      <c r="D594">
        <v>200</v>
      </c>
    </row>
    <row r="595" spans="1:4" x14ac:dyDescent="0.35">
      <c r="A595" t="s">
        <v>671</v>
      </c>
      <c r="B595">
        <v>1501</v>
      </c>
      <c r="C595" t="s">
        <v>1075</v>
      </c>
      <c r="D595">
        <v>500</v>
      </c>
    </row>
    <row r="596" spans="1:4" x14ac:dyDescent="0.35">
      <c r="A596" t="s">
        <v>672</v>
      </c>
      <c r="B596">
        <v>1501</v>
      </c>
      <c r="C596" t="s">
        <v>1076</v>
      </c>
      <c r="D596">
        <v>500</v>
      </c>
    </row>
    <row r="597" spans="1:4" x14ac:dyDescent="0.35">
      <c r="A597" t="s">
        <v>673</v>
      </c>
      <c r="B597">
        <v>1501</v>
      </c>
      <c r="C597" t="s">
        <v>1079</v>
      </c>
      <c r="D597">
        <v>500</v>
      </c>
    </row>
    <row r="598" spans="1:4" x14ac:dyDescent="0.35">
      <c r="A598" t="s">
        <v>674</v>
      </c>
      <c r="B598">
        <v>1510</v>
      </c>
      <c r="C598" t="s">
        <v>1085</v>
      </c>
      <c r="D598">
        <v>500</v>
      </c>
    </row>
    <row r="599" spans="1:4" x14ac:dyDescent="0.35">
      <c r="A599" t="s">
        <v>675</v>
      </c>
      <c r="B599">
        <v>1510</v>
      </c>
      <c r="C599" t="s">
        <v>1086</v>
      </c>
      <c r="D599">
        <v>500</v>
      </c>
    </row>
    <row r="600" spans="1:4" x14ac:dyDescent="0.35">
      <c r="A600" t="s">
        <v>676</v>
      </c>
      <c r="B600">
        <v>1510</v>
      </c>
      <c r="C600" t="s">
        <v>1087</v>
      </c>
      <c r="D600">
        <v>500</v>
      </c>
    </row>
    <row r="601" spans="1:4" x14ac:dyDescent="0.35">
      <c r="A601" t="s">
        <v>677</v>
      </c>
      <c r="B601">
        <v>1510</v>
      </c>
      <c r="C601" t="s">
        <v>1077</v>
      </c>
      <c r="D601">
        <v>500</v>
      </c>
    </row>
    <row r="602" spans="1:4" x14ac:dyDescent="0.35">
      <c r="A602" t="s">
        <v>678</v>
      </c>
      <c r="B602">
        <v>1510</v>
      </c>
      <c r="C602" t="s">
        <v>1078</v>
      </c>
      <c r="D602">
        <v>500</v>
      </c>
    </row>
    <row r="603" spans="1:4" x14ac:dyDescent="0.35">
      <c r="A603" t="s">
        <v>679</v>
      </c>
      <c r="B603">
        <v>1510</v>
      </c>
      <c r="C603" t="s">
        <v>1081</v>
      </c>
      <c r="D603">
        <v>500</v>
      </c>
    </row>
    <row r="604" spans="1:4" x14ac:dyDescent="0.35">
      <c r="A604" t="s">
        <v>680</v>
      </c>
      <c r="B604">
        <v>1510</v>
      </c>
      <c r="C604" t="s">
        <v>1084</v>
      </c>
      <c r="D604">
        <v>500</v>
      </c>
    </row>
    <row r="605" spans="1:4" x14ac:dyDescent="0.35">
      <c r="A605" t="s">
        <v>681</v>
      </c>
      <c r="B605">
        <v>1510</v>
      </c>
      <c r="C605" t="s">
        <v>1082</v>
      </c>
      <c r="D605">
        <v>500</v>
      </c>
    </row>
    <row r="606" spans="1:4" x14ac:dyDescent="0.35">
      <c r="A606" t="s">
        <v>682</v>
      </c>
      <c r="B606">
        <v>1510</v>
      </c>
      <c r="C606" t="s">
        <v>1083</v>
      </c>
      <c r="D606">
        <v>500</v>
      </c>
    </row>
    <row r="607" spans="1:4" x14ac:dyDescent="0.35">
      <c r="A607" t="s">
        <v>683</v>
      </c>
      <c r="B607">
        <v>1510</v>
      </c>
      <c r="C607" t="s">
        <v>1070</v>
      </c>
      <c r="D607">
        <v>500</v>
      </c>
    </row>
    <row r="608" spans="1:4" x14ac:dyDescent="0.35">
      <c r="A608" t="s">
        <v>684</v>
      </c>
      <c r="B608">
        <v>1510</v>
      </c>
      <c r="C608" t="s">
        <v>1071</v>
      </c>
      <c r="D608">
        <v>500</v>
      </c>
    </row>
    <row r="609" spans="1:4" x14ac:dyDescent="0.35">
      <c r="A609" t="s">
        <v>685</v>
      </c>
      <c r="B609">
        <v>1519</v>
      </c>
      <c r="C609" t="s">
        <v>1086</v>
      </c>
      <c r="D609">
        <v>500</v>
      </c>
    </row>
    <row r="610" spans="1:4" x14ac:dyDescent="0.35">
      <c r="A610" t="s">
        <v>686</v>
      </c>
      <c r="B610">
        <v>1519</v>
      </c>
      <c r="C610" t="s">
        <v>1087</v>
      </c>
      <c r="D610">
        <v>500</v>
      </c>
    </row>
    <row r="611" spans="1:4" x14ac:dyDescent="0.35">
      <c r="A611" t="s">
        <v>687</v>
      </c>
      <c r="B611">
        <v>1519</v>
      </c>
      <c r="C611" t="s">
        <v>1077</v>
      </c>
      <c r="D611">
        <v>500</v>
      </c>
    </row>
    <row r="612" spans="1:4" x14ac:dyDescent="0.35">
      <c r="A612" t="s">
        <v>688</v>
      </c>
      <c r="B612">
        <v>1519</v>
      </c>
      <c r="C612" t="s">
        <v>1078</v>
      </c>
      <c r="D612">
        <v>500</v>
      </c>
    </row>
    <row r="613" spans="1:4" x14ac:dyDescent="0.35">
      <c r="A613" t="s">
        <v>689</v>
      </c>
      <c r="B613">
        <v>1519</v>
      </c>
      <c r="C613" t="s">
        <v>1081</v>
      </c>
      <c r="D613">
        <v>500</v>
      </c>
    </row>
    <row r="614" spans="1:4" x14ac:dyDescent="0.35">
      <c r="A614" t="s">
        <v>690</v>
      </c>
      <c r="B614">
        <v>1519</v>
      </c>
      <c r="C614" t="s">
        <v>1084</v>
      </c>
      <c r="D614">
        <v>500</v>
      </c>
    </row>
    <row r="615" spans="1:4" x14ac:dyDescent="0.35">
      <c r="A615" t="s">
        <v>691</v>
      </c>
      <c r="B615">
        <v>1519</v>
      </c>
      <c r="C615" t="s">
        <v>1082</v>
      </c>
      <c r="D615">
        <v>500</v>
      </c>
    </row>
    <row r="616" spans="1:4" x14ac:dyDescent="0.35">
      <c r="A616" t="s">
        <v>692</v>
      </c>
      <c r="B616">
        <v>1519</v>
      </c>
      <c r="C616" t="s">
        <v>1083</v>
      </c>
      <c r="D616">
        <v>500</v>
      </c>
    </row>
    <row r="617" spans="1:4" x14ac:dyDescent="0.35">
      <c r="A617" t="s">
        <v>693</v>
      </c>
      <c r="B617">
        <v>1519</v>
      </c>
      <c r="C617" t="s">
        <v>1070</v>
      </c>
      <c r="D617">
        <v>500</v>
      </c>
    </row>
    <row r="618" spans="1:4" x14ac:dyDescent="0.35">
      <c r="A618" t="s">
        <v>694</v>
      </c>
      <c r="B618">
        <v>1519</v>
      </c>
      <c r="C618" t="s">
        <v>1071</v>
      </c>
      <c r="D618">
        <v>500</v>
      </c>
    </row>
    <row r="619" spans="1:4" x14ac:dyDescent="0.35">
      <c r="A619" t="s">
        <v>695</v>
      </c>
      <c r="B619">
        <v>1519</v>
      </c>
      <c r="C619" t="s">
        <v>1072</v>
      </c>
      <c r="D619">
        <v>500</v>
      </c>
    </row>
    <row r="620" spans="1:4" x14ac:dyDescent="0.35">
      <c r="A620" t="s">
        <v>696</v>
      </c>
      <c r="B620">
        <v>1519</v>
      </c>
      <c r="C620" t="s">
        <v>1073</v>
      </c>
      <c r="D620">
        <v>500</v>
      </c>
    </row>
    <row r="621" spans="1:4" x14ac:dyDescent="0.35">
      <c r="A621" t="s">
        <v>697</v>
      </c>
      <c r="B621">
        <v>1519</v>
      </c>
      <c r="C621" t="s">
        <v>1074</v>
      </c>
      <c r="D621">
        <v>500</v>
      </c>
    </row>
    <row r="622" spans="1:4" x14ac:dyDescent="0.35">
      <c r="A622" t="s">
        <v>698</v>
      </c>
      <c r="B622">
        <v>1519</v>
      </c>
      <c r="C622" t="s">
        <v>1075</v>
      </c>
      <c r="D622">
        <v>500</v>
      </c>
    </row>
    <row r="623" spans="1:4" x14ac:dyDescent="0.35">
      <c r="A623" t="s">
        <v>699</v>
      </c>
      <c r="B623">
        <v>1519</v>
      </c>
      <c r="C623" t="s">
        <v>1076</v>
      </c>
      <c r="D623">
        <v>500</v>
      </c>
    </row>
    <row r="624" spans="1:4" x14ac:dyDescent="0.35">
      <c r="A624" t="s">
        <v>700</v>
      </c>
      <c r="B624">
        <v>1519</v>
      </c>
      <c r="C624" t="s">
        <v>1079</v>
      </c>
      <c r="D624">
        <v>500</v>
      </c>
    </row>
    <row r="625" spans="1:4" x14ac:dyDescent="0.35">
      <c r="A625" t="s">
        <v>701</v>
      </c>
      <c r="B625">
        <v>1525</v>
      </c>
      <c r="C625" t="s">
        <v>1074</v>
      </c>
      <c r="D625">
        <v>500</v>
      </c>
    </row>
    <row r="626" spans="1:4" x14ac:dyDescent="0.35">
      <c r="A626" t="s">
        <v>702</v>
      </c>
      <c r="B626">
        <v>1525</v>
      </c>
      <c r="C626" t="s">
        <v>1075</v>
      </c>
      <c r="D626">
        <v>500</v>
      </c>
    </row>
    <row r="627" spans="1:4" x14ac:dyDescent="0.35">
      <c r="A627" t="s">
        <v>703</v>
      </c>
      <c r="B627">
        <v>1525</v>
      </c>
      <c r="C627" t="s">
        <v>1076</v>
      </c>
      <c r="D627">
        <v>500</v>
      </c>
    </row>
    <row r="628" spans="1:4" x14ac:dyDescent="0.35">
      <c r="A628" t="s">
        <v>704</v>
      </c>
      <c r="B628">
        <v>1544</v>
      </c>
      <c r="C628" t="s">
        <v>1071</v>
      </c>
      <c r="D628">
        <v>200</v>
      </c>
    </row>
    <row r="629" spans="1:4" x14ac:dyDescent="0.35">
      <c r="A629" t="s">
        <v>705</v>
      </c>
      <c r="B629">
        <v>1544</v>
      </c>
      <c r="C629" t="s">
        <v>1072</v>
      </c>
      <c r="D629">
        <v>200</v>
      </c>
    </row>
    <row r="630" spans="1:4" x14ac:dyDescent="0.35">
      <c r="A630" t="s">
        <v>706</v>
      </c>
      <c r="B630">
        <v>1544</v>
      </c>
      <c r="C630" t="s">
        <v>1073</v>
      </c>
      <c r="D630">
        <v>200</v>
      </c>
    </row>
    <row r="631" spans="1:4" x14ac:dyDescent="0.35">
      <c r="A631" t="s">
        <v>707</v>
      </c>
      <c r="B631">
        <v>1544</v>
      </c>
      <c r="C631" t="s">
        <v>1074</v>
      </c>
      <c r="D631">
        <v>200</v>
      </c>
    </row>
    <row r="632" spans="1:4" x14ac:dyDescent="0.35">
      <c r="A632" t="s">
        <v>708</v>
      </c>
      <c r="B632">
        <v>1544</v>
      </c>
      <c r="C632" t="s">
        <v>1075</v>
      </c>
      <c r="D632">
        <v>200</v>
      </c>
    </row>
    <row r="633" spans="1:4" x14ac:dyDescent="0.35">
      <c r="A633" t="s">
        <v>709</v>
      </c>
      <c r="B633">
        <v>1544</v>
      </c>
      <c r="C633" t="s">
        <v>1076</v>
      </c>
      <c r="D633">
        <v>200</v>
      </c>
    </row>
    <row r="634" spans="1:4" x14ac:dyDescent="0.35">
      <c r="A634" t="s">
        <v>710</v>
      </c>
      <c r="B634">
        <v>1552</v>
      </c>
      <c r="C634" t="s">
        <v>1084</v>
      </c>
      <c r="D634">
        <v>500</v>
      </c>
    </row>
    <row r="635" spans="1:4" x14ac:dyDescent="0.35">
      <c r="A635" t="s">
        <v>711</v>
      </c>
      <c r="B635">
        <v>1552</v>
      </c>
      <c r="C635" t="s">
        <v>1082</v>
      </c>
      <c r="D635">
        <v>500</v>
      </c>
    </row>
    <row r="636" spans="1:4" x14ac:dyDescent="0.35">
      <c r="A636" t="s">
        <v>712</v>
      </c>
      <c r="B636">
        <v>1552</v>
      </c>
      <c r="C636" t="s">
        <v>1083</v>
      </c>
      <c r="D636">
        <v>500</v>
      </c>
    </row>
    <row r="637" spans="1:4" x14ac:dyDescent="0.35">
      <c r="A637" t="s">
        <v>713</v>
      </c>
      <c r="B637">
        <v>1552</v>
      </c>
      <c r="C637" t="s">
        <v>1070</v>
      </c>
      <c r="D637">
        <v>500</v>
      </c>
    </row>
    <row r="638" spans="1:4" x14ac:dyDescent="0.35">
      <c r="A638" t="s">
        <v>714</v>
      </c>
      <c r="B638">
        <v>1552</v>
      </c>
      <c r="C638" t="s">
        <v>1071</v>
      </c>
      <c r="D638">
        <v>500</v>
      </c>
    </row>
    <row r="639" spans="1:4" x14ac:dyDescent="0.35">
      <c r="A639" t="s">
        <v>715</v>
      </c>
      <c r="B639">
        <v>1552</v>
      </c>
      <c r="C639" t="s">
        <v>1072</v>
      </c>
      <c r="D639">
        <v>500</v>
      </c>
    </row>
    <row r="640" spans="1:4" x14ac:dyDescent="0.35">
      <c r="A640" t="s">
        <v>716</v>
      </c>
      <c r="B640">
        <v>1552</v>
      </c>
      <c r="C640" t="s">
        <v>1073</v>
      </c>
      <c r="D640">
        <v>500</v>
      </c>
    </row>
    <row r="641" spans="1:4" x14ac:dyDescent="0.35">
      <c r="A641" t="s">
        <v>717</v>
      </c>
      <c r="B641">
        <v>1552</v>
      </c>
      <c r="C641" t="s">
        <v>1074</v>
      </c>
      <c r="D641">
        <v>500</v>
      </c>
    </row>
    <row r="642" spans="1:4" x14ac:dyDescent="0.35">
      <c r="A642" t="s">
        <v>718</v>
      </c>
      <c r="B642">
        <v>1552</v>
      </c>
      <c r="C642" t="s">
        <v>1075</v>
      </c>
      <c r="D642">
        <v>500</v>
      </c>
    </row>
    <row r="643" spans="1:4" x14ac:dyDescent="0.35">
      <c r="A643" t="s">
        <v>719</v>
      </c>
      <c r="B643">
        <v>1557</v>
      </c>
      <c r="C643" t="s">
        <v>1075</v>
      </c>
      <c r="D643">
        <v>500</v>
      </c>
    </row>
    <row r="644" spans="1:4" x14ac:dyDescent="0.35">
      <c r="A644" t="s">
        <v>720</v>
      </c>
      <c r="B644">
        <v>1557</v>
      </c>
      <c r="C644" t="s">
        <v>1076</v>
      </c>
      <c r="D644">
        <v>500</v>
      </c>
    </row>
    <row r="645" spans="1:4" x14ac:dyDescent="0.35">
      <c r="A645" t="s">
        <v>721</v>
      </c>
      <c r="B645">
        <v>1558</v>
      </c>
      <c r="C645" t="s">
        <v>1086</v>
      </c>
      <c r="D645">
        <v>500</v>
      </c>
    </row>
    <row r="646" spans="1:4" x14ac:dyDescent="0.35">
      <c r="A646" t="s">
        <v>722</v>
      </c>
      <c r="B646">
        <v>1558</v>
      </c>
      <c r="C646" t="s">
        <v>1087</v>
      </c>
      <c r="D646">
        <v>500</v>
      </c>
    </row>
    <row r="647" spans="1:4" x14ac:dyDescent="0.35">
      <c r="A647" t="s">
        <v>723</v>
      </c>
      <c r="B647">
        <v>1565</v>
      </c>
      <c r="C647" t="s">
        <v>1087</v>
      </c>
      <c r="D647">
        <v>200</v>
      </c>
    </row>
    <row r="648" spans="1:4" x14ac:dyDescent="0.35">
      <c r="A648" t="s">
        <v>724</v>
      </c>
      <c r="B648">
        <v>1565</v>
      </c>
      <c r="C648" t="s">
        <v>1077</v>
      </c>
      <c r="D648">
        <v>200</v>
      </c>
    </row>
    <row r="649" spans="1:4" x14ac:dyDescent="0.35">
      <c r="A649" t="s">
        <v>725</v>
      </c>
      <c r="B649">
        <v>1565</v>
      </c>
      <c r="C649" t="s">
        <v>1078</v>
      </c>
      <c r="D649">
        <v>200</v>
      </c>
    </row>
    <row r="650" spans="1:4" x14ac:dyDescent="0.35">
      <c r="A650" t="s">
        <v>726</v>
      </c>
      <c r="B650">
        <v>1570</v>
      </c>
      <c r="C650" t="s">
        <v>1086</v>
      </c>
      <c r="D650">
        <v>500</v>
      </c>
    </row>
    <row r="651" spans="1:4" x14ac:dyDescent="0.35">
      <c r="A651" t="s">
        <v>727</v>
      </c>
      <c r="B651">
        <v>1570</v>
      </c>
      <c r="C651" t="s">
        <v>1087</v>
      </c>
      <c r="D651">
        <v>500</v>
      </c>
    </row>
    <row r="652" spans="1:4" x14ac:dyDescent="0.35">
      <c r="A652" t="s">
        <v>728</v>
      </c>
      <c r="B652">
        <v>1570</v>
      </c>
      <c r="C652" t="s">
        <v>1077</v>
      </c>
      <c r="D652">
        <v>500</v>
      </c>
    </row>
    <row r="653" spans="1:4" x14ac:dyDescent="0.35">
      <c r="A653" t="s">
        <v>729</v>
      </c>
      <c r="B653">
        <v>1570</v>
      </c>
      <c r="C653" t="s">
        <v>1078</v>
      </c>
      <c r="D653">
        <v>500</v>
      </c>
    </row>
    <row r="654" spans="1:4" x14ac:dyDescent="0.35">
      <c r="A654" t="s">
        <v>730</v>
      </c>
      <c r="B654">
        <v>1570</v>
      </c>
      <c r="C654" t="s">
        <v>1081</v>
      </c>
      <c r="D654">
        <v>500</v>
      </c>
    </row>
    <row r="655" spans="1:4" x14ac:dyDescent="0.35">
      <c r="A655" t="s">
        <v>731</v>
      </c>
      <c r="B655">
        <v>1570</v>
      </c>
      <c r="C655" t="s">
        <v>1084</v>
      </c>
      <c r="D655">
        <v>500</v>
      </c>
    </row>
    <row r="656" spans="1:4" x14ac:dyDescent="0.35">
      <c r="A656" t="s">
        <v>732</v>
      </c>
      <c r="B656">
        <v>1570</v>
      </c>
      <c r="C656" t="s">
        <v>1082</v>
      </c>
      <c r="D656">
        <v>500</v>
      </c>
    </row>
    <row r="657" spans="1:4" x14ac:dyDescent="0.35">
      <c r="A657" t="s">
        <v>733</v>
      </c>
      <c r="B657">
        <v>1570</v>
      </c>
      <c r="C657" t="s">
        <v>1083</v>
      </c>
      <c r="D657">
        <v>500</v>
      </c>
    </row>
    <row r="658" spans="1:4" x14ac:dyDescent="0.35">
      <c r="A658" t="s">
        <v>734</v>
      </c>
      <c r="B658">
        <v>1570</v>
      </c>
      <c r="C658" t="s">
        <v>1070</v>
      </c>
      <c r="D658">
        <v>500</v>
      </c>
    </row>
    <row r="659" spans="1:4" x14ac:dyDescent="0.35">
      <c r="A659" t="s">
        <v>735</v>
      </c>
      <c r="B659">
        <v>1570</v>
      </c>
      <c r="C659" t="s">
        <v>1071</v>
      </c>
      <c r="D659">
        <v>500</v>
      </c>
    </row>
    <row r="660" spans="1:4" x14ac:dyDescent="0.35">
      <c r="A660" t="s">
        <v>736</v>
      </c>
      <c r="B660">
        <v>1570</v>
      </c>
      <c r="C660" t="s">
        <v>1072</v>
      </c>
      <c r="D660">
        <v>500</v>
      </c>
    </row>
    <row r="661" spans="1:4" x14ac:dyDescent="0.35">
      <c r="A661" t="s">
        <v>737</v>
      </c>
      <c r="B661">
        <v>1570</v>
      </c>
      <c r="C661" t="s">
        <v>1073</v>
      </c>
      <c r="D661">
        <v>500</v>
      </c>
    </row>
    <row r="662" spans="1:4" x14ac:dyDescent="0.35">
      <c r="A662" t="s">
        <v>738</v>
      </c>
      <c r="B662">
        <v>1570</v>
      </c>
      <c r="C662" t="s">
        <v>1074</v>
      </c>
      <c r="D662">
        <v>500</v>
      </c>
    </row>
    <row r="663" spans="1:4" x14ac:dyDescent="0.35">
      <c r="A663" t="s">
        <v>739</v>
      </c>
      <c r="B663">
        <v>1570</v>
      </c>
      <c r="C663" t="s">
        <v>1075</v>
      </c>
      <c r="D663">
        <v>500</v>
      </c>
    </row>
    <row r="664" spans="1:4" x14ac:dyDescent="0.35">
      <c r="A664" t="s">
        <v>740</v>
      </c>
      <c r="B664">
        <v>1576</v>
      </c>
      <c r="C664" t="s">
        <v>1081</v>
      </c>
      <c r="D664">
        <v>200</v>
      </c>
    </row>
    <row r="665" spans="1:4" x14ac:dyDescent="0.35">
      <c r="A665" t="s">
        <v>741</v>
      </c>
      <c r="B665">
        <v>1576</v>
      </c>
      <c r="C665" t="s">
        <v>1084</v>
      </c>
      <c r="D665">
        <v>200</v>
      </c>
    </row>
    <row r="666" spans="1:4" x14ac:dyDescent="0.35">
      <c r="A666" t="s">
        <v>742</v>
      </c>
      <c r="B666">
        <v>1576</v>
      </c>
      <c r="C666" t="s">
        <v>1082</v>
      </c>
      <c r="D666">
        <v>200</v>
      </c>
    </row>
    <row r="667" spans="1:4" x14ac:dyDescent="0.35">
      <c r="A667" t="s">
        <v>743</v>
      </c>
      <c r="B667">
        <v>1576</v>
      </c>
      <c r="C667" t="s">
        <v>1083</v>
      </c>
      <c r="D667">
        <v>200</v>
      </c>
    </row>
    <row r="668" spans="1:4" x14ac:dyDescent="0.35">
      <c r="A668" t="s">
        <v>744</v>
      </c>
      <c r="B668">
        <v>1576</v>
      </c>
      <c r="C668" t="s">
        <v>1070</v>
      </c>
      <c r="D668">
        <v>200</v>
      </c>
    </row>
    <row r="669" spans="1:4" x14ac:dyDescent="0.35">
      <c r="A669" t="s">
        <v>745</v>
      </c>
      <c r="B669">
        <v>1576</v>
      </c>
      <c r="C669" t="s">
        <v>1071</v>
      </c>
      <c r="D669">
        <v>200</v>
      </c>
    </row>
    <row r="670" spans="1:4" x14ac:dyDescent="0.35">
      <c r="A670" t="s">
        <v>746</v>
      </c>
      <c r="B670">
        <v>1576</v>
      </c>
      <c r="C670" t="s">
        <v>1072</v>
      </c>
      <c r="D670">
        <v>200</v>
      </c>
    </row>
    <row r="671" spans="1:4" x14ac:dyDescent="0.35">
      <c r="A671" t="s">
        <v>747</v>
      </c>
      <c r="B671">
        <v>1576</v>
      </c>
      <c r="C671" t="s">
        <v>1073</v>
      </c>
      <c r="D671">
        <v>200</v>
      </c>
    </row>
    <row r="672" spans="1:4" x14ac:dyDescent="0.35">
      <c r="A672" t="s">
        <v>748</v>
      </c>
      <c r="B672">
        <v>1576</v>
      </c>
      <c r="C672" t="s">
        <v>1074</v>
      </c>
      <c r="D672">
        <v>200</v>
      </c>
    </row>
    <row r="673" spans="1:4" x14ac:dyDescent="0.35">
      <c r="A673" t="s">
        <v>749</v>
      </c>
      <c r="B673">
        <v>1576</v>
      </c>
      <c r="C673" t="s">
        <v>1075</v>
      </c>
      <c r="D673">
        <v>200</v>
      </c>
    </row>
    <row r="674" spans="1:4" x14ac:dyDescent="0.35">
      <c r="A674" t="s">
        <v>750</v>
      </c>
      <c r="B674">
        <v>1579</v>
      </c>
      <c r="C674" t="s">
        <v>1074</v>
      </c>
      <c r="D674">
        <v>50</v>
      </c>
    </row>
    <row r="675" spans="1:4" x14ac:dyDescent="0.35">
      <c r="A675" t="s">
        <v>751</v>
      </c>
      <c r="B675">
        <v>1579</v>
      </c>
      <c r="C675" t="s">
        <v>1075</v>
      </c>
      <c r="D675">
        <v>50</v>
      </c>
    </row>
    <row r="676" spans="1:4" x14ac:dyDescent="0.35">
      <c r="A676" t="s">
        <v>752</v>
      </c>
      <c r="B676">
        <v>1579</v>
      </c>
      <c r="C676" t="s">
        <v>1076</v>
      </c>
      <c r="D676">
        <v>50</v>
      </c>
    </row>
    <row r="677" spans="1:4" x14ac:dyDescent="0.35">
      <c r="A677" t="s">
        <v>753</v>
      </c>
      <c r="B677">
        <v>1586</v>
      </c>
      <c r="C677" t="s">
        <v>1074</v>
      </c>
      <c r="D677">
        <v>200</v>
      </c>
    </row>
    <row r="678" spans="1:4" x14ac:dyDescent="0.35">
      <c r="A678" t="s">
        <v>754</v>
      </c>
      <c r="B678">
        <v>1586</v>
      </c>
      <c r="C678" t="s">
        <v>1075</v>
      </c>
      <c r="D678">
        <v>200</v>
      </c>
    </row>
    <row r="679" spans="1:4" x14ac:dyDescent="0.35">
      <c r="A679" t="s">
        <v>755</v>
      </c>
      <c r="B679">
        <v>1586</v>
      </c>
      <c r="C679" t="s">
        <v>1076</v>
      </c>
      <c r="D679">
        <v>200</v>
      </c>
    </row>
    <row r="680" spans="1:4" x14ac:dyDescent="0.35">
      <c r="A680" t="s">
        <v>756</v>
      </c>
      <c r="B680">
        <v>1586</v>
      </c>
      <c r="C680" t="s">
        <v>1079</v>
      </c>
      <c r="D680">
        <v>200</v>
      </c>
    </row>
    <row r="681" spans="1:4" x14ac:dyDescent="0.35">
      <c r="A681" t="s">
        <v>757</v>
      </c>
      <c r="B681">
        <v>1586</v>
      </c>
      <c r="C681" t="s">
        <v>1080</v>
      </c>
      <c r="D681">
        <v>200</v>
      </c>
    </row>
    <row r="682" spans="1:4" x14ac:dyDescent="0.35">
      <c r="A682" t="s">
        <v>758</v>
      </c>
      <c r="B682">
        <v>1593</v>
      </c>
      <c r="C682" t="s">
        <v>1079</v>
      </c>
      <c r="D682">
        <v>50</v>
      </c>
    </row>
    <row r="683" spans="1:4" x14ac:dyDescent="0.35">
      <c r="A683" t="s">
        <v>759</v>
      </c>
      <c r="B683">
        <v>1595</v>
      </c>
      <c r="C683" t="s">
        <v>1078</v>
      </c>
      <c r="D683">
        <v>200</v>
      </c>
    </row>
    <row r="684" spans="1:4" x14ac:dyDescent="0.35">
      <c r="A684" t="s">
        <v>760</v>
      </c>
      <c r="B684">
        <v>1595</v>
      </c>
      <c r="C684" t="s">
        <v>1081</v>
      </c>
      <c r="D684">
        <v>200</v>
      </c>
    </row>
    <row r="685" spans="1:4" x14ac:dyDescent="0.35">
      <c r="A685" t="s">
        <v>761</v>
      </c>
      <c r="B685">
        <v>1595</v>
      </c>
      <c r="C685" t="s">
        <v>1084</v>
      </c>
      <c r="D685">
        <v>200</v>
      </c>
    </row>
    <row r="686" spans="1:4" x14ac:dyDescent="0.35">
      <c r="A686" t="s">
        <v>762</v>
      </c>
      <c r="B686">
        <v>1595</v>
      </c>
      <c r="C686" t="s">
        <v>1082</v>
      </c>
      <c r="D686">
        <v>200</v>
      </c>
    </row>
    <row r="687" spans="1:4" x14ac:dyDescent="0.35">
      <c r="A687" t="s">
        <v>763</v>
      </c>
      <c r="B687">
        <v>1599</v>
      </c>
      <c r="C687" t="s">
        <v>1081</v>
      </c>
      <c r="D687">
        <v>200</v>
      </c>
    </row>
    <row r="688" spans="1:4" x14ac:dyDescent="0.35">
      <c r="A688" t="s">
        <v>764</v>
      </c>
      <c r="B688">
        <v>1599</v>
      </c>
      <c r="C688" t="s">
        <v>1084</v>
      </c>
      <c r="D688">
        <v>200</v>
      </c>
    </row>
    <row r="689" spans="1:4" x14ac:dyDescent="0.35">
      <c r="A689" t="s">
        <v>765</v>
      </c>
      <c r="B689">
        <v>1599</v>
      </c>
      <c r="C689" t="s">
        <v>1082</v>
      </c>
      <c r="D689">
        <v>200</v>
      </c>
    </row>
    <row r="690" spans="1:4" x14ac:dyDescent="0.35">
      <c r="A690" t="s">
        <v>766</v>
      </c>
      <c r="B690">
        <v>1599</v>
      </c>
      <c r="C690" t="s">
        <v>1083</v>
      </c>
      <c r="D690">
        <v>200</v>
      </c>
    </row>
    <row r="691" spans="1:4" x14ac:dyDescent="0.35">
      <c r="A691" t="s">
        <v>767</v>
      </c>
      <c r="B691">
        <v>1599</v>
      </c>
      <c r="C691" t="s">
        <v>1070</v>
      </c>
      <c r="D691">
        <v>200</v>
      </c>
    </row>
    <row r="692" spans="1:4" x14ac:dyDescent="0.35">
      <c r="A692" t="s">
        <v>768</v>
      </c>
      <c r="B692">
        <v>1599</v>
      </c>
      <c r="C692" t="s">
        <v>1071</v>
      </c>
      <c r="D692">
        <v>200</v>
      </c>
    </row>
    <row r="693" spans="1:4" x14ac:dyDescent="0.35">
      <c r="A693" t="s">
        <v>769</v>
      </c>
      <c r="B693">
        <v>1599</v>
      </c>
      <c r="C693" t="s">
        <v>1072</v>
      </c>
      <c r="D693">
        <v>200</v>
      </c>
    </row>
    <row r="694" spans="1:4" x14ac:dyDescent="0.35">
      <c r="A694" t="s">
        <v>770</v>
      </c>
      <c r="B694">
        <v>1599</v>
      </c>
      <c r="C694" t="s">
        <v>1073</v>
      </c>
      <c r="D694">
        <v>200</v>
      </c>
    </row>
    <row r="695" spans="1:4" x14ac:dyDescent="0.35">
      <c r="A695" t="s">
        <v>771</v>
      </c>
      <c r="B695">
        <v>1599</v>
      </c>
      <c r="C695" t="s">
        <v>1074</v>
      </c>
      <c r="D695">
        <v>200</v>
      </c>
    </row>
    <row r="696" spans="1:4" x14ac:dyDescent="0.35">
      <c r="A696" t="s">
        <v>772</v>
      </c>
      <c r="B696">
        <v>1602</v>
      </c>
      <c r="C696" t="s">
        <v>1080</v>
      </c>
      <c r="D696">
        <v>50</v>
      </c>
    </row>
    <row r="697" spans="1:4" x14ac:dyDescent="0.35">
      <c r="A697" t="s">
        <v>773</v>
      </c>
      <c r="B697">
        <v>1607</v>
      </c>
      <c r="C697" t="s">
        <v>1075</v>
      </c>
      <c r="D697">
        <v>200</v>
      </c>
    </row>
    <row r="698" spans="1:4" x14ac:dyDescent="0.35">
      <c r="A698" t="s">
        <v>774</v>
      </c>
      <c r="B698">
        <v>1607</v>
      </c>
      <c r="C698" t="s">
        <v>1076</v>
      </c>
      <c r="D698">
        <v>200</v>
      </c>
    </row>
    <row r="699" spans="1:4" x14ac:dyDescent="0.35">
      <c r="A699" t="s">
        <v>775</v>
      </c>
      <c r="B699">
        <v>1607</v>
      </c>
      <c r="C699" t="s">
        <v>1079</v>
      </c>
      <c r="D699">
        <v>200</v>
      </c>
    </row>
    <row r="700" spans="1:4" x14ac:dyDescent="0.35">
      <c r="A700" t="s">
        <v>776</v>
      </c>
      <c r="B700">
        <v>1616</v>
      </c>
      <c r="C700" t="s">
        <v>1077</v>
      </c>
      <c r="D700">
        <v>500</v>
      </c>
    </row>
    <row r="701" spans="1:4" x14ac:dyDescent="0.35">
      <c r="A701" t="s">
        <v>777</v>
      </c>
      <c r="B701">
        <v>1616</v>
      </c>
      <c r="C701" t="s">
        <v>1078</v>
      </c>
      <c r="D701">
        <v>500</v>
      </c>
    </row>
    <row r="702" spans="1:4" x14ac:dyDescent="0.35">
      <c r="A702" t="s">
        <v>778</v>
      </c>
      <c r="B702">
        <v>1616</v>
      </c>
      <c r="C702" t="s">
        <v>1081</v>
      </c>
      <c r="D702">
        <v>500</v>
      </c>
    </row>
    <row r="703" spans="1:4" x14ac:dyDescent="0.35">
      <c r="A703" t="s">
        <v>779</v>
      </c>
      <c r="B703">
        <v>1616</v>
      </c>
      <c r="C703" t="s">
        <v>1084</v>
      </c>
      <c r="D703">
        <v>500</v>
      </c>
    </row>
    <row r="704" spans="1:4" x14ac:dyDescent="0.35">
      <c r="A704" t="s">
        <v>780</v>
      </c>
      <c r="B704">
        <v>1616</v>
      </c>
      <c r="C704" t="s">
        <v>1082</v>
      </c>
      <c r="D704">
        <v>500</v>
      </c>
    </row>
    <row r="705" spans="1:4" x14ac:dyDescent="0.35">
      <c r="A705" t="s">
        <v>781</v>
      </c>
      <c r="B705">
        <v>1616</v>
      </c>
      <c r="C705" t="s">
        <v>1083</v>
      </c>
      <c r="D705">
        <v>500</v>
      </c>
    </row>
    <row r="706" spans="1:4" x14ac:dyDescent="0.35">
      <c r="A706" t="s">
        <v>782</v>
      </c>
      <c r="B706">
        <v>1616</v>
      </c>
      <c r="C706" t="s">
        <v>1070</v>
      </c>
      <c r="D706">
        <v>500</v>
      </c>
    </row>
    <row r="707" spans="1:4" x14ac:dyDescent="0.35">
      <c r="A707" t="s">
        <v>783</v>
      </c>
      <c r="B707">
        <v>1616</v>
      </c>
      <c r="C707" t="s">
        <v>1071</v>
      </c>
      <c r="D707">
        <v>500</v>
      </c>
    </row>
    <row r="708" spans="1:4" x14ac:dyDescent="0.35">
      <c r="A708" t="s">
        <v>784</v>
      </c>
      <c r="B708">
        <v>1616</v>
      </c>
      <c r="C708" t="s">
        <v>1072</v>
      </c>
      <c r="D708">
        <v>500</v>
      </c>
    </row>
    <row r="709" spans="1:4" x14ac:dyDescent="0.35">
      <c r="A709" t="s">
        <v>785</v>
      </c>
      <c r="B709">
        <v>1616</v>
      </c>
      <c r="C709" t="s">
        <v>1073</v>
      </c>
      <c r="D709">
        <v>500</v>
      </c>
    </row>
    <row r="710" spans="1:4" x14ac:dyDescent="0.35">
      <c r="A710" t="s">
        <v>786</v>
      </c>
      <c r="B710">
        <v>1616</v>
      </c>
      <c r="C710" t="s">
        <v>1074</v>
      </c>
      <c r="D710">
        <v>500</v>
      </c>
    </row>
    <row r="711" spans="1:4" x14ac:dyDescent="0.35">
      <c r="A711" t="s">
        <v>787</v>
      </c>
      <c r="B711">
        <v>1616</v>
      </c>
      <c r="C711" t="s">
        <v>1075</v>
      </c>
      <c r="D711">
        <v>500</v>
      </c>
    </row>
    <row r="712" spans="1:4" x14ac:dyDescent="0.35">
      <c r="A712" t="s">
        <v>788</v>
      </c>
      <c r="B712">
        <v>1617</v>
      </c>
      <c r="C712" t="s">
        <v>1085</v>
      </c>
      <c r="D712">
        <v>50</v>
      </c>
    </row>
    <row r="713" spans="1:4" x14ac:dyDescent="0.35">
      <c r="A713" t="s">
        <v>789</v>
      </c>
      <c r="B713">
        <v>1617</v>
      </c>
      <c r="C713" t="s">
        <v>1086</v>
      </c>
      <c r="D713">
        <v>50</v>
      </c>
    </row>
    <row r="714" spans="1:4" x14ac:dyDescent="0.35">
      <c r="A714" t="s">
        <v>790</v>
      </c>
      <c r="B714">
        <v>1617</v>
      </c>
      <c r="C714" t="s">
        <v>1087</v>
      </c>
      <c r="D714">
        <v>50</v>
      </c>
    </row>
    <row r="715" spans="1:4" x14ac:dyDescent="0.35">
      <c r="A715" t="s">
        <v>791</v>
      </c>
      <c r="B715">
        <v>1617</v>
      </c>
      <c r="C715" t="s">
        <v>1077</v>
      </c>
      <c r="D715">
        <v>50</v>
      </c>
    </row>
    <row r="716" spans="1:4" x14ac:dyDescent="0.35">
      <c r="A716" t="s">
        <v>792</v>
      </c>
      <c r="B716">
        <v>1617</v>
      </c>
      <c r="C716" t="s">
        <v>1078</v>
      </c>
      <c r="D716">
        <v>50</v>
      </c>
    </row>
    <row r="717" spans="1:4" x14ac:dyDescent="0.35">
      <c r="A717" t="s">
        <v>793</v>
      </c>
      <c r="B717">
        <v>1617</v>
      </c>
      <c r="C717" t="s">
        <v>1081</v>
      </c>
      <c r="D717">
        <v>50</v>
      </c>
    </row>
    <row r="718" spans="1:4" x14ac:dyDescent="0.35">
      <c r="A718" t="s">
        <v>794</v>
      </c>
      <c r="B718">
        <v>1617</v>
      </c>
      <c r="C718" t="s">
        <v>1084</v>
      </c>
      <c r="D718">
        <v>50</v>
      </c>
    </row>
    <row r="719" spans="1:4" x14ac:dyDescent="0.35">
      <c r="A719" t="s">
        <v>795</v>
      </c>
      <c r="B719">
        <v>1617</v>
      </c>
      <c r="C719" t="s">
        <v>1082</v>
      </c>
      <c r="D719">
        <v>50</v>
      </c>
    </row>
    <row r="720" spans="1:4" x14ac:dyDescent="0.35">
      <c r="A720" t="s">
        <v>796</v>
      </c>
      <c r="B720">
        <v>1617</v>
      </c>
      <c r="C720" t="s">
        <v>1083</v>
      </c>
      <c r="D720">
        <v>50</v>
      </c>
    </row>
    <row r="721" spans="1:4" x14ac:dyDescent="0.35">
      <c r="A721" t="s">
        <v>797</v>
      </c>
      <c r="B721">
        <v>1617</v>
      </c>
      <c r="C721" t="s">
        <v>1070</v>
      </c>
      <c r="D721">
        <v>50</v>
      </c>
    </row>
    <row r="722" spans="1:4" x14ac:dyDescent="0.35">
      <c r="A722" t="s">
        <v>798</v>
      </c>
      <c r="B722">
        <v>1617</v>
      </c>
      <c r="C722" t="s">
        <v>1071</v>
      </c>
      <c r="D722">
        <v>50</v>
      </c>
    </row>
    <row r="723" spans="1:4" x14ac:dyDescent="0.35">
      <c r="A723" t="s">
        <v>799</v>
      </c>
      <c r="B723">
        <v>1617</v>
      </c>
      <c r="C723" t="s">
        <v>1072</v>
      </c>
      <c r="D723">
        <v>50</v>
      </c>
    </row>
    <row r="724" spans="1:4" x14ac:dyDescent="0.35">
      <c r="A724" t="s">
        <v>800</v>
      </c>
      <c r="B724">
        <v>1617</v>
      </c>
      <c r="C724" t="s">
        <v>1073</v>
      </c>
      <c r="D724">
        <v>50</v>
      </c>
    </row>
    <row r="725" spans="1:4" x14ac:dyDescent="0.35">
      <c r="A725" t="s">
        <v>801</v>
      </c>
      <c r="B725">
        <v>1617</v>
      </c>
      <c r="C725" t="s">
        <v>1074</v>
      </c>
      <c r="D725">
        <v>50</v>
      </c>
    </row>
    <row r="726" spans="1:4" x14ac:dyDescent="0.35">
      <c r="A726" t="s">
        <v>802</v>
      </c>
      <c r="B726">
        <v>1624</v>
      </c>
      <c r="C726" t="s">
        <v>1084</v>
      </c>
      <c r="D726">
        <v>500</v>
      </c>
    </row>
    <row r="727" spans="1:4" x14ac:dyDescent="0.35">
      <c r="A727" t="s">
        <v>803</v>
      </c>
      <c r="B727">
        <v>1624</v>
      </c>
      <c r="C727" t="s">
        <v>1082</v>
      </c>
      <c r="D727">
        <v>500</v>
      </c>
    </row>
    <row r="728" spans="1:4" x14ac:dyDescent="0.35">
      <c r="A728" t="s">
        <v>804</v>
      </c>
      <c r="B728">
        <v>1629</v>
      </c>
      <c r="C728" t="s">
        <v>1071</v>
      </c>
      <c r="D728">
        <v>200</v>
      </c>
    </row>
    <row r="729" spans="1:4" x14ac:dyDescent="0.35">
      <c r="A729" t="s">
        <v>805</v>
      </c>
      <c r="B729">
        <v>1629</v>
      </c>
      <c r="C729" t="s">
        <v>1072</v>
      </c>
      <c r="D729">
        <v>200</v>
      </c>
    </row>
    <row r="730" spans="1:4" x14ac:dyDescent="0.35">
      <c r="A730" t="s">
        <v>806</v>
      </c>
      <c r="B730">
        <v>1629</v>
      </c>
      <c r="C730" t="s">
        <v>1073</v>
      </c>
      <c r="D730">
        <v>200</v>
      </c>
    </row>
    <row r="731" spans="1:4" x14ac:dyDescent="0.35">
      <c r="A731" t="s">
        <v>807</v>
      </c>
      <c r="B731">
        <v>1629</v>
      </c>
      <c r="C731" t="s">
        <v>1074</v>
      </c>
      <c r="D731">
        <v>200</v>
      </c>
    </row>
    <row r="732" spans="1:4" x14ac:dyDescent="0.35">
      <c r="A732" t="s">
        <v>808</v>
      </c>
      <c r="B732">
        <v>1629</v>
      </c>
      <c r="C732" t="s">
        <v>1075</v>
      </c>
      <c r="D732">
        <v>200</v>
      </c>
    </row>
    <row r="733" spans="1:4" x14ac:dyDescent="0.35">
      <c r="A733" t="s">
        <v>809</v>
      </c>
      <c r="B733">
        <v>1629</v>
      </c>
      <c r="C733" t="s">
        <v>1076</v>
      </c>
      <c r="D733">
        <v>200</v>
      </c>
    </row>
    <row r="734" spans="1:4" x14ac:dyDescent="0.35">
      <c r="A734" t="s">
        <v>810</v>
      </c>
      <c r="B734">
        <v>1656</v>
      </c>
      <c r="C734" t="s">
        <v>1070</v>
      </c>
      <c r="D734">
        <v>200</v>
      </c>
    </row>
    <row r="735" spans="1:4" x14ac:dyDescent="0.35">
      <c r="A735" t="s">
        <v>811</v>
      </c>
      <c r="B735">
        <v>1656</v>
      </c>
      <c r="C735" t="s">
        <v>1071</v>
      </c>
      <c r="D735">
        <v>200</v>
      </c>
    </row>
    <row r="736" spans="1:4" x14ac:dyDescent="0.35">
      <c r="A736" t="s">
        <v>812</v>
      </c>
      <c r="B736">
        <v>1656</v>
      </c>
      <c r="C736" t="s">
        <v>1072</v>
      </c>
      <c r="D736">
        <v>200</v>
      </c>
    </row>
    <row r="737" spans="1:4" x14ac:dyDescent="0.35">
      <c r="A737" t="s">
        <v>813</v>
      </c>
      <c r="B737">
        <v>1656</v>
      </c>
      <c r="C737" t="s">
        <v>1073</v>
      </c>
      <c r="D737">
        <v>200</v>
      </c>
    </row>
    <row r="738" spans="1:4" x14ac:dyDescent="0.35">
      <c r="A738" t="s">
        <v>814</v>
      </c>
      <c r="B738">
        <v>1672</v>
      </c>
      <c r="C738" t="s">
        <v>1082</v>
      </c>
      <c r="D738">
        <v>50</v>
      </c>
    </row>
    <row r="739" spans="1:4" x14ac:dyDescent="0.35">
      <c r="A739" t="s">
        <v>815</v>
      </c>
      <c r="B739">
        <v>1672</v>
      </c>
      <c r="C739" t="s">
        <v>1083</v>
      </c>
      <c r="D739">
        <v>50</v>
      </c>
    </row>
    <row r="740" spans="1:4" x14ac:dyDescent="0.35">
      <c r="A740" t="s">
        <v>816</v>
      </c>
      <c r="B740">
        <v>1683</v>
      </c>
      <c r="C740" t="s">
        <v>1087</v>
      </c>
      <c r="D740">
        <v>200</v>
      </c>
    </row>
    <row r="741" spans="1:4" x14ac:dyDescent="0.35">
      <c r="A741" t="s">
        <v>817</v>
      </c>
      <c r="B741">
        <v>1683</v>
      </c>
      <c r="C741" t="s">
        <v>1077</v>
      </c>
      <c r="D741">
        <v>200</v>
      </c>
    </row>
    <row r="742" spans="1:4" x14ac:dyDescent="0.35">
      <c r="A742" t="s">
        <v>818</v>
      </c>
      <c r="B742">
        <v>1683</v>
      </c>
      <c r="C742" t="s">
        <v>1078</v>
      </c>
      <c r="D742">
        <v>200</v>
      </c>
    </row>
    <row r="743" spans="1:4" x14ac:dyDescent="0.35">
      <c r="A743" t="s">
        <v>819</v>
      </c>
      <c r="B743">
        <v>1683</v>
      </c>
      <c r="C743" t="s">
        <v>1081</v>
      </c>
      <c r="D743">
        <v>200</v>
      </c>
    </row>
    <row r="744" spans="1:4" x14ac:dyDescent="0.35">
      <c r="A744" t="s">
        <v>820</v>
      </c>
      <c r="B744">
        <v>1683</v>
      </c>
      <c r="C744" t="s">
        <v>1084</v>
      </c>
      <c r="D744">
        <v>200</v>
      </c>
    </row>
    <row r="745" spans="1:4" x14ac:dyDescent="0.35">
      <c r="A745" t="s">
        <v>821</v>
      </c>
      <c r="B745">
        <v>1683</v>
      </c>
      <c r="C745" t="s">
        <v>1082</v>
      </c>
      <c r="D745">
        <v>200</v>
      </c>
    </row>
    <row r="746" spans="1:4" x14ac:dyDescent="0.35">
      <c r="A746" t="s">
        <v>822</v>
      </c>
      <c r="B746">
        <v>1683</v>
      </c>
      <c r="C746" t="s">
        <v>1083</v>
      </c>
      <c r="D746">
        <v>200</v>
      </c>
    </row>
    <row r="747" spans="1:4" x14ac:dyDescent="0.35">
      <c r="A747" t="s">
        <v>823</v>
      </c>
      <c r="B747">
        <v>1683</v>
      </c>
      <c r="C747" t="s">
        <v>1070</v>
      </c>
      <c r="D747">
        <v>200</v>
      </c>
    </row>
    <row r="748" spans="1:4" x14ac:dyDescent="0.35">
      <c r="A748" t="s">
        <v>824</v>
      </c>
      <c r="B748">
        <v>1683</v>
      </c>
      <c r="C748" t="s">
        <v>1071</v>
      </c>
      <c r="D748">
        <v>200</v>
      </c>
    </row>
    <row r="749" spans="1:4" x14ac:dyDescent="0.35">
      <c r="A749" t="s">
        <v>825</v>
      </c>
      <c r="B749">
        <v>1683</v>
      </c>
      <c r="C749" t="s">
        <v>1072</v>
      </c>
      <c r="D749">
        <v>200</v>
      </c>
    </row>
    <row r="750" spans="1:4" x14ac:dyDescent="0.35">
      <c r="A750" t="s">
        <v>826</v>
      </c>
      <c r="B750">
        <v>1683</v>
      </c>
      <c r="C750" t="s">
        <v>1073</v>
      </c>
      <c r="D750">
        <v>200</v>
      </c>
    </row>
    <row r="751" spans="1:4" x14ac:dyDescent="0.35">
      <c r="A751" t="s">
        <v>827</v>
      </c>
      <c r="B751">
        <v>1683</v>
      </c>
      <c r="C751" t="s">
        <v>1074</v>
      </c>
      <c r="D751">
        <v>200</v>
      </c>
    </row>
    <row r="752" spans="1:4" x14ac:dyDescent="0.35">
      <c r="A752" t="s">
        <v>828</v>
      </c>
      <c r="B752">
        <v>1683</v>
      </c>
      <c r="C752" t="s">
        <v>1075</v>
      </c>
      <c r="D752">
        <v>200</v>
      </c>
    </row>
    <row r="753" spans="1:4" x14ac:dyDescent="0.35">
      <c r="A753" t="s">
        <v>829</v>
      </c>
      <c r="B753">
        <v>1683</v>
      </c>
      <c r="C753" t="s">
        <v>1076</v>
      </c>
      <c r="D753">
        <v>200</v>
      </c>
    </row>
    <row r="754" spans="1:4" x14ac:dyDescent="0.35">
      <c r="A754" t="s">
        <v>830</v>
      </c>
      <c r="B754">
        <v>1683</v>
      </c>
      <c r="C754" t="s">
        <v>1079</v>
      </c>
      <c r="D754">
        <v>200</v>
      </c>
    </row>
    <row r="755" spans="1:4" x14ac:dyDescent="0.35">
      <c r="A755" t="s">
        <v>831</v>
      </c>
      <c r="B755">
        <v>1683</v>
      </c>
      <c r="C755" t="s">
        <v>1080</v>
      </c>
      <c r="D755">
        <v>200</v>
      </c>
    </row>
    <row r="756" spans="1:4" x14ac:dyDescent="0.35">
      <c r="A756" t="s">
        <v>832</v>
      </c>
      <c r="B756">
        <v>1686</v>
      </c>
      <c r="C756" t="s">
        <v>1077</v>
      </c>
      <c r="D756">
        <v>50</v>
      </c>
    </row>
    <row r="757" spans="1:4" x14ac:dyDescent="0.35">
      <c r="A757" t="s">
        <v>833</v>
      </c>
      <c r="B757">
        <v>1686</v>
      </c>
      <c r="C757" t="s">
        <v>1078</v>
      </c>
      <c r="D757">
        <v>50</v>
      </c>
    </row>
    <row r="758" spans="1:4" x14ac:dyDescent="0.35">
      <c r="A758" t="s">
        <v>834</v>
      </c>
      <c r="B758">
        <v>1686</v>
      </c>
      <c r="C758" t="s">
        <v>1081</v>
      </c>
      <c r="D758">
        <v>50</v>
      </c>
    </row>
    <row r="759" spans="1:4" x14ac:dyDescent="0.35">
      <c r="A759" t="s">
        <v>835</v>
      </c>
      <c r="B759">
        <v>1686</v>
      </c>
      <c r="C759" t="s">
        <v>1084</v>
      </c>
      <c r="D759">
        <v>50</v>
      </c>
    </row>
    <row r="760" spans="1:4" x14ac:dyDescent="0.35">
      <c r="A760" t="s">
        <v>836</v>
      </c>
      <c r="B760">
        <v>1686</v>
      </c>
      <c r="C760" t="s">
        <v>1082</v>
      </c>
      <c r="D760">
        <v>50</v>
      </c>
    </row>
    <row r="761" spans="1:4" x14ac:dyDescent="0.35">
      <c r="A761" t="s">
        <v>837</v>
      </c>
      <c r="B761">
        <v>1686</v>
      </c>
      <c r="C761" t="s">
        <v>1083</v>
      </c>
      <c r="D761">
        <v>50</v>
      </c>
    </row>
    <row r="762" spans="1:4" x14ac:dyDescent="0.35">
      <c r="A762" t="s">
        <v>838</v>
      </c>
      <c r="B762">
        <v>1686</v>
      </c>
      <c r="C762" t="s">
        <v>1070</v>
      </c>
      <c r="D762">
        <v>50</v>
      </c>
    </row>
    <row r="763" spans="1:4" x14ac:dyDescent="0.35">
      <c r="A763" t="s">
        <v>839</v>
      </c>
      <c r="B763">
        <v>1686</v>
      </c>
      <c r="C763" t="s">
        <v>1071</v>
      </c>
      <c r="D763">
        <v>50</v>
      </c>
    </row>
    <row r="764" spans="1:4" x14ac:dyDescent="0.35">
      <c r="A764" t="s">
        <v>840</v>
      </c>
      <c r="B764">
        <v>1686</v>
      </c>
      <c r="C764" t="s">
        <v>1072</v>
      </c>
      <c r="D764">
        <v>50</v>
      </c>
    </row>
    <row r="765" spans="1:4" x14ac:dyDescent="0.35">
      <c r="A765" t="s">
        <v>841</v>
      </c>
      <c r="B765">
        <v>1686</v>
      </c>
      <c r="C765" t="s">
        <v>1073</v>
      </c>
      <c r="D765">
        <v>50</v>
      </c>
    </row>
    <row r="766" spans="1:4" x14ac:dyDescent="0.35">
      <c r="A766" t="s">
        <v>842</v>
      </c>
      <c r="B766">
        <v>1686</v>
      </c>
      <c r="C766" t="s">
        <v>1074</v>
      </c>
      <c r="D766">
        <v>50</v>
      </c>
    </row>
    <row r="767" spans="1:4" x14ac:dyDescent="0.35">
      <c r="A767" t="s">
        <v>843</v>
      </c>
      <c r="B767">
        <v>1686</v>
      </c>
      <c r="C767" t="s">
        <v>1075</v>
      </c>
      <c r="D767">
        <v>50</v>
      </c>
    </row>
    <row r="768" spans="1:4" x14ac:dyDescent="0.35">
      <c r="A768" t="s">
        <v>844</v>
      </c>
      <c r="B768">
        <v>1686</v>
      </c>
      <c r="C768" t="s">
        <v>1076</v>
      </c>
      <c r="D768">
        <v>50</v>
      </c>
    </row>
    <row r="769" spans="1:4" x14ac:dyDescent="0.35">
      <c r="A769" t="s">
        <v>845</v>
      </c>
      <c r="B769">
        <v>1697</v>
      </c>
      <c r="C769" t="s">
        <v>1076</v>
      </c>
      <c r="D769">
        <v>50</v>
      </c>
    </row>
    <row r="770" spans="1:4" x14ac:dyDescent="0.35">
      <c r="A770" t="s">
        <v>846</v>
      </c>
      <c r="B770">
        <v>1697</v>
      </c>
      <c r="C770" t="s">
        <v>1079</v>
      </c>
      <c r="D770">
        <v>50</v>
      </c>
    </row>
    <row r="771" spans="1:4" x14ac:dyDescent="0.35">
      <c r="A771" t="s">
        <v>847</v>
      </c>
      <c r="B771">
        <v>1709</v>
      </c>
      <c r="C771" t="s">
        <v>1084</v>
      </c>
      <c r="D771">
        <v>200</v>
      </c>
    </row>
    <row r="772" spans="1:4" x14ac:dyDescent="0.35">
      <c r="A772" t="s">
        <v>848</v>
      </c>
      <c r="B772">
        <v>1709</v>
      </c>
      <c r="C772" t="s">
        <v>1082</v>
      </c>
      <c r="D772">
        <v>200</v>
      </c>
    </row>
    <row r="773" spans="1:4" x14ac:dyDescent="0.35">
      <c r="A773" t="s">
        <v>849</v>
      </c>
      <c r="B773">
        <v>1709</v>
      </c>
      <c r="C773" t="s">
        <v>1083</v>
      </c>
      <c r="D773">
        <v>200</v>
      </c>
    </row>
    <row r="774" spans="1:4" x14ac:dyDescent="0.35">
      <c r="A774" t="s">
        <v>850</v>
      </c>
      <c r="B774">
        <v>1709</v>
      </c>
      <c r="C774" t="s">
        <v>1070</v>
      </c>
      <c r="D774">
        <v>200</v>
      </c>
    </row>
    <row r="775" spans="1:4" x14ac:dyDescent="0.35">
      <c r="A775" t="s">
        <v>851</v>
      </c>
      <c r="B775">
        <v>1709</v>
      </c>
      <c r="C775" t="s">
        <v>1071</v>
      </c>
      <c r="D775">
        <v>200</v>
      </c>
    </row>
    <row r="776" spans="1:4" x14ac:dyDescent="0.35">
      <c r="A776" t="s">
        <v>852</v>
      </c>
      <c r="B776">
        <v>1709</v>
      </c>
      <c r="C776" t="s">
        <v>1072</v>
      </c>
      <c r="D776">
        <v>200</v>
      </c>
    </row>
    <row r="777" spans="1:4" x14ac:dyDescent="0.35">
      <c r="A777" t="s">
        <v>853</v>
      </c>
      <c r="B777">
        <v>1709</v>
      </c>
      <c r="C777" t="s">
        <v>1073</v>
      </c>
      <c r="D777">
        <v>200</v>
      </c>
    </row>
    <row r="778" spans="1:4" x14ac:dyDescent="0.35">
      <c r="A778" t="s">
        <v>854</v>
      </c>
      <c r="B778">
        <v>1709</v>
      </c>
      <c r="C778" t="s">
        <v>1074</v>
      </c>
      <c r="D778">
        <v>200</v>
      </c>
    </row>
    <row r="779" spans="1:4" x14ac:dyDescent="0.35">
      <c r="A779" t="s">
        <v>855</v>
      </c>
      <c r="B779">
        <v>1713</v>
      </c>
      <c r="C779" t="s">
        <v>1083</v>
      </c>
      <c r="D779">
        <v>500</v>
      </c>
    </row>
    <row r="780" spans="1:4" x14ac:dyDescent="0.35">
      <c r="A780" t="s">
        <v>856</v>
      </c>
      <c r="B780">
        <v>1713</v>
      </c>
      <c r="C780" t="s">
        <v>1070</v>
      </c>
      <c r="D780">
        <v>500</v>
      </c>
    </row>
    <row r="781" spans="1:4" x14ac:dyDescent="0.35">
      <c r="A781" t="s">
        <v>857</v>
      </c>
      <c r="B781">
        <v>1714</v>
      </c>
      <c r="C781" t="s">
        <v>1084</v>
      </c>
      <c r="D781">
        <v>500</v>
      </c>
    </row>
    <row r="782" spans="1:4" x14ac:dyDescent="0.35">
      <c r="A782" t="s">
        <v>858</v>
      </c>
      <c r="B782">
        <v>1714</v>
      </c>
      <c r="C782" t="s">
        <v>1082</v>
      </c>
      <c r="D782">
        <v>500</v>
      </c>
    </row>
    <row r="783" spans="1:4" x14ac:dyDescent="0.35">
      <c r="A783" t="s">
        <v>859</v>
      </c>
      <c r="B783">
        <v>1717</v>
      </c>
      <c r="C783" t="s">
        <v>1080</v>
      </c>
      <c r="D783">
        <v>50</v>
      </c>
    </row>
    <row r="784" spans="1:4" x14ac:dyDescent="0.35">
      <c r="A784" t="s">
        <v>860</v>
      </c>
      <c r="B784">
        <v>1721</v>
      </c>
      <c r="C784" t="s">
        <v>1070</v>
      </c>
      <c r="D784">
        <v>50</v>
      </c>
    </row>
    <row r="785" spans="1:4" x14ac:dyDescent="0.35">
      <c r="A785" t="s">
        <v>861</v>
      </c>
      <c r="B785">
        <v>1721</v>
      </c>
      <c r="C785" t="s">
        <v>1071</v>
      </c>
      <c r="D785">
        <v>50</v>
      </c>
    </row>
    <row r="786" spans="1:4" x14ac:dyDescent="0.35">
      <c r="A786" t="s">
        <v>862</v>
      </c>
      <c r="B786">
        <v>1721</v>
      </c>
      <c r="C786" t="s">
        <v>1072</v>
      </c>
      <c r="D786">
        <v>50</v>
      </c>
    </row>
    <row r="787" spans="1:4" x14ac:dyDescent="0.35">
      <c r="A787" t="s">
        <v>863</v>
      </c>
      <c r="B787">
        <v>1721</v>
      </c>
      <c r="C787" t="s">
        <v>1073</v>
      </c>
      <c r="D787">
        <v>50</v>
      </c>
    </row>
    <row r="788" spans="1:4" x14ac:dyDescent="0.35">
      <c r="A788" t="s">
        <v>864</v>
      </c>
      <c r="B788">
        <v>1721</v>
      </c>
      <c r="C788" t="s">
        <v>1074</v>
      </c>
      <c r="D788">
        <v>50</v>
      </c>
    </row>
    <row r="789" spans="1:4" x14ac:dyDescent="0.35">
      <c r="A789" t="s">
        <v>865</v>
      </c>
      <c r="B789">
        <v>1721</v>
      </c>
      <c r="C789" t="s">
        <v>1075</v>
      </c>
      <c r="D789">
        <v>50</v>
      </c>
    </row>
    <row r="790" spans="1:4" x14ac:dyDescent="0.35">
      <c r="A790" t="s">
        <v>866</v>
      </c>
      <c r="B790">
        <v>1724</v>
      </c>
      <c r="C790" t="s">
        <v>1071</v>
      </c>
      <c r="D790">
        <v>500</v>
      </c>
    </row>
    <row r="791" spans="1:4" x14ac:dyDescent="0.35">
      <c r="A791" t="s">
        <v>867</v>
      </c>
      <c r="B791">
        <v>1724</v>
      </c>
      <c r="C791" t="s">
        <v>1072</v>
      </c>
      <c r="D791">
        <v>500</v>
      </c>
    </row>
    <row r="792" spans="1:4" x14ac:dyDescent="0.35">
      <c r="A792" t="s">
        <v>868</v>
      </c>
      <c r="B792">
        <v>1724</v>
      </c>
      <c r="C792" t="s">
        <v>1073</v>
      </c>
      <c r="D792">
        <v>500</v>
      </c>
    </row>
    <row r="793" spans="1:4" x14ac:dyDescent="0.35">
      <c r="A793" t="s">
        <v>869</v>
      </c>
      <c r="B793">
        <v>1724</v>
      </c>
      <c r="C793" t="s">
        <v>1074</v>
      </c>
      <c r="D793">
        <v>500</v>
      </c>
    </row>
    <row r="794" spans="1:4" x14ac:dyDescent="0.35">
      <c r="A794" t="s">
        <v>870</v>
      </c>
      <c r="B794">
        <v>1724</v>
      </c>
      <c r="C794" t="s">
        <v>1075</v>
      </c>
      <c r="D794">
        <v>500</v>
      </c>
    </row>
    <row r="795" spans="1:4" x14ac:dyDescent="0.35">
      <c r="A795" t="s">
        <v>871</v>
      </c>
      <c r="B795">
        <v>1726</v>
      </c>
      <c r="C795" t="s">
        <v>1075</v>
      </c>
      <c r="D795">
        <v>50</v>
      </c>
    </row>
    <row r="796" spans="1:4" x14ac:dyDescent="0.35">
      <c r="A796" t="s">
        <v>872</v>
      </c>
      <c r="B796">
        <v>1726</v>
      </c>
      <c r="C796" t="s">
        <v>1076</v>
      </c>
      <c r="D796">
        <v>50</v>
      </c>
    </row>
    <row r="797" spans="1:4" x14ac:dyDescent="0.35">
      <c r="A797" t="s">
        <v>873</v>
      </c>
      <c r="B797">
        <v>1727</v>
      </c>
      <c r="C797" t="s">
        <v>1073</v>
      </c>
      <c r="D797">
        <v>200</v>
      </c>
    </row>
    <row r="798" spans="1:4" x14ac:dyDescent="0.35">
      <c r="A798" t="s">
        <v>874</v>
      </c>
      <c r="B798">
        <v>1727</v>
      </c>
      <c r="C798" t="s">
        <v>1074</v>
      </c>
      <c r="D798">
        <v>200</v>
      </c>
    </row>
    <row r="799" spans="1:4" x14ac:dyDescent="0.35">
      <c r="A799" t="s">
        <v>875</v>
      </c>
      <c r="B799">
        <v>1727</v>
      </c>
      <c r="C799" t="s">
        <v>1075</v>
      </c>
      <c r="D799">
        <v>200</v>
      </c>
    </row>
    <row r="800" spans="1:4" x14ac:dyDescent="0.35">
      <c r="A800" t="s">
        <v>876</v>
      </c>
      <c r="B800">
        <v>1727</v>
      </c>
      <c r="C800" t="s">
        <v>1076</v>
      </c>
      <c r="D800">
        <v>200</v>
      </c>
    </row>
    <row r="801" spans="1:4" x14ac:dyDescent="0.35">
      <c r="A801" t="s">
        <v>877</v>
      </c>
      <c r="B801">
        <v>1727</v>
      </c>
      <c r="C801" t="s">
        <v>1079</v>
      </c>
      <c r="D801">
        <v>200</v>
      </c>
    </row>
    <row r="802" spans="1:4" x14ac:dyDescent="0.35">
      <c r="A802" t="s">
        <v>878</v>
      </c>
      <c r="B802">
        <v>1727</v>
      </c>
      <c r="C802" t="s">
        <v>1080</v>
      </c>
      <c r="D802">
        <v>200</v>
      </c>
    </row>
    <row r="803" spans="1:4" x14ac:dyDescent="0.35">
      <c r="A803" t="s">
        <v>879</v>
      </c>
      <c r="B803">
        <v>1736</v>
      </c>
      <c r="C803" t="s">
        <v>1072</v>
      </c>
      <c r="D803">
        <v>500</v>
      </c>
    </row>
    <row r="804" spans="1:4" x14ac:dyDescent="0.35">
      <c r="A804" t="s">
        <v>880</v>
      </c>
      <c r="B804">
        <v>1736</v>
      </c>
      <c r="C804" t="s">
        <v>1073</v>
      </c>
      <c r="D804">
        <v>500</v>
      </c>
    </row>
    <row r="805" spans="1:4" x14ac:dyDescent="0.35">
      <c r="A805" t="s">
        <v>881</v>
      </c>
      <c r="B805">
        <v>1736</v>
      </c>
      <c r="C805" t="s">
        <v>1074</v>
      </c>
      <c r="D805">
        <v>500</v>
      </c>
    </row>
    <row r="806" spans="1:4" x14ac:dyDescent="0.35">
      <c r="A806" t="s">
        <v>882</v>
      </c>
      <c r="B806">
        <v>1737</v>
      </c>
      <c r="C806" t="s">
        <v>1081</v>
      </c>
      <c r="D806">
        <v>200</v>
      </c>
    </row>
    <row r="807" spans="1:4" x14ac:dyDescent="0.35">
      <c r="A807" t="s">
        <v>883</v>
      </c>
      <c r="B807">
        <v>1737</v>
      </c>
      <c r="C807" t="s">
        <v>1084</v>
      </c>
      <c r="D807">
        <v>200</v>
      </c>
    </row>
    <row r="808" spans="1:4" x14ac:dyDescent="0.35">
      <c r="A808" t="s">
        <v>884</v>
      </c>
      <c r="B808">
        <v>1737</v>
      </c>
      <c r="C808" t="s">
        <v>1082</v>
      </c>
      <c r="D808">
        <v>200</v>
      </c>
    </row>
    <row r="809" spans="1:4" x14ac:dyDescent="0.35">
      <c r="A809" t="s">
        <v>885</v>
      </c>
      <c r="B809">
        <v>1737</v>
      </c>
      <c r="C809" t="s">
        <v>1083</v>
      </c>
      <c r="D809">
        <v>200</v>
      </c>
    </row>
    <row r="810" spans="1:4" x14ac:dyDescent="0.35">
      <c r="A810" t="s">
        <v>886</v>
      </c>
      <c r="B810">
        <v>1737</v>
      </c>
      <c r="C810" t="s">
        <v>1070</v>
      </c>
      <c r="D810">
        <v>200</v>
      </c>
    </row>
    <row r="811" spans="1:4" x14ac:dyDescent="0.35">
      <c r="A811" t="s">
        <v>887</v>
      </c>
      <c r="B811">
        <v>1747</v>
      </c>
      <c r="C811" t="s">
        <v>1078</v>
      </c>
      <c r="D811">
        <v>200</v>
      </c>
    </row>
    <row r="812" spans="1:4" x14ac:dyDescent="0.35">
      <c r="A812" t="s">
        <v>888</v>
      </c>
      <c r="B812">
        <v>1747</v>
      </c>
      <c r="C812" t="s">
        <v>1081</v>
      </c>
      <c r="D812">
        <v>200</v>
      </c>
    </row>
    <row r="813" spans="1:4" x14ac:dyDescent="0.35">
      <c r="A813" t="s">
        <v>889</v>
      </c>
      <c r="B813">
        <v>1747</v>
      </c>
      <c r="C813" t="s">
        <v>1084</v>
      </c>
      <c r="D813">
        <v>200</v>
      </c>
    </row>
    <row r="814" spans="1:4" x14ac:dyDescent="0.35">
      <c r="A814" t="s">
        <v>890</v>
      </c>
      <c r="B814">
        <v>1750</v>
      </c>
      <c r="C814" t="s">
        <v>1070</v>
      </c>
      <c r="D814">
        <v>500</v>
      </c>
    </row>
    <row r="815" spans="1:4" x14ac:dyDescent="0.35">
      <c r="A815" t="s">
        <v>891</v>
      </c>
      <c r="B815">
        <v>1750</v>
      </c>
      <c r="C815" t="s">
        <v>1071</v>
      </c>
      <c r="D815">
        <v>500</v>
      </c>
    </row>
    <row r="816" spans="1:4" x14ac:dyDescent="0.35">
      <c r="A816" t="s">
        <v>892</v>
      </c>
      <c r="B816">
        <v>1750</v>
      </c>
      <c r="C816" t="s">
        <v>1072</v>
      </c>
      <c r="D816">
        <v>500</v>
      </c>
    </row>
    <row r="817" spans="1:4" x14ac:dyDescent="0.35">
      <c r="A817" t="s">
        <v>893</v>
      </c>
      <c r="B817">
        <v>1750</v>
      </c>
      <c r="C817" t="s">
        <v>1073</v>
      </c>
      <c r="D817">
        <v>500</v>
      </c>
    </row>
    <row r="818" spans="1:4" x14ac:dyDescent="0.35">
      <c r="A818" t="s">
        <v>894</v>
      </c>
      <c r="B818">
        <v>1750</v>
      </c>
      <c r="C818" t="s">
        <v>1074</v>
      </c>
      <c r="D818">
        <v>500</v>
      </c>
    </row>
    <row r="819" spans="1:4" x14ac:dyDescent="0.35">
      <c r="A819" t="s">
        <v>895</v>
      </c>
      <c r="B819">
        <v>1750</v>
      </c>
      <c r="C819" t="s">
        <v>1075</v>
      </c>
      <c r="D819">
        <v>500</v>
      </c>
    </row>
    <row r="820" spans="1:4" x14ac:dyDescent="0.35">
      <c r="A820" t="s">
        <v>896</v>
      </c>
      <c r="B820">
        <v>1750</v>
      </c>
      <c r="C820" t="s">
        <v>1076</v>
      </c>
      <c r="D820">
        <v>500</v>
      </c>
    </row>
    <row r="821" spans="1:4" x14ac:dyDescent="0.35">
      <c r="A821" t="s">
        <v>897</v>
      </c>
      <c r="B821">
        <v>1759</v>
      </c>
      <c r="C821" t="s">
        <v>1078</v>
      </c>
      <c r="D821">
        <v>200</v>
      </c>
    </row>
    <row r="822" spans="1:4" x14ac:dyDescent="0.35">
      <c r="A822" t="s">
        <v>898</v>
      </c>
      <c r="B822">
        <v>1759</v>
      </c>
      <c r="C822" t="s">
        <v>1081</v>
      </c>
      <c r="D822">
        <v>200</v>
      </c>
    </row>
    <row r="823" spans="1:4" x14ac:dyDescent="0.35">
      <c r="A823" t="s">
        <v>899</v>
      </c>
      <c r="B823">
        <v>1759</v>
      </c>
      <c r="C823" t="s">
        <v>1084</v>
      </c>
      <c r="D823">
        <v>200</v>
      </c>
    </row>
    <row r="824" spans="1:4" x14ac:dyDescent="0.35">
      <c r="A824" t="s">
        <v>900</v>
      </c>
      <c r="B824">
        <v>1759</v>
      </c>
      <c r="C824" t="s">
        <v>1082</v>
      </c>
      <c r="D824">
        <v>200</v>
      </c>
    </row>
    <row r="825" spans="1:4" x14ac:dyDescent="0.35">
      <c r="A825" t="s">
        <v>901</v>
      </c>
      <c r="B825">
        <v>1759</v>
      </c>
      <c r="C825" t="s">
        <v>1083</v>
      </c>
      <c r="D825">
        <v>200</v>
      </c>
    </row>
    <row r="826" spans="1:4" x14ac:dyDescent="0.35">
      <c r="A826" t="s">
        <v>902</v>
      </c>
      <c r="B826">
        <v>1759</v>
      </c>
      <c r="C826" t="s">
        <v>1070</v>
      </c>
      <c r="D826">
        <v>200</v>
      </c>
    </row>
    <row r="827" spans="1:4" x14ac:dyDescent="0.35">
      <c r="A827" t="s">
        <v>903</v>
      </c>
      <c r="B827">
        <v>1759</v>
      </c>
      <c r="C827" t="s">
        <v>1071</v>
      </c>
      <c r="D827">
        <v>200</v>
      </c>
    </row>
    <row r="828" spans="1:4" x14ac:dyDescent="0.35">
      <c r="A828" t="s">
        <v>904</v>
      </c>
      <c r="B828">
        <v>1759</v>
      </c>
      <c r="C828" t="s">
        <v>1072</v>
      </c>
      <c r="D828">
        <v>200</v>
      </c>
    </row>
    <row r="829" spans="1:4" x14ac:dyDescent="0.35">
      <c r="A829" t="s">
        <v>905</v>
      </c>
      <c r="B829">
        <v>1764</v>
      </c>
      <c r="C829" t="s">
        <v>1072</v>
      </c>
      <c r="D829">
        <v>500</v>
      </c>
    </row>
    <row r="830" spans="1:4" x14ac:dyDescent="0.35">
      <c r="A830" t="s">
        <v>906</v>
      </c>
      <c r="B830">
        <v>1764</v>
      </c>
      <c r="C830" t="s">
        <v>1073</v>
      </c>
      <c r="D830">
        <v>500</v>
      </c>
    </row>
    <row r="831" spans="1:4" x14ac:dyDescent="0.35">
      <c r="A831" t="s">
        <v>907</v>
      </c>
      <c r="B831">
        <v>1765</v>
      </c>
      <c r="C831" t="s">
        <v>1081</v>
      </c>
      <c r="D831">
        <v>50</v>
      </c>
    </row>
    <row r="832" spans="1:4" x14ac:dyDescent="0.35">
      <c r="A832" t="s">
        <v>908</v>
      </c>
      <c r="B832">
        <v>1765</v>
      </c>
      <c r="C832" t="s">
        <v>1084</v>
      </c>
      <c r="D832">
        <v>50</v>
      </c>
    </row>
    <row r="833" spans="1:4" x14ac:dyDescent="0.35">
      <c r="A833" t="s">
        <v>909</v>
      </c>
      <c r="B833">
        <v>1765</v>
      </c>
      <c r="C833" t="s">
        <v>1082</v>
      </c>
      <c r="D833">
        <v>50</v>
      </c>
    </row>
    <row r="834" spans="1:4" x14ac:dyDescent="0.35">
      <c r="A834" t="s">
        <v>910</v>
      </c>
      <c r="B834">
        <v>1765</v>
      </c>
      <c r="C834" t="s">
        <v>1083</v>
      </c>
      <c r="D834">
        <v>50</v>
      </c>
    </row>
    <row r="835" spans="1:4" x14ac:dyDescent="0.35">
      <c r="A835" t="s">
        <v>911</v>
      </c>
      <c r="B835">
        <v>1765</v>
      </c>
      <c r="C835" t="s">
        <v>1070</v>
      </c>
      <c r="D835">
        <v>50</v>
      </c>
    </row>
    <row r="836" spans="1:4" x14ac:dyDescent="0.35">
      <c r="A836" t="s">
        <v>912</v>
      </c>
      <c r="B836">
        <v>1765</v>
      </c>
      <c r="C836" t="s">
        <v>1071</v>
      </c>
      <c r="D836">
        <v>50</v>
      </c>
    </row>
    <row r="837" spans="1:4" x14ac:dyDescent="0.35">
      <c r="A837" t="s">
        <v>913</v>
      </c>
      <c r="B837">
        <v>1767</v>
      </c>
      <c r="C837" t="s">
        <v>1072</v>
      </c>
      <c r="D837">
        <v>200</v>
      </c>
    </row>
    <row r="838" spans="1:4" x14ac:dyDescent="0.35">
      <c r="A838" t="s">
        <v>914</v>
      </c>
      <c r="B838">
        <v>1767</v>
      </c>
      <c r="C838" t="s">
        <v>1073</v>
      </c>
      <c r="D838">
        <v>200</v>
      </c>
    </row>
    <row r="839" spans="1:4" x14ac:dyDescent="0.35">
      <c r="A839" t="s">
        <v>915</v>
      </c>
      <c r="B839">
        <v>1767</v>
      </c>
      <c r="C839" t="s">
        <v>1074</v>
      </c>
      <c r="D839">
        <v>200</v>
      </c>
    </row>
    <row r="840" spans="1:4" x14ac:dyDescent="0.35">
      <c r="A840" t="s">
        <v>916</v>
      </c>
      <c r="B840">
        <v>1767</v>
      </c>
      <c r="C840" t="s">
        <v>1075</v>
      </c>
      <c r="D840">
        <v>200</v>
      </c>
    </row>
    <row r="841" spans="1:4" x14ac:dyDescent="0.35">
      <c r="A841" t="s">
        <v>917</v>
      </c>
      <c r="B841">
        <v>1768</v>
      </c>
      <c r="C841" t="s">
        <v>1080</v>
      </c>
      <c r="D841">
        <v>200</v>
      </c>
    </row>
    <row r="842" spans="1:4" x14ac:dyDescent="0.35">
      <c r="A842" t="s">
        <v>918</v>
      </c>
      <c r="B842">
        <v>1791</v>
      </c>
      <c r="C842" t="s">
        <v>1079</v>
      </c>
      <c r="D842">
        <v>200</v>
      </c>
    </row>
    <row r="843" spans="1:4" x14ac:dyDescent="0.35">
      <c r="A843" t="s">
        <v>919</v>
      </c>
      <c r="B843">
        <v>1806</v>
      </c>
      <c r="C843" t="s">
        <v>1072</v>
      </c>
      <c r="D843">
        <v>500</v>
      </c>
    </row>
    <row r="844" spans="1:4" x14ac:dyDescent="0.35">
      <c r="A844" t="s">
        <v>920</v>
      </c>
      <c r="B844">
        <v>1806</v>
      </c>
      <c r="C844" t="s">
        <v>1073</v>
      </c>
      <c r="D844">
        <v>500</v>
      </c>
    </row>
    <row r="845" spans="1:4" x14ac:dyDescent="0.35">
      <c r="A845" t="s">
        <v>921</v>
      </c>
      <c r="B845">
        <v>1806</v>
      </c>
      <c r="C845" t="s">
        <v>1074</v>
      </c>
      <c r="D845">
        <v>500</v>
      </c>
    </row>
    <row r="846" spans="1:4" x14ac:dyDescent="0.35">
      <c r="A846" t="s">
        <v>922</v>
      </c>
      <c r="B846">
        <v>1806</v>
      </c>
      <c r="C846" t="s">
        <v>1075</v>
      </c>
      <c r="D846">
        <v>500</v>
      </c>
    </row>
    <row r="847" spans="1:4" x14ac:dyDescent="0.35">
      <c r="A847" t="s">
        <v>923</v>
      </c>
      <c r="B847">
        <v>1807</v>
      </c>
      <c r="C847" t="s">
        <v>1072</v>
      </c>
      <c r="D847">
        <v>50</v>
      </c>
    </row>
    <row r="848" spans="1:4" x14ac:dyDescent="0.35">
      <c r="A848" t="s">
        <v>924</v>
      </c>
      <c r="B848">
        <v>1807</v>
      </c>
      <c r="C848" t="s">
        <v>1073</v>
      </c>
      <c r="D848">
        <v>50</v>
      </c>
    </row>
    <row r="849" spans="1:4" x14ac:dyDescent="0.35">
      <c r="A849" t="s">
        <v>925</v>
      </c>
      <c r="B849">
        <v>1807</v>
      </c>
      <c r="C849" t="s">
        <v>1074</v>
      </c>
      <c r="D849">
        <v>50</v>
      </c>
    </row>
    <row r="850" spans="1:4" x14ac:dyDescent="0.35">
      <c r="A850" t="s">
        <v>926</v>
      </c>
      <c r="B850">
        <v>1807</v>
      </c>
      <c r="C850" t="s">
        <v>1075</v>
      </c>
      <c r="D850">
        <v>50</v>
      </c>
    </row>
    <row r="851" spans="1:4" x14ac:dyDescent="0.35">
      <c r="A851" t="s">
        <v>927</v>
      </c>
      <c r="B851">
        <v>1810</v>
      </c>
      <c r="C851" t="s">
        <v>1072</v>
      </c>
      <c r="D851">
        <v>500</v>
      </c>
    </row>
    <row r="852" spans="1:4" x14ac:dyDescent="0.35">
      <c r="A852" t="s">
        <v>928</v>
      </c>
      <c r="B852">
        <v>1810</v>
      </c>
      <c r="C852" t="s">
        <v>1073</v>
      </c>
      <c r="D852">
        <v>500</v>
      </c>
    </row>
    <row r="853" spans="1:4" x14ac:dyDescent="0.35">
      <c r="A853" t="s">
        <v>929</v>
      </c>
      <c r="B853">
        <v>1810</v>
      </c>
      <c r="C853" t="s">
        <v>1074</v>
      </c>
      <c r="D853">
        <v>500</v>
      </c>
    </row>
    <row r="854" spans="1:4" x14ac:dyDescent="0.35">
      <c r="A854" t="s">
        <v>930</v>
      </c>
      <c r="B854">
        <v>1810</v>
      </c>
      <c r="C854" t="s">
        <v>1075</v>
      </c>
      <c r="D854">
        <v>500</v>
      </c>
    </row>
    <row r="855" spans="1:4" x14ac:dyDescent="0.35">
      <c r="A855" t="s">
        <v>931</v>
      </c>
      <c r="B855">
        <v>1817</v>
      </c>
      <c r="C855" t="s">
        <v>1077</v>
      </c>
      <c r="D855">
        <v>500</v>
      </c>
    </row>
    <row r="856" spans="1:4" x14ac:dyDescent="0.35">
      <c r="A856" t="s">
        <v>932</v>
      </c>
      <c r="B856">
        <v>1817</v>
      </c>
      <c r="C856" t="s">
        <v>1078</v>
      </c>
      <c r="D856">
        <v>500</v>
      </c>
    </row>
    <row r="857" spans="1:4" x14ac:dyDescent="0.35">
      <c r="A857" t="s">
        <v>933</v>
      </c>
      <c r="B857">
        <v>1822</v>
      </c>
      <c r="C857" t="s">
        <v>1074</v>
      </c>
      <c r="D857">
        <v>50</v>
      </c>
    </row>
    <row r="858" spans="1:4" x14ac:dyDescent="0.35">
      <c r="A858" t="s">
        <v>934</v>
      </c>
      <c r="B858">
        <v>1822</v>
      </c>
      <c r="C858" t="s">
        <v>1075</v>
      </c>
      <c r="D858">
        <v>50</v>
      </c>
    </row>
    <row r="859" spans="1:4" x14ac:dyDescent="0.35">
      <c r="A859" t="s">
        <v>935</v>
      </c>
      <c r="B859">
        <v>1824</v>
      </c>
      <c r="C859" t="s">
        <v>1079</v>
      </c>
      <c r="D859">
        <v>200</v>
      </c>
    </row>
    <row r="860" spans="1:4" x14ac:dyDescent="0.35">
      <c r="A860" t="s">
        <v>936</v>
      </c>
      <c r="B860">
        <v>1834</v>
      </c>
      <c r="C860" t="s">
        <v>1075</v>
      </c>
      <c r="D860">
        <v>200</v>
      </c>
    </row>
    <row r="861" spans="1:4" x14ac:dyDescent="0.35">
      <c r="A861" t="s">
        <v>937</v>
      </c>
      <c r="B861">
        <v>1834</v>
      </c>
      <c r="C861" t="s">
        <v>1076</v>
      </c>
      <c r="D861">
        <v>200</v>
      </c>
    </row>
    <row r="862" spans="1:4" x14ac:dyDescent="0.35">
      <c r="A862" t="s">
        <v>938</v>
      </c>
      <c r="B862">
        <v>1834</v>
      </c>
      <c r="C862" t="s">
        <v>1079</v>
      </c>
      <c r="D862">
        <v>200</v>
      </c>
    </row>
    <row r="863" spans="1:4" x14ac:dyDescent="0.35">
      <c r="A863" t="s">
        <v>939</v>
      </c>
      <c r="B863">
        <v>1844</v>
      </c>
      <c r="C863" t="s">
        <v>1086</v>
      </c>
      <c r="D863">
        <v>50</v>
      </c>
    </row>
    <row r="864" spans="1:4" x14ac:dyDescent="0.35">
      <c r="A864" t="s">
        <v>940</v>
      </c>
      <c r="B864">
        <v>1844</v>
      </c>
      <c r="C864" t="s">
        <v>1087</v>
      </c>
      <c r="D864">
        <v>50</v>
      </c>
    </row>
    <row r="865" spans="1:4" x14ac:dyDescent="0.35">
      <c r="A865" t="s">
        <v>941</v>
      </c>
      <c r="B865">
        <v>1844</v>
      </c>
      <c r="C865" t="s">
        <v>1077</v>
      </c>
      <c r="D865">
        <v>50</v>
      </c>
    </row>
    <row r="866" spans="1:4" x14ac:dyDescent="0.35">
      <c r="A866" t="s">
        <v>942</v>
      </c>
      <c r="B866">
        <v>1844</v>
      </c>
      <c r="C866" t="s">
        <v>1078</v>
      </c>
      <c r="D866">
        <v>50</v>
      </c>
    </row>
    <row r="867" spans="1:4" x14ac:dyDescent="0.35">
      <c r="A867" t="s">
        <v>943</v>
      </c>
      <c r="B867">
        <v>1844</v>
      </c>
      <c r="C867" t="s">
        <v>1081</v>
      </c>
      <c r="D867">
        <v>50</v>
      </c>
    </row>
    <row r="868" spans="1:4" x14ac:dyDescent="0.35">
      <c r="A868" t="s">
        <v>944</v>
      </c>
      <c r="B868">
        <v>1844</v>
      </c>
      <c r="C868" t="s">
        <v>1084</v>
      </c>
      <c r="D868">
        <v>50</v>
      </c>
    </row>
    <row r="869" spans="1:4" x14ac:dyDescent="0.35">
      <c r="A869" t="s">
        <v>945</v>
      </c>
      <c r="B869">
        <v>1844</v>
      </c>
      <c r="C869" t="s">
        <v>1082</v>
      </c>
      <c r="D869">
        <v>50</v>
      </c>
    </row>
    <row r="870" spans="1:4" x14ac:dyDescent="0.35">
      <c r="A870" t="s">
        <v>946</v>
      </c>
      <c r="B870">
        <v>1844</v>
      </c>
      <c r="C870" t="s">
        <v>1083</v>
      </c>
      <c r="D870">
        <v>50</v>
      </c>
    </row>
    <row r="871" spans="1:4" x14ac:dyDescent="0.35">
      <c r="A871" t="s">
        <v>947</v>
      </c>
      <c r="B871">
        <v>1844</v>
      </c>
      <c r="C871" t="s">
        <v>1070</v>
      </c>
      <c r="D871">
        <v>50</v>
      </c>
    </row>
    <row r="872" spans="1:4" x14ac:dyDescent="0.35">
      <c r="A872" t="s">
        <v>948</v>
      </c>
      <c r="B872">
        <v>1844</v>
      </c>
      <c r="C872" t="s">
        <v>1071</v>
      </c>
      <c r="D872">
        <v>50</v>
      </c>
    </row>
    <row r="873" spans="1:4" x14ac:dyDescent="0.35">
      <c r="A873" t="s">
        <v>949</v>
      </c>
      <c r="B873">
        <v>1844</v>
      </c>
      <c r="C873" t="s">
        <v>1072</v>
      </c>
      <c r="D873">
        <v>50</v>
      </c>
    </row>
    <row r="874" spans="1:4" x14ac:dyDescent="0.35">
      <c r="A874" t="s">
        <v>950</v>
      </c>
      <c r="B874">
        <v>1844</v>
      </c>
      <c r="C874" t="s">
        <v>1073</v>
      </c>
      <c r="D874">
        <v>50</v>
      </c>
    </row>
    <row r="875" spans="1:4" x14ac:dyDescent="0.35">
      <c r="A875" t="s">
        <v>951</v>
      </c>
      <c r="B875">
        <v>1844</v>
      </c>
      <c r="C875" t="s">
        <v>1074</v>
      </c>
      <c r="D875">
        <v>50</v>
      </c>
    </row>
    <row r="876" spans="1:4" x14ac:dyDescent="0.35">
      <c r="A876" t="s">
        <v>952</v>
      </c>
      <c r="B876">
        <v>1844</v>
      </c>
      <c r="C876" t="s">
        <v>1075</v>
      </c>
      <c r="D876">
        <v>50</v>
      </c>
    </row>
    <row r="877" spans="1:4" x14ac:dyDescent="0.35">
      <c r="A877" t="s">
        <v>953</v>
      </c>
      <c r="B877">
        <v>1876</v>
      </c>
      <c r="C877" t="s">
        <v>1072</v>
      </c>
      <c r="D877">
        <v>50</v>
      </c>
    </row>
    <row r="878" spans="1:4" x14ac:dyDescent="0.35">
      <c r="A878" t="s">
        <v>954</v>
      </c>
      <c r="B878">
        <v>1876</v>
      </c>
      <c r="C878" t="s">
        <v>1073</v>
      </c>
      <c r="D878">
        <v>50</v>
      </c>
    </row>
    <row r="879" spans="1:4" x14ac:dyDescent="0.35">
      <c r="A879" t="s">
        <v>955</v>
      </c>
      <c r="B879">
        <v>1876</v>
      </c>
      <c r="C879" t="s">
        <v>1074</v>
      </c>
      <c r="D879">
        <v>50</v>
      </c>
    </row>
    <row r="880" spans="1:4" x14ac:dyDescent="0.35">
      <c r="A880" t="s">
        <v>956</v>
      </c>
      <c r="B880">
        <v>1876</v>
      </c>
      <c r="C880" t="s">
        <v>1075</v>
      </c>
      <c r="D880">
        <v>50</v>
      </c>
    </row>
    <row r="881" spans="1:4" x14ac:dyDescent="0.35">
      <c r="A881" t="s">
        <v>957</v>
      </c>
      <c r="B881">
        <v>1876</v>
      </c>
      <c r="C881" t="s">
        <v>1076</v>
      </c>
      <c r="D881">
        <v>50</v>
      </c>
    </row>
    <row r="882" spans="1:4" x14ac:dyDescent="0.35">
      <c r="A882" t="s">
        <v>958</v>
      </c>
      <c r="B882">
        <v>1876</v>
      </c>
      <c r="C882" t="s">
        <v>1079</v>
      </c>
      <c r="D882">
        <v>50</v>
      </c>
    </row>
    <row r="883" spans="1:4" x14ac:dyDescent="0.35">
      <c r="A883" t="s">
        <v>959</v>
      </c>
      <c r="B883">
        <v>1883</v>
      </c>
      <c r="C883" t="s">
        <v>1074</v>
      </c>
      <c r="D883">
        <v>50</v>
      </c>
    </row>
    <row r="884" spans="1:4" x14ac:dyDescent="0.35">
      <c r="A884" t="s">
        <v>960</v>
      </c>
      <c r="B884">
        <v>1883</v>
      </c>
      <c r="C884" t="s">
        <v>1075</v>
      </c>
      <c r="D884">
        <v>50</v>
      </c>
    </row>
    <row r="885" spans="1:4" x14ac:dyDescent="0.35">
      <c r="A885" t="s">
        <v>961</v>
      </c>
      <c r="B885">
        <v>1889</v>
      </c>
      <c r="C885" t="s">
        <v>1085</v>
      </c>
      <c r="D885">
        <v>50</v>
      </c>
    </row>
    <row r="886" spans="1:4" x14ac:dyDescent="0.35">
      <c r="A886" t="s">
        <v>962</v>
      </c>
      <c r="B886">
        <v>1889</v>
      </c>
      <c r="C886" t="s">
        <v>1086</v>
      </c>
      <c r="D886">
        <v>50</v>
      </c>
    </row>
    <row r="887" spans="1:4" x14ac:dyDescent="0.35">
      <c r="A887" t="s">
        <v>963</v>
      </c>
      <c r="B887">
        <v>1889</v>
      </c>
      <c r="C887" t="s">
        <v>1087</v>
      </c>
      <c r="D887">
        <v>50</v>
      </c>
    </row>
    <row r="888" spans="1:4" x14ac:dyDescent="0.35">
      <c r="A888" t="s">
        <v>964</v>
      </c>
      <c r="B888">
        <v>1889</v>
      </c>
      <c r="C888" t="s">
        <v>1077</v>
      </c>
      <c r="D888">
        <v>50</v>
      </c>
    </row>
    <row r="889" spans="1:4" x14ac:dyDescent="0.35">
      <c r="A889" t="s">
        <v>965</v>
      </c>
      <c r="B889">
        <v>1889</v>
      </c>
      <c r="C889" t="s">
        <v>1078</v>
      </c>
      <c r="D889">
        <v>50</v>
      </c>
    </row>
    <row r="890" spans="1:4" x14ac:dyDescent="0.35">
      <c r="A890" t="s">
        <v>966</v>
      </c>
      <c r="B890">
        <v>1889</v>
      </c>
      <c r="C890" t="s">
        <v>1081</v>
      </c>
      <c r="D890">
        <v>50</v>
      </c>
    </row>
    <row r="891" spans="1:4" x14ac:dyDescent="0.35">
      <c r="A891" t="s">
        <v>967</v>
      </c>
      <c r="B891">
        <v>1889</v>
      </c>
      <c r="C891" t="s">
        <v>1084</v>
      </c>
      <c r="D891">
        <v>50</v>
      </c>
    </row>
    <row r="892" spans="1:4" x14ac:dyDescent="0.35">
      <c r="A892" t="s">
        <v>968</v>
      </c>
      <c r="B892">
        <v>1889</v>
      </c>
      <c r="C892" t="s">
        <v>1082</v>
      </c>
      <c r="D892">
        <v>50</v>
      </c>
    </row>
    <row r="893" spans="1:4" x14ac:dyDescent="0.35">
      <c r="A893" t="s">
        <v>969</v>
      </c>
      <c r="B893">
        <v>1889</v>
      </c>
      <c r="C893" t="s">
        <v>1083</v>
      </c>
      <c r="D893">
        <v>50</v>
      </c>
    </row>
    <row r="894" spans="1:4" x14ac:dyDescent="0.35">
      <c r="A894" t="s">
        <v>970</v>
      </c>
      <c r="B894">
        <v>1889</v>
      </c>
      <c r="C894" t="s">
        <v>1070</v>
      </c>
      <c r="D894">
        <v>50</v>
      </c>
    </row>
    <row r="895" spans="1:4" x14ac:dyDescent="0.35">
      <c r="A895" t="s">
        <v>971</v>
      </c>
      <c r="B895">
        <v>1896</v>
      </c>
      <c r="C895" t="s">
        <v>1075</v>
      </c>
      <c r="D895">
        <v>50</v>
      </c>
    </row>
    <row r="896" spans="1:4" x14ac:dyDescent="0.35">
      <c r="A896" t="s">
        <v>972</v>
      </c>
      <c r="B896">
        <v>1896</v>
      </c>
      <c r="C896" t="s">
        <v>1076</v>
      </c>
      <c r="D896">
        <v>50</v>
      </c>
    </row>
    <row r="897" spans="1:4" x14ac:dyDescent="0.35">
      <c r="A897" t="s">
        <v>973</v>
      </c>
      <c r="B897">
        <v>1896</v>
      </c>
      <c r="C897" t="s">
        <v>1079</v>
      </c>
      <c r="D897">
        <v>50</v>
      </c>
    </row>
    <row r="898" spans="1:4" x14ac:dyDescent="0.35">
      <c r="A898" t="s">
        <v>974</v>
      </c>
      <c r="B898">
        <v>1896</v>
      </c>
      <c r="C898" t="s">
        <v>1080</v>
      </c>
      <c r="D898">
        <v>50</v>
      </c>
    </row>
    <row r="899" spans="1:4" x14ac:dyDescent="0.35">
      <c r="A899" t="s">
        <v>975</v>
      </c>
      <c r="B899">
        <v>1899</v>
      </c>
      <c r="C899" t="s">
        <v>1085</v>
      </c>
      <c r="D899">
        <v>200</v>
      </c>
    </row>
    <row r="900" spans="1:4" x14ac:dyDescent="0.35">
      <c r="A900" t="s">
        <v>976</v>
      </c>
      <c r="B900">
        <v>1899</v>
      </c>
      <c r="C900" t="s">
        <v>1086</v>
      </c>
      <c r="D900">
        <v>200</v>
      </c>
    </row>
    <row r="901" spans="1:4" x14ac:dyDescent="0.35">
      <c r="A901" t="s">
        <v>977</v>
      </c>
      <c r="B901">
        <v>1899</v>
      </c>
      <c r="C901" t="s">
        <v>1087</v>
      </c>
      <c r="D901">
        <v>200</v>
      </c>
    </row>
    <row r="902" spans="1:4" x14ac:dyDescent="0.35">
      <c r="A902" t="s">
        <v>978</v>
      </c>
      <c r="B902">
        <v>1899</v>
      </c>
      <c r="C902" t="s">
        <v>1077</v>
      </c>
      <c r="D902">
        <v>200</v>
      </c>
    </row>
    <row r="903" spans="1:4" x14ac:dyDescent="0.35">
      <c r="A903" t="s">
        <v>979</v>
      </c>
      <c r="B903">
        <v>1899</v>
      </c>
      <c r="C903" t="s">
        <v>1078</v>
      </c>
      <c r="D903">
        <v>200</v>
      </c>
    </row>
    <row r="904" spans="1:4" x14ac:dyDescent="0.35">
      <c r="A904" t="s">
        <v>980</v>
      </c>
      <c r="B904">
        <v>1899</v>
      </c>
      <c r="C904" t="s">
        <v>1081</v>
      </c>
      <c r="D904">
        <v>200</v>
      </c>
    </row>
    <row r="905" spans="1:4" x14ac:dyDescent="0.35">
      <c r="A905" t="s">
        <v>981</v>
      </c>
      <c r="B905">
        <v>1899</v>
      </c>
      <c r="C905" t="s">
        <v>1084</v>
      </c>
      <c r="D905">
        <v>200</v>
      </c>
    </row>
    <row r="906" spans="1:4" x14ac:dyDescent="0.35">
      <c r="A906" t="s">
        <v>982</v>
      </c>
      <c r="B906">
        <v>1899</v>
      </c>
      <c r="C906" t="s">
        <v>1082</v>
      </c>
      <c r="D906">
        <v>200</v>
      </c>
    </row>
    <row r="907" spans="1:4" x14ac:dyDescent="0.35">
      <c r="A907" t="s">
        <v>983</v>
      </c>
      <c r="B907">
        <v>1899</v>
      </c>
      <c r="C907" t="s">
        <v>1083</v>
      </c>
      <c r="D907">
        <v>200</v>
      </c>
    </row>
    <row r="908" spans="1:4" x14ac:dyDescent="0.35">
      <c r="A908" t="s">
        <v>984</v>
      </c>
      <c r="B908">
        <v>1899</v>
      </c>
      <c r="C908" t="s">
        <v>1070</v>
      </c>
      <c r="D908">
        <v>200</v>
      </c>
    </row>
    <row r="909" spans="1:4" x14ac:dyDescent="0.35">
      <c r="A909" t="s">
        <v>985</v>
      </c>
      <c r="B909">
        <v>1899</v>
      </c>
      <c r="C909" t="s">
        <v>1071</v>
      </c>
      <c r="D909">
        <v>200</v>
      </c>
    </row>
    <row r="910" spans="1:4" x14ac:dyDescent="0.35">
      <c r="A910" t="s">
        <v>986</v>
      </c>
      <c r="B910">
        <v>1899</v>
      </c>
      <c r="C910" t="s">
        <v>1072</v>
      </c>
      <c r="D910">
        <v>200</v>
      </c>
    </row>
    <row r="911" spans="1:4" x14ac:dyDescent="0.35">
      <c r="A911" t="s">
        <v>987</v>
      </c>
      <c r="B911">
        <v>1900</v>
      </c>
      <c r="C911" t="s">
        <v>1075</v>
      </c>
      <c r="D911">
        <v>50</v>
      </c>
    </row>
    <row r="912" spans="1:4" x14ac:dyDescent="0.35">
      <c r="A912" t="s">
        <v>988</v>
      </c>
      <c r="B912">
        <v>1900</v>
      </c>
      <c r="C912" t="s">
        <v>1076</v>
      </c>
      <c r="D912">
        <v>50</v>
      </c>
    </row>
    <row r="913" spans="1:4" x14ac:dyDescent="0.35">
      <c r="A913" t="s">
        <v>989</v>
      </c>
      <c r="B913">
        <v>1918</v>
      </c>
      <c r="C913" t="s">
        <v>1081</v>
      </c>
      <c r="D913">
        <v>200</v>
      </c>
    </row>
    <row r="914" spans="1:4" x14ac:dyDescent="0.35">
      <c r="A914" t="s">
        <v>990</v>
      </c>
      <c r="B914">
        <v>1918</v>
      </c>
      <c r="C914" t="s">
        <v>1084</v>
      </c>
      <c r="D914">
        <v>200</v>
      </c>
    </row>
    <row r="915" spans="1:4" x14ac:dyDescent="0.35">
      <c r="A915" t="s">
        <v>991</v>
      </c>
      <c r="B915">
        <v>1918</v>
      </c>
      <c r="C915" t="s">
        <v>1082</v>
      </c>
      <c r="D915">
        <v>200</v>
      </c>
    </row>
    <row r="916" spans="1:4" x14ac:dyDescent="0.35">
      <c r="A916" t="s">
        <v>992</v>
      </c>
      <c r="B916">
        <v>1918</v>
      </c>
      <c r="C916" t="s">
        <v>1083</v>
      </c>
      <c r="D916">
        <v>200</v>
      </c>
    </row>
    <row r="917" spans="1:4" x14ac:dyDescent="0.35">
      <c r="A917" t="s">
        <v>993</v>
      </c>
      <c r="B917">
        <v>1918</v>
      </c>
      <c r="C917" t="s">
        <v>1070</v>
      </c>
      <c r="D917">
        <v>200</v>
      </c>
    </row>
    <row r="918" spans="1:4" x14ac:dyDescent="0.35">
      <c r="A918" t="s">
        <v>994</v>
      </c>
      <c r="B918">
        <v>1918</v>
      </c>
      <c r="C918" t="s">
        <v>1071</v>
      </c>
      <c r="D918">
        <v>200</v>
      </c>
    </row>
    <row r="919" spans="1:4" x14ac:dyDescent="0.35">
      <c r="A919" t="s">
        <v>995</v>
      </c>
      <c r="B919">
        <v>1924</v>
      </c>
      <c r="C919" t="s">
        <v>1070</v>
      </c>
      <c r="D919">
        <v>50</v>
      </c>
    </row>
    <row r="920" spans="1:4" x14ac:dyDescent="0.35">
      <c r="A920" t="s">
        <v>996</v>
      </c>
      <c r="B920">
        <v>1924</v>
      </c>
      <c r="C920" t="s">
        <v>1071</v>
      </c>
      <c r="D920">
        <v>50</v>
      </c>
    </row>
    <row r="921" spans="1:4" x14ac:dyDescent="0.35">
      <c r="A921" t="s">
        <v>997</v>
      </c>
      <c r="B921">
        <v>1924</v>
      </c>
      <c r="C921" t="s">
        <v>1072</v>
      </c>
      <c r="D921">
        <v>50</v>
      </c>
    </row>
    <row r="922" spans="1:4" x14ac:dyDescent="0.35">
      <c r="A922" t="s">
        <v>998</v>
      </c>
      <c r="B922">
        <v>1924</v>
      </c>
      <c r="C922" t="s">
        <v>1073</v>
      </c>
      <c r="D922">
        <v>50</v>
      </c>
    </row>
    <row r="923" spans="1:4" x14ac:dyDescent="0.35">
      <c r="A923" t="s">
        <v>999</v>
      </c>
      <c r="B923">
        <v>1924</v>
      </c>
      <c r="C923" t="s">
        <v>1074</v>
      </c>
      <c r="D923">
        <v>50</v>
      </c>
    </row>
    <row r="924" spans="1:4" x14ac:dyDescent="0.35">
      <c r="A924" t="s">
        <v>1000</v>
      </c>
      <c r="B924">
        <v>1924</v>
      </c>
      <c r="C924" t="s">
        <v>1075</v>
      </c>
      <c r="D924">
        <v>50</v>
      </c>
    </row>
    <row r="925" spans="1:4" x14ac:dyDescent="0.35">
      <c r="A925" t="s">
        <v>1001</v>
      </c>
      <c r="B925">
        <v>1924</v>
      </c>
      <c r="C925" t="s">
        <v>1076</v>
      </c>
      <c r="D925">
        <v>50</v>
      </c>
    </row>
    <row r="926" spans="1:4" x14ac:dyDescent="0.35">
      <c r="A926" t="s">
        <v>1002</v>
      </c>
      <c r="B926">
        <v>1924</v>
      </c>
      <c r="C926" t="s">
        <v>1079</v>
      </c>
      <c r="D926">
        <v>50</v>
      </c>
    </row>
    <row r="927" spans="1:4" x14ac:dyDescent="0.35">
      <c r="A927" t="s">
        <v>1003</v>
      </c>
      <c r="B927">
        <v>1929</v>
      </c>
      <c r="C927" t="s">
        <v>1083</v>
      </c>
      <c r="D927">
        <v>500</v>
      </c>
    </row>
    <row r="928" spans="1:4" x14ac:dyDescent="0.35">
      <c r="A928" t="s">
        <v>1004</v>
      </c>
      <c r="B928">
        <v>1929</v>
      </c>
      <c r="C928" t="s">
        <v>1070</v>
      </c>
      <c r="D928">
        <v>500</v>
      </c>
    </row>
    <row r="929" spans="1:4" x14ac:dyDescent="0.35">
      <c r="A929" t="s">
        <v>1005</v>
      </c>
      <c r="B929">
        <v>1929</v>
      </c>
      <c r="C929" t="s">
        <v>1071</v>
      </c>
      <c r="D929">
        <v>500</v>
      </c>
    </row>
    <row r="930" spans="1:4" x14ac:dyDescent="0.35">
      <c r="A930" t="s">
        <v>1006</v>
      </c>
      <c r="B930">
        <v>1951</v>
      </c>
      <c r="C930" t="s">
        <v>1078</v>
      </c>
      <c r="D930">
        <v>50</v>
      </c>
    </row>
    <row r="931" spans="1:4" x14ac:dyDescent="0.35">
      <c r="A931" t="s">
        <v>1007</v>
      </c>
      <c r="B931">
        <v>1951</v>
      </c>
      <c r="C931" t="s">
        <v>1081</v>
      </c>
      <c r="D931">
        <v>50</v>
      </c>
    </row>
    <row r="932" spans="1:4" x14ac:dyDescent="0.35">
      <c r="A932" t="s">
        <v>1008</v>
      </c>
      <c r="B932">
        <v>1951</v>
      </c>
      <c r="C932" t="s">
        <v>1084</v>
      </c>
      <c r="D932">
        <v>50</v>
      </c>
    </row>
    <row r="933" spans="1:4" x14ac:dyDescent="0.35">
      <c r="A933" t="s">
        <v>1009</v>
      </c>
      <c r="B933">
        <v>1951</v>
      </c>
      <c r="C933" t="s">
        <v>1082</v>
      </c>
      <c r="D933">
        <v>50</v>
      </c>
    </row>
    <row r="934" spans="1:4" x14ac:dyDescent="0.35">
      <c r="A934" t="s">
        <v>1010</v>
      </c>
      <c r="B934">
        <v>1951</v>
      </c>
      <c r="C934" t="s">
        <v>1083</v>
      </c>
      <c r="D934">
        <v>50</v>
      </c>
    </row>
    <row r="935" spans="1:4" x14ac:dyDescent="0.35">
      <c r="A935" t="s">
        <v>1011</v>
      </c>
      <c r="B935">
        <v>1951</v>
      </c>
      <c r="C935" t="s">
        <v>1070</v>
      </c>
      <c r="D935">
        <v>50</v>
      </c>
    </row>
    <row r="936" spans="1:4" x14ac:dyDescent="0.35">
      <c r="A936" t="s">
        <v>1012</v>
      </c>
      <c r="B936">
        <v>1953</v>
      </c>
      <c r="C936" t="s">
        <v>1080</v>
      </c>
      <c r="D936">
        <v>50</v>
      </c>
    </row>
    <row r="937" spans="1:4" x14ac:dyDescent="0.35">
      <c r="A937" t="s">
        <v>1013</v>
      </c>
      <c r="B937">
        <v>1965</v>
      </c>
      <c r="C937" t="s">
        <v>1085</v>
      </c>
      <c r="D937">
        <v>50</v>
      </c>
    </row>
    <row r="938" spans="1:4" x14ac:dyDescent="0.35">
      <c r="A938" t="s">
        <v>1014</v>
      </c>
      <c r="B938">
        <v>1965</v>
      </c>
      <c r="C938" t="s">
        <v>1086</v>
      </c>
      <c r="D938">
        <v>50</v>
      </c>
    </row>
    <row r="939" spans="1:4" x14ac:dyDescent="0.35">
      <c r="A939" t="s">
        <v>1015</v>
      </c>
      <c r="B939">
        <v>1965</v>
      </c>
      <c r="C939" t="s">
        <v>1087</v>
      </c>
      <c r="D939">
        <v>50</v>
      </c>
    </row>
    <row r="940" spans="1:4" x14ac:dyDescent="0.35">
      <c r="A940" t="s">
        <v>1016</v>
      </c>
      <c r="B940">
        <v>1965</v>
      </c>
      <c r="C940" t="s">
        <v>1077</v>
      </c>
      <c r="D940">
        <v>50</v>
      </c>
    </row>
    <row r="941" spans="1:4" x14ac:dyDescent="0.35">
      <c r="A941" t="s">
        <v>1017</v>
      </c>
      <c r="B941">
        <v>1965</v>
      </c>
      <c r="C941" t="s">
        <v>1078</v>
      </c>
      <c r="D941">
        <v>50</v>
      </c>
    </row>
    <row r="942" spans="1:4" x14ac:dyDescent="0.35">
      <c r="A942" t="s">
        <v>1018</v>
      </c>
      <c r="B942">
        <v>1965</v>
      </c>
      <c r="C942" t="s">
        <v>1081</v>
      </c>
      <c r="D942">
        <v>50</v>
      </c>
    </row>
    <row r="943" spans="1:4" x14ac:dyDescent="0.35">
      <c r="A943" t="s">
        <v>1019</v>
      </c>
      <c r="B943">
        <v>1965</v>
      </c>
      <c r="C943" t="s">
        <v>1084</v>
      </c>
      <c r="D943">
        <v>50</v>
      </c>
    </row>
    <row r="944" spans="1:4" x14ac:dyDescent="0.35">
      <c r="A944" t="s">
        <v>1020</v>
      </c>
      <c r="B944">
        <v>1965</v>
      </c>
      <c r="C944" t="s">
        <v>1082</v>
      </c>
      <c r="D944">
        <v>50</v>
      </c>
    </row>
    <row r="945" spans="1:4" x14ac:dyDescent="0.35">
      <c r="A945" t="s">
        <v>1021</v>
      </c>
      <c r="B945">
        <v>1965</v>
      </c>
      <c r="C945" t="s">
        <v>1083</v>
      </c>
      <c r="D945">
        <v>50</v>
      </c>
    </row>
    <row r="946" spans="1:4" x14ac:dyDescent="0.35">
      <c r="A946" t="s">
        <v>1022</v>
      </c>
      <c r="B946">
        <v>1965</v>
      </c>
      <c r="C946" t="s">
        <v>1070</v>
      </c>
      <c r="D946">
        <v>50</v>
      </c>
    </row>
    <row r="947" spans="1:4" x14ac:dyDescent="0.35">
      <c r="A947" t="s">
        <v>1023</v>
      </c>
      <c r="B947">
        <v>1965</v>
      </c>
      <c r="C947" t="s">
        <v>1071</v>
      </c>
      <c r="D947">
        <v>50</v>
      </c>
    </row>
    <row r="948" spans="1:4" x14ac:dyDescent="0.35">
      <c r="A948" t="s">
        <v>1024</v>
      </c>
      <c r="B948">
        <v>1965</v>
      </c>
      <c r="C948" t="s">
        <v>1072</v>
      </c>
      <c r="D948">
        <v>50</v>
      </c>
    </row>
    <row r="949" spans="1:4" x14ac:dyDescent="0.35">
      <c r="A949" t="s">
        <v>1025</v>
      </c>
      <c r="B949">
        <v>1965</v>
      </c>
      <c r="C949" t="s">
        <v>1073</v>
      </c>
      <c r="D949">
        <v>50</v>
      </c>
    </row>
    <row r="950" spans="1:4" x14ac:dyDescent="0.35">
      <c r="A950" t="s">
        <v>1026</v>
      </c>
      <c r="B950">
        <v>1965</v>
      </c>
      <c r="C950" t="s">
        <v>1074</v>
      </c>
      <c r="D950">
        <v>50</v>
      </c>
    </row>
    <row r="951" spans="1:4" x14ac:dyDescent="0.35">
      <c r="A951" t="s">
        <v>1027</v>
      </c>
      <c r="B951">
        <v>1965</v>
      </c>
      <c r="C951" t="s">
        <v>1075</v>
      </c>
      <c r="D951">
        <v>50</v>
      </c>
    </row>
    <row r="952" spans="1:4" x14ac:dyDescent="0.35">
      <c r="A952" t="s">
        <v>1028</v>
      </c>
      <c r="B952">
        <v>1965</v>
      </c>
      <c r="C952" t="s">
        <v>1076</v>
      </c>
      <c r="D952">
        <v>50</v>
      </c>
    </row>
    <row r="953" spans="1:4" x14ac:dyDescent="0.35">
      <c r="A953" t="s">
        <v>1029</v>
      </c>
      <c r="B953">
        <v>1965</v>
      </c>
      <c r="C953" t="s">
        <v>1079</v>
      </c>
      <c r="D953">
        <v>50</v>
      </c>
    </row>
    <row r="954" spans="1:4" x14ac:dyDescent="0.35">
      <c r="A954" t="s">
        <v>1030</v>
      </c>
      <c r="B954">
        <v>1970</v>
      </c>
      <c r="C954" t="s">
        <v>1072</v>
      </c>
      <c r="D954">
        <v>200</v>
      </c>
    </row>
    <row r="955" spans="1:4" x14ac:dyDescent="0.35">
      <c r="A955" t="s">
        <v>1031</v>
      </c>
      <c r="B955">
        <v>1970</v>
      </c>
      <c r="C955" t="s">
        <v>1073</v>
      </c>
      <c r="D955">
        <v>200</v>
      </c>
    </row>
    <row r="956" spans="1:4" x14ac:dyDescent="0.35">
      <c r="A956" t="s">
        <v>1032</v>
      </c>
      <c r="B956">
        <v>1970</v>
      </c>
      <c r="C956" t="s">
        <v>1074</v>
      </c>
      <c r="D956">
        <v>200</v>
      </c>
    </row>
    <row r="957" spans="1:4" x14ac:dyDescent="0.35">
      <c r="A957" t="s">
        <v>1033</v>
      </c>
      <c r="B957">
        <v>1970</v>
      </c>
      <c r="C957" t="s">
        <v>1075</v>
      </c>
      <c r="D957">
        <v>200</v>
      </c>
    </row>
    <row r="958" spans="1:4" x14ac:dyDescent="0.35">
      <c r="A958" t="s">
        <v>1034</v>
      </c>
      <c r="B958">
        <v>1970</v>
      </c>
      <c r="C958" t="s">
        <v>1076</v>
      </c>
      <c r="D958">
        <v>200</v>
      </c>
    </row>
    <row r="959" spans="1:4" x14ac:dyDescent="0.35">
      <c r="A959" t="s">
        <v>1035</v>
      </c>
      <c r="B959">
        <v>1970</v>
      </c>
      <c r="C959" t="s">
        <v>1079</v>
      </c>
      <c r="D959">
        <v>200</v>
      </c>
    </row>
    <row r="960" spans="1:4" x14ac:dyDescent="0.35">
      <c r="A960" t="s">
        <v>1036</v>
      </c>
      <c r="B960">
        <v>1970</v>
      </c>
      <c r="C960" t="s">
        <v>1080</v>
      </c>
      <c r="D960">
        <v>200</v>
      </c>
    </row>
    <row r="961" spans="1:4" x14ac:dyDescent="0.35">
      <c r="A961" t="s">
        <v>1037</v>
      </c>
      <c r="B961">
        <v>1975</v>
      </c>
      <c r="C961" t="s">
        <v>1086</v>
      </c>
      <c r="D961">
        <v>50</v>
      </c>
    </row>
    <row r="962" spans="1:4" x14ac:dyDescent="0.35">
      <c r="A962" t="s">
        <v>1038</v>
      </c>
      <c r="B962">
        <v>1975</v>
      </c>
      <c r="C962" t="s">
        <v>1087</v>
      </c>
      <c r="D962">
        <v>50</v>
      </c>
    </row>
    <row r="963" spans="1:4" x14ac:dyDescent="0.35">
      <c r="A963" t="s">
        <v>1039</v>
      </c>
      <c r="B963">
        <v>1975</v>
      </c>
      <c r="C963" t="s">
        <v>1077</v>
      </c>
      <c r="D963">
        <v>50</v>
      </c>
    </row>
    <row r="964" spans="1:4" x14ac:dyDescent="0.35">
      <c r="A964" t="s">
        <v>1040</v>
      </c>
      <c r="B964">
        <v>1975</v>
      </c>
      <c r="C964" t="s">
        <v>1078</v>
      </c>
      <c r="D964">
        <v>50</v>
      </c>
    </row>
    <row r="965" spans="1:4" x14ac:dyDescent="0.35">
      <c r="A965" t="s">
        <v>1041</v>
      </c>
      <c r="B965">
        <v>1975</v>
      </c>
      <c r="C965" t="s">
        <v>1081</v>
      </c>
      <c r="D965">
        <v>50</v>
      </c>
    </row>
    <row r="966" spans="1:4" x14ac:dyDescent="0.35">
      <c r="A966" t="s">
        <v>1042</v>
      </c>
      <c r="B966">
        <v>1982</v>
      </c>
      <c r="C966" t="s">
        <v>1081</v>
      </c>
      <c r="D966">
        <v>50</v>
      </c>
    </row>
    <row r="967" spans="1:4" x14ac:dyDescent="0.35">
      <c r="A967" t="s">
        <v>1043</v>
      </c>
      <c r="B967">
        <v>1982</v>
      </c>
      <c r="C967" t="s">
        <v>1084</v>
      </c>
      <c r="D967">
        <v>50</v>
      </c>
    </row>
    <row r="968" spans="1:4" x14ac:dyDescent="0.35">
      <c r="A968" t="s">
        <v>1044</v>
      </c>
      <c r="B968">
        <v>1982</v>
      </c>
      <c r="C968" t="s">
        <v>1082</v>
      </c>
      <c r="D968">
        <v>50</v>
      </c>
    </row>
    <row r="969" spans="1:4" x14ac:dyDescent="0.35">
      <c r="A969" t="s">
        <v>1045</v>
      </c>
      <c r="B969">
        <v>1982</v>
      </c>
      <c r="C969" t="s">
        <v>1083</v>
      </c>
      <c r="D969">
        <v>50</v>
      </c>
    </row>
    <row r="970" spans="1:4" x14ac:dyDescent="0.35">
      <c r="A970" t="s">
        <v>1046</v>
      </c>
      <c r="B970">
        <v>1982</v>
      </c>
      <c r="C970" t="s">
        <v>1070</v>
      </c>
      <c r="D970">
        <v>50</v>
      </c>
    </row>
    <row r="971" spans="1:4" x14ac:dyDescent="0.35">
      <c r="A971" t="s">
        <v>1047</v>
      </c>
      <c r="B971">
        <v>1982</v>
      </c>
      <c r="C971" t="s">
        <v>1071</v>
      </c>
      <c r="D971">
        <v>50</v>
      </c>
    </row>
    <row r="972" spans="1:4" x14ac:dyDescent="0.35">
      <c r="A972" t="s">
        <v>1048</v>
      </c>
      <c r="B972">
        <v>1982</v>
      </c>
      <c r="C972" t="s">
        <v>1072</v>
      </c>
      <c r="D972">
        <v>50</v>
      </c>
    </row>
    <row r="973" spans="1:4" x14ac:dyDescent="0.35">
      <c r="A973" t="s">
        <v>1049</v>
      </c>
      <c r="B973">
        <v>1982</v>
      </c>
      <c r="C973" t="s">
        <v>1073</v>
      </c>
      <c r="D973">
        <v>50</v>
      </c>
    </row>
    <row r="974" spans="1:4" x14ac:dyDescent="0.35">
      <c r="A974" t="s">
        <v>1050</v>
      </c>
      <c r="B974">
        <v>1982</v>
      </c>
      <c r="C974" t="s">
        <v>1074</v>
      </c>
      <c r="D974">
        <v>50</v>
      </c>
    </row>
    <row r="975" spans="1:4" x14ac:dyDescent="0.35">
      <c r="A975" t="s">
        <v>1051</v>
      </c>
      <c r="B975">
        <v>1982</v>
      </c>
      <c r="C975" t="s">
        <v>1075</v>
      </c>
      <c r="D975">
        <v>50</v>
      </c>
    </row>
    <row r="976" spans="1:4" x14ac:dyDescent="0.35">
      <c r="A976" t="s">
        <v>1052</v>
      </c>
      <c r="B976">
        <v>1982</v>
      </c>
      <c r="C976" t="s">
        <v>1076</v>
      </c>
      <c r="D976">
        <v>50</v>
      </c>
    </row>
    <row r="977" spans="1:4" x14ac:dyDescent="0.35">
      <c r="A977" t="s">
        <v>1053</v>
      </c>
      <c r="B977">
        <v>1982</v>
      </c>
      <c r="C977" t="s">
        <v>1079</v>
      </c>
      <c r="D977">
        <v>50</v>
      </c>
    </row>
    <row r="978" spans="1:4" x14ac:dyDescent="0.35">
      <c r="A978" t="s">
        <v>1054</v>
      </c>
      <c r="B978">
        <v>1986</v>
      </c>
      <c r="C978" t="s">
        <v>1081</v>
      </c>
      <c r="D978">
        <v>500</v>
      </c>
    </row>
    <row r="979" spans="1:4" x14ac:dyDescent="0.35">
      <c r="A979" t="s">
        <v>1055</v>
      </c>
      <c r="B979">
        <v>1986</v>
      </c>
      <c r="C979" t="s">
        <v>1084</v>
      </c>
      <c r="D979">
        <v>500</v>
      </c>
    </row>
    <row r="980" spans="1:4" x14ac:dyDescent="0.35">
      <c r="A980" t="s">
        <v>1056</v>
      </c>
      <c r="B980">
        <v>1986</v>
      </c>
      <c r="C980" t="s">
        <v>1082</v>
      </c>
      <c r="D980">
        <v>500</v>
      </c>
    </row>
    <row r="981" spans="1:4" x14ac:dyDescent="0.35">
      <c r="A981" t="s">
        <v>1057</v>
      </c>
      <c r="B981">
        <v>1986</v>
      </c>
      <c r="C981" t="s">
        <v>1083</v>
      </c>
      <c r="D981">
        <v>500</v>
      </c>
    </row>
    <row r="982" spans="1:4" x14ac:dyDescent="0.35">
      <c r="A982" t="s">
        <v>1058</v>
      </c>
      <c r="B982">
        <v>1986</v>
      </c>
      <c r="C982" t="s">
        <v>1070</v>
      </c>
      <c r="D982">
        <v>500</v>
      </c>
    </row>
    <row r="983" spans="1:4" x14ac:dyDescent="0.35">
      <c r="A983" t="s">
        <v>1059</v>
      </c>
      <c r="B983">
        <v>1988</v>
      </c>
      <c r="C983" t="s">
        <v>1071</v>
      </c>
      <c r="D983">
        <v>500</v>
      </c>
    </row>
    <row r="984" spans="1:4" x14ac:dyDescent="0.35">
      <c r="A984" t="s">
        <v>1060</v>
      </c>
      <c r="B984">
        <v>1988</v>
      </c>
      <c r="C984" t="s">
        <v>1072</v>
      </c>
      <c r="D984">
        <v>500</v>
      </c>
    </row>
    <row r="985" spans="1:4" x14ac:dyDescent="0.35">
      <c r="A985" t="s">
        <v>1061</v>
      </c>
      <c r="B985">
        <v>1988</v>
      </c>
      <c r="C985" t="s">
        <v>1073</v>
      </c>
      <c r="D985">
        <v>500</v>
      </c>
    </row>
    <row r="986" spans="1:4" x14ac:dyDescent="0.35">
      <c r="A986" t="s">
        <v>1062</v>
      </c>
      <c r="B986">
        <v>1988</v>
      </c>
      <c r="C986" t="s">
        <v>1074</v>
      </c>
      <c r="D986">
        <v>500</v>
      </c>
    </row>
    <row r="987" spans="1:4" x14ac:dyDescent="0.35">
      <c r="A987" t="s">
        <v>1063</v>
      </c>
      <c r="B987">
        <v>1988</v>
      </c>
      <c r="C987" t="s">
        <v>1075</v>
      </c>
      <c r="D987">
        <v>500</v>
      </c>
    </row>
    <row r="988" spans="1:4" x14ac:dyDescent="0.35">
      <c r="A988" t="s">
        <v>1064</v>
      </c>
      <c r="B988">
        <v>1999</v>
      </c>
      <c r="C988" t="s">
        <v>1076</v>
      </c>
      <c r="D988">
        <v>500</v>
      </c>
    </row>
    <row r="989" spans="1:4" x14ac:dyDescent="0.35">
      <c r="A989" t="s">
        <v>1065</v>
      </c>
      <c r="B989">
        <v>1999</v>
      </c>
      <c r="C989" t="s">
        <v>1079</v>
      </c>
      <c r="D989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D6F3-13AE-43D9-A6FC-4C95460FB4D7}">
  <dimension ref="A1:F989"/>
  <sheetViews>
    <sheetView topLeftCell="A13" zoomScale="74" workbookViewId="0">
      <selection activeCell="E23" sqref="E23"/>
    </sheetView>
  </sheetViews>
  <sheetFormatPr defaultRowHeight="14.5" x14ac:dyDescent="0.35"/>
  <cols>
    <col min="1" max="1" width="13.26953125" customWidth="1"/>
    <col min="4" max="4" width="10.54296875" bestFit="1" customWidth="1"/>
    <col min="5" max="5" width="15" customWidth="1"/>
    <col min="6" max="6" width="11" customWidth="1"/>
  </cols>
  <sheetData>
    <row r="1" spans="1:6" x14ac:dyDescent="0.35">
      <c r="A1" t="s">
        <v>1066</v>
      </c>
      <c r="B1" t="s">
        <v>66</v>
      </c>
      <c r="C1" t="s">
        <v>1069</v>
      </c>
      <c r="D1" t="s">
        <v>69</v>
      </c>
      <c r="E1" t="s">
        <v>1067</v>
      </c>
      <c r="F1" t="s">
        <v>1068</v>
      </c>
    </row>
    <row r="2" spans="1:6" x14ac:dyDescent="0.35">
      <c r="A2" t="s">
        <v>78</v>
      </c>
      <c r="B2">
        <v>1020</v>
      </c>
      <c r="C2" t="s">
        <v>1070</v>
      </c>
      <c r="D2">
        <v>200</v>
      </c>
      <c r="E2" t="s">
        <v>12</v>
      </c>
      <c r="F2">
        <v>200</v>
      </c>
    </row>
    <row r="3" spans="1:6" x14ac:dyDescent="0.35">
      <c r="A3" t="s">
        <v>79</v>
      </c>
      <c r="B3">
        <v>1020</v>
      </c>
      <c r="C3" t="s">
        <v>1071</v>
      </c>
      <c r="D3">
        <v>200</v>
      </c>
      <c r="E3" t="s">
        <v>12</v>
      </c>
      <c r="F3">
        <v>200</v>
      </c>
    </row>
    <row r="4" spans="1:6" x14ac:dyDescent="0.35">
      <c r="A4" t="s">
        <v>80</v>
      </c>
      <c r="B4">
        <v>1020</v>
      </c>
      <c r="C4" t="s">
        <v>1072</v>
      </c>
      <c r="D4">
        <v>200</v>
      </c>
      <c r="E4" t="s">
        <v>12</v>
      </c>
      <c r="F4">
        <v>200</v>
      </c>
    </row>
    <row r="5" spans="1:6" x14ac:dyDescent="0.35">
      <c r="A5" t="s">
        <v>81</v>
      </c>
      <c r="B5">
        <v>1020</v>
      </c>
      <c r="C5" t="s">
        <v>1073</v>
      </c>
      <c r="D5">
        <v>200</v>
      </c>
      <c r="E5" t="s">
        <v>12</v>
      </c>
      <c r="F5">
        <v>200</v>
      </c>
    </row>
    <row r="6" spans="1:6" x14ac:dyDescent="0.35">
      <c r="A6" t="s">
        <v>82</v>
      </c>
      <c r="B6">
        <v>1020</v>
      </c>
      <c r="C6" t="s">
        <v>1074</v>
      </c>
      <c r="D6">
        <v>200</v>
      </c>
      <c r="E6" t="s">
        <v>12</v>
      </c>
      <c r="F6">
        <v>200</v>
      </c>
    </row>
    <row r="7" spans="1:6" x14ac:dyDescent="0.35">
      <c r="A7" t="s">
        <v>83</v>
      </c>
      <c r="B7">
        <v>1020</v>
      </c>
      <c r="C7" t="s">
        <v>1075</v>
      </c>
      <c r="D7">
        <v>200</v>
      </c>
      <c r="E7" t="s">
        <v>12</v>
      </c>
      <c r="F7">
        <v>200</v>
      </c>
    </row>
    <row r="8" spans="1:6" x14ac:dyDescent="0.35">
      <c r="A8" t="s">
        <v>84</v>
      </c>
      <c r="B8">
        <v>1020</v>
      </c>
      <c r="C8" t="s">
        <v>1076</v>
      </c>
      <c r="D8">
        <v>200</v>
      </c>
      <c r="E8" t="s">
        <v>12</v>
      </c>
      <c r="F8">
        <v>200</v>
      </c>
    </row>
    <row r="9" spans="1:6" x14ac:dyDescent="0.35">
      <c r="A9" t="s">
        <v>85</v>
      </c>
      <c r="B9">
        <v>1021</v>
      </c>
      <c r="C9" t="s">
        <v>1077</v>
      </c>
      <c r="D9">
        <v>200</v>
      </c>
      <c r="E9" t="s">
        <v>12</v>
      </c>
      <c r="F9">
        <v>200</v>
      </c>
    </row>
    <row r="10" spans="1:6" x14ac:dyDescent="0.35">
      <c r="A10" t="s">
        <v>86</v>
      </c>
      <c r="B10">
        <v>1021</v>
      </c>
      <c r="C10" t="s">
        <v>1078</v>
      </c>
      <c r="D10">
        <v>200</v>
      </c>
      <c r="E10" t="s">
        <v>12</v>
      </c>
      <c r="F10">
        <v>200</v>
      </c>
    </row>
    <row r="11" spans="1:6" x14ac:dyDescent="0.35">
      <c r="A11" t="s">
        <v>87</v>
      </c>
      <c r="B11">
        <v>1023</v>
      </c>
      <c r="C11" t="s">
        <v>1072</v>
      </c>
      <c r="D11">
        <v>50</v>
      </c>
      <c r="E11" t="s">
        <v>12</v>
      </c>
      <c r="F11">
        <v>50</v>
      </c>
    </row>
    <row r="12" spans="1:6" x14ac:dyDescent="0.35">
      <c r="A12" t="s">
        <v>88</v>
      </c>
      <c r="B12">
        <v>1023</v>
      </c>
      <c r="C12" t="s">
        <v>1073</v>
      </c>
      <c r="D12">
        <v>50</v>
      </c>
      <c r="E12" t="s">
        <v>12</v>
      </c>
      <c r="F12">
        <v>50</v>
      </c>
    </row>
    <row r="13" spans="1:6" x14ac:dyDescent="0.35">
      <c r="A13" t="s">
        <v>89</v>
      </c>
      <c r="B13">
        <v>1023</v>
      </c>
      <c r="C13" t="s">
        <v>1074</v>
      </c>
      <c r="D13">
        <v>50</v>
      </c>
      <c r="E13" t="s">
        <v>12</v>
      </c>
      <c r="F13">
        <v>50</v>
      </c>
    </row>
    <row r="14" spans="1:6" x14ac:dyDescent="0.35">
      <c r="A14" t="s">
        <v>90</v>
      </c>
      <c r="B14">
        <v>1023</v>
      </c>
      <c r="C14" t="s">
        <v>1075</v>
      </c>
      <c r="D14">
        <v>50</v>
      </c>
      <c r="E14" t="s">
        <v>12</v>
      </c>
      <c r="F14">
        <v>50</v>
      </c>
    </row>
    <row r="15" spans="1:6" x14ac:dyDescent="0.35">
      <c r="A15" t="s">
        <v>91</v>
      </c>
      <c r="B15">
        <v>1023</v>
      </c>
      <c r="C15" t="s">
        <v>1076</v>
      </c>
      <c r="D15">
        <v>50</v>
      </c>
      <c r="E15" t="s">
        <v>12</v>
      </c>
      <c r="F15">
        <v>50</v>
      </c>
    </row>
    <row r="16" spans="1:6" x14ac:dyDescent="0.35">
      <c r="A16" t="s">
        <v>92</v>
      </c>
      <c r="B16">
        <v>1023</v>
      </c>
      <c r="C16" t="s">
        <v>1079</v>
      </c>
      <c r="D16">
        <v>50</v>
      </c>
      <c r="E16" t="s">
        <v>12</v>
      </c>
      <c r="F16">
        <v>50</v>
      </c>
    </row>
    <row r="17" spans="1:6" x14ac:dyDescent="0.35">
      <c r="A17" t="s">
        <v>93</v>
      </c>
      <c r="B17">
        <v>1023</v>
      </c>
      <c r="C17" t="s">
        <v>1080</v>
      </c>
      <c r="D17">
        <v>50</v>
      </c>
      <c r="E17" t="s">
        <v>12</v>
      </c>
      <c r="F17">
        <v>50</v>
      </c>
    </row>
    <row r="18" spans="1:6" x14ac:dyDescent="0.35">
      <c r="A18" t="s">
        <v>94</v>
      </c>
      <c r="B18">
        <v>1026</v>
      </c>
      <c r="C18" t="s">
        <v>1075</v>
      </c>
      <c r="D18">
        <v>200</v>
      </c>
      <c r="E18" t="s">
        <v>12</v>
      </c>
      <c r="F18">
        <v>200</v>
      </c>
    </row>
    <row r="19" spans="1:6" x14ac:dyDescent="0.35">
      <c r="A19" t="s">
        <v>95</v>
      </c>
      <c r="B19">
        <v>1026</v>
      </c>
      <c r="C19" t="s">
        <v>1076</v>
      </c>
      <c r="D19">
        <v>200</v>
      </c>
      <c r="E19" t="s">
        <v>12</v>
      </c>
      <c r="F19">
        <v>200</v>
      </c>
    </row>
    <row r="20" spans="1:6" x14ac:dyDescent="0.35">
      <c r="A20" t="s">
        <v>96</v>
      </c>
      <c r="B20">
        <v>1026</v>
      </c>
      <c r="C20" t="s">
        <v>1079</v>
      </c>
      <c r="D20">
        <v>200</v>
      </c>
      <c r="E20" t="s">
        <v>12</v>
      </c>
      <c r="F20">
        <v>200</v>
      </c>
    </row>
    <row r="21" spans="1:6" x14ac:dyDescent="0.35">
      <c r="A21" t="s">
        <v>97</v>
      </c>
      <c r="B21">
        <v>1031</v>
      </c>
      <c r="C21" t="s">
        <v>1077</v>
      </c>
      <c r="D21">
        <v>200</v>
      </c>
      <c r="E21" t="s">
        <v>12</v>
      </c>
      <c r="F21">
        <v>200</v>
      </c>
    </row>
    <row r="22" spans="1:6" x14ac:dyDescent="0.35">
      <c r="A22" t="s">
        <v>98</v>
      </c>
      <c r="B22">
        <v>1031</v>
      </c>
      <c r="C22" t="s">
        <v>1078</v>
      </c>
      <c r="D22">
        <v>200</v>
      </c>
      <c r="E22" t="s">
        <v>12</v>
      </c>
      <c r="F22">
        <v>200</v>
      </c>
    </row>
    <row r="23" spans="1:6" x14ac:dyDescent="0.35">
      <c r="A23" t="s">
        <v>99</v>
      </c>
      <c r="B23">
        <v>1031</v>
      </c>
      <c r="C23" t="s">
        <v>1081</v>
      </c>
      <c r="D23">
        <v>200</v>
      </c>
      <c r="E23" t="s">
        <v>12</v>
      </c>
      <c r="F23">
        <v>200</v>
      </c>
    </row>
    <row r="24" spans="1:6" x14ac:dyDescent="0.35">
      <c r="A24" t="s">
        <v>100</v>
      </c>
      <c r="B24">
        <v>1031</v>
      </c>
      <c r="C24" t="s">
        <v>1084</v>
      </c>
      <c r="D24">
        <v>200</v>
      </c>
      <c r="E24" t="s">
        <v>12</v>
      </c>
      <c r="F24">
        <v>200</v>
      </c>
    </row>
    <row r="25" spans="1:6" x14ac:dyDescent="0.35">
      <c r="A25" t="s">
        <v>101</v>
      </c>
      <c r="B25">
        <v>1031</v>
      </c>
      <c r="C25" t="s">
        <v>1082</v>
      </c>
      <c r="D25">
        <v>200</v>
      </c>
      <c r="E25" t="s">
        <v>12</v>
      </c>
      <c r="F25">
        <v>200</v>
      </c>
    </row>
    <row r="26" spans="1:6" x14ac:dyDescent="0.35">
      <c r="A26" t="s">
        <v>102</v>
      </c>
      <c r="B26">
        <v>1031</v>
      </c>
      <c r="C26" t="s">
        <v>1083</v>
      </c>
      <c r="D26">
        <v>200</v>
      </c>
      <c r="E26" t="s">
        <v>12</v>
      </c>
      <c r="F26">
        <v>200</v>
      </c>
    </row>
    <row r="27" spans="1:6" x14ac:dyDescent="0.35">
      <c r="A27" t="s">
        <v>103</v>
      </c>
      <c r="B27">
        <v>1031</v>
      </c>
      <c r="C27" t="s">
        <v>1070</v>
      </c>
      <c r="D27">
        <v>200</v>
      </c>
      <c r="E27" t="s">
        <v>12</v>
      </c>
      <c r="F27">
        <v>200</v>
      </c>
    </row>
    <row r="28" spans="1:6" x14ac:dyDescent="0.35">
      <c r="A28" t="s">
        <v>104</v>
      </c>
      <c r="B28">
        <v>1031</v>
      </c>
      <c r="C28" t="s">
        <v>1071</v>
      </c>
      <c r="D28">
        <v>200</v>
      </c>
      <c r="E28" t="s">
        <v>12</v>
      </c>
      <c r="F28">
        <v>200</v>
      </c>
    </row>
    <row r="29" spans="1:6" x14ac:dyDescent="0.35">
      <c r="A29" t="s">
        <v>105</v>
      </c>
      <c r="B29">
        <v>1031</v>
      </c>
      <c r="C29" t="s">
        <v>1072</v>
      </c>
      <c r="D29">
        <v>200</v>
      </c>
      <c r="E29" t="s">
        <v>12</v>
      </c>
      <c r="F29">
        <v>200</v>
      </c>
    </row>
    <row r="30" spans="1:6" x14ac:dyDescent="0.35">
      <c r="A30" t="s">
        <v>106</v>
      </c>
      <c r="B30">
        <v>1034</v>
      </c>
      <c r="C30" t="s">
        <v>1077</v>
      </c>
      <c r="D30">
        <v>50</v>
      </c>
      <c r="E30" t="s">
        <v>12</v>
      </c>
      <c r="F30">
        <v>50</v>
      </c>
    </row>
    <row r="31" spans="1:6" x14ac:dyDescent="0.35">
      <c r="A31" t="s">
        <v>107</v>
      </c>
      <c r="B31">
        <v>1034</v>
      </c>
      <c r="C31" t="s">
        <v>1078</v>
      </c>
      <c r="D31">
        <v>50</v>
      </c>
      <c r="E31" t="s">
        <v>12</v>
      </c>
      <c r="F31">
        <v>50</v>
      </c>
    </row>
    <row r="32" spans="1:6" x14ac:dyDescent="0.35">
      <c r="A32" t="s">
        <v>108</v>
      </c>
      <c r="B32">
        <v>1034</v>
      </c>
      <c r="C32" t="s">
        <v>1081</v>
      </c>
      <c r="D32">
        <v>50</v>
      </c>
      <c r="E32" t="s">
        <v>12</v>
      </c>
      <c r="F32">
        <v>50</v>
      </c>
    </row>
    <row r="33" spans="1:6" x14ac:dyDescent="0.35">
      <c r="A33" t="s">
        <v>109</v>
      </c>
      <c r="B33">
        <v>1034</v>
      </c>
      <c r="C33" t="s">
        <v>1084</v>
      </c>
      <c r="D33">
        <v>50</v>
      </c>
      <c r="E33" t="s">
        <v>12</v>
      </c>
      <c r="F33">
        <v>50</v>
      </c>
    </row>
    <row r="34" spans="1:6" x14ac:dyDescent="0.35">
      <c r="A34" t="s">
        <v>110</v>
      </c>
      <c r="B34">
        <v>1034</v>
      </c>
      <c r="C34" t="s">
        <v>1082</v>
      </c>
      <c r="D34">
        <v>50</v>
      </c>
      <c r="E34" t="s">
        <v>12</v>
      </c>
      <c r="F34">
        <v>50</v>
      </c>
    </row>
    <row r="35" spans="1:6" x14ac:dyDescent="0.35">
      <c r="A35" t="s">
        <v>111</v>
      </c>
      <c r="B35">
        <v>1034</v>
      </c>
      <c r="C35" t="s">
        <v>1083</v>
      </c>
      <c r="D35">
        <v>50</v>
      </c>
      <c r="E35" t="s">
        <v>12</v>
      </c>
      <c r="F35">
        <v>50</v>
      </c>
    </row>
    <row r="36" spans="1:6" x14ac:dyDescent="0.35">
      <c r="A36" t="s">
        <v>112</v>
      </c>
      <c r="B36">
        <v>1034</v>
      </c>
      <c r="C36" t="s">
        <v>1070</v>
      </c>
      <c r="D36">
        <v>50</v>
      </c>
      <c r="E36" t="s">
        <v>12</v>
      </c>
      <c r="F36">
        <v>50</v>
      </c>
    </row>
    <row r="37" spans="1:6" x14ac:dyDescent="0.35">
      <c r="A37" t="s">
        <v>113</v>
      </c>
      <c r="B37">
        <v>1034</v>
      </c>
      <c r="C37" t="s">
        <v>1071</v>
      </c>
      <c r="D37">
        <v>50</v>
      </c>
      <c r="E37" t="s">
        <v>12</v>
      </c>
      <c r="F37">
        <v>50</v>
      </c>
    </row>
    <row r="38" spans="1:6" x14ac:dyDescent="0.35">
      <c r="A38" t="s">
        <v>114</v>
      </c>
      <c r="B38">
        <v>1034</v>
      </c>
      <c r="C38" t="s">
        <v>1072</v>
      </c>
      <c r="D38">
        <v>50</v>
      </c>
      <c r="E38" t="s">
        <v>12</v>
      </c>
      <c r="F38">
        <v>50</v>
      </c>
    </row>
    <row r="39" spans="1:6" x14ac:dyDescent="0.35">
      <c r="A39" t="s">
        <v>115</v>
      </c>
      <c r="B39">
        <v>1034</v>
      </c>
      <c r="C39" t="s">
        <v>1073</v>
      </c>
      <c r="D39">
        <v>50</v>
      </c>
      <c r="E39" t="s">
        <v>12</v>
      </c>
      <c r="F39">
        <v>50</v>
      </c>
    </row>
    <row r="40" spans="1:6" x14ac:dyDescent="0.35">
      <c r="A40" t="s">
        <v>116</v>
      </c>
      <c r="B40">
        <v>1034</v>
      </c>
      <c r="C40" t="s">
        <v>1074</v>
      </c>
      <c r="D40">
        <v>50</v>
      </c>
      <c r="E40" t="s">
        <v>12</v>
      </c>
      <c r="F40">
        <v>50</v>
      </c>
    </row>
    <row r="41" spans="1:6" x14ac:dyDescent="0.35">
      <c r="A41" t="s">
        <v>117</v>
      </c>
      <c r="B41">
        <v>1034</v>
      </c>
      <c r="C41" t="s">
        <v>1075</v>
      </c>
      <c r="D41">
        <v>50</v>
      </c>
      <c r="E41" t="s">
        <v>12</v>
      </c>
      <c r="F41">
        <v>50</v>
      </c>
    </row>
    <row r="42" spans="1:6" x14ac:dyDescent="0.35">
      <c r="A42" t="s">
        <v>118</v>
      </c>
      <c r="B42">
        <v>1034</v>
      </c>
      <c r="C42" t="s">
        <v>1076</v>
      </c>
      <c r="D42">
        <v>50</v>
      </c>
      <c r="E42" t="s">
        <v>12</v>
      </c>
      <c r="F42">
        <v>50</v>
      </c>
    </row>
    <row r="43" spans="1:6" x14ac:dyDescent="0.35">
      <c r="A43" t="s">
        <v>119</v>
      </c>
      <c r="B43">
        <v>1035</v>
      </c>
      <c r="C43" t="s">
        <v>1084</v>
      </c>
      <c r="D43">
        <v>50</v>
      </c>
      <c r="E43" t="s">
        <v>12</v>
      </c>
      <c r="F43">
        <v>50</v>
      </c>
    </row>
    <row r="44" spans="1:6" x14ac:dyDescent="0.35">
      <c r="A44" t="s">
        <v>120</v>
      </c>
      <c r="B44">
        <v>1035</v>
      </c>
      <c r="C44" t="s">
        <v>1082</v>
      </c>
      <c r="D44">
        <v>50</v>
      </c>
      <c r="E44" t="s">
        <v>12</v>
      </c>
      <c r="F44">
        <v>50</v>
      </c>
    </row>
    <row r="45" spans="1:6" x14ac:dyDescent="0.35">
      <c r="A45" t="s">
        <v>121</v>
      </c>
      <c r="B45">
        <v>1035</v>
      </c>
      <c r="C45" t="s">
        <v>1083</v>
      </c>
      <c r="D45">
        <v>50</v>
      </c>
      <c r="E45" t="s">
        <v>12</v>
      </c>
      <c r="F45">
        <v>50</v>
      </c>
    </row>
    <row r="46" spans="1:6" x14ac:dyDescent="0.35">
      <c r="A46" t="s">
        <v>122</v>
      </c>
      <c r="B46">
        <v>1035</v>
      </c>
      <c r="C46" t="s">
        <v>1070</v>
      </c>
      <c r="D46">
        <v>50</v>
      </c>
      <c r="E46" t="s">
        <v>12</v>
      </c>
      <c r="F46">
        <v>50</v>
      </c>
    </row>
    <row r="47" spans="1:6" x14ac:dyDescent="0.35">
      <c r="A47" t="s">
        <v>123</v>
      </c>
      <c r="B47">
        <v>1035</v>
      </c>
      <c r="C47" t="s">
        <v>1071</v>
      </c>
      <c r="D47">
        <v>50</v>
      </c>
      <c r="E47" t="s">
        <v>12</v>
      </c>
      <c r="F47">
        <v>50</v>
      </c>
    </row>
    <row r="48" spans="1:6" x14ac:dyDescent="0.35">
      <c r="A48" t="s">
        <v>124</v>
      </c>
      <c r="B48">
        <v>1035</v>
      </c>
      <c r="C48" t="s">
        <v>1072</v>
      </c>
      <c r="D48">
        <v>50</v>
      </c>
      <c r="E48" t="s">
        <v>12</v>
      </c>
      <c r="F48">
        <v>50</v>
      </c>
    </row>
    <row r="49" spans="1:6" x14ac:dyDescent="0.35">
      <c r="A49" t="s">
        <v>125</v>
      </c>
      <c r="B49">
        <v>1035</v>
      </c>
      <c r="C49" t="s">
        <v>1073</v>
      </c>
      <c r="D49">
        <v>50</v>
      </c>
      <c r="E49" t="s">
        <v>12</v>
      </c>
      <c r="F49">
        <v>50</v>
      </c>
    </row>
    <row r="50" spans="1:6" x14ac:dyDescent="0.35">
      <c r="A50" t="s">
        <v>126</v>
      </c>
      <c r="B50">
        <v>1035</v>
      </c>
      <c r="C50" t="s">
        <v>1074</v>
      </c>
      <c r="D50">
        <v>50</v>
      </c>
      <c r="E50" t="s">
        <v>12</v>
      </c>
      <c r="F50">
        <v>50</v>
      </c>
    </row>
    <row r="51" spans="1:6" x14ac:dyDescent="0.35">
      <c r="A51" t="s">
        <v>127</v>
      </c>
      <c r="B51">
        <v>1035</v>
      </c>
      <c r="C51" t="s">
        <v>1075</v>
      </c>
      <c r="D51">
        <v>50</v>
      </c>
      <c r="E51" t="s">
        <v>12</v>
      </c>
      <c r="F51">
        <v>50</v>
      </c>
    </row>
    <row r="52" spans="1:6" x14ac:dyDescent="0.35">
      <c r="A52" t="s">
        <v>128</v>
      </c>
      <c r="B52">
        <v>1035</v>
      </c>
      <c r="C52" t="s">
        <v>1076</v>
      </c>
      <c r="D52">
        <v>50</v>
      </c>
      <c r="E52" t="s">
        <v>12</v>
      </c>
      <c r="F52">
        <v>50</v>
      </c>
    </row>
    <row r="53" spans="1:6" x14ac:dyDescent="0.35">
      <c r="A53" t="s">
        <v>129</v>
      </c>
      <c r="B53">
        <v>1042</v>
      </c>
      <c r="C53" t="s">
        <v>1077</v>
      </c>
      <c r="D53">
        <v>200</v>
      </c>
      <c r="E53" t="s">
        <v>12</v>
      </c>
      <c r="F53">
        <v>200</v>
      </c>
    </row>
    <row r="54" spans="1:6" x14ac:dyDescent="0.35">
      <c r="A54" t="s">
        <v>130</v>
      </c>
      <c r="B54">
        <v>1042</v>
      </c>
      <c r="C54" t="s">
        <v>1078</v>
      </c>
      <c r="D54">
        <v>200</v>
      </c>
      <c r="E54" t="s">
        <v>12</v>
      </c>
      <c r="F54">
        <v>200</v>
      </c>
    </row>
    <row r="55" spans="1:6" x14ac:dyDescent="0.35">
      <c r="A55" t="s">
        <v>131</v>
      </c>
      <c r="B55">
        <v>1042</v>
      </c>
      <c r="C55" t="s">
        <v>1081</v>
      </c>
      <c r="D55">
        <v>200</v>
      </c>
      <c r="E55" t="s">
        <v>12</v>
      </c>
      <c r="F55">
        <v>200</v>
      </c>
    </row>
    <row r="56" spans="1:6" x14ac:dyDescent="0.35">
      <c r="A56" t="s">
        <v>132</v>
      </c>
      <c r="B56">
        <v>1042</v>
      </c>
      <c r="C56" t="s">
        <v>1084</v>
      </c>
      <c r="D56">
        <v>200</v>
      </c>
      <c r="E56" t="s">
        <v>12</v>
      </c>
      <c r="F56">
        <v>200</v>
      </c>
    </row>
    <row r="57" spans="1:6" x14ac:dyDescent="0.35">
      <c r="A57" t="s">
        <v>133</v>
      </c>
      <c r="B57">
        <v>1042</v>
      </c>
      <c r="C57" t="s">
        <v>1082</v>
      </c>
      <c r="D57">
        <v>200</v>
      </c>
      <c r="E57" t="s">
        <v>12</v>
      </c>
      <c r="F57">
        <v>200</v>
      </c>
    </row>
    <row r="58" spans="1:6" x14ac:dyDescent="0.35">
      <c r="A58" t="s">
        <v>134</v>
      </c>
      <c r="B58">
        <v>1042</v>
      </c>
      <c r="C58" t="s">
        <v>1083</v>
      </c>
      <c r="D58">
        <v>200</v>
      </c>
      <c r="E58" t="s">
        <v>12</v>
      </c>
      <c r="F58">
        <v>200</v>
      </c>
    </row>
    <row r="59" spans="1:6" x14ac:dyDescent="0.35">
      <c r="A59" t="s">
        <v>135</v>
      </c>
      <c r="B59">
        <v>1042</v>
      </c>
      <c r="C59" t="s">
        <v>1070</v>
      </c>
      <c r="D59">
        <v>200</v>
      </c>
      <c r="E59" t="s">
        <v>12</v>
      </c>
      <c r="F59">
        <v>200</v>
      </c>
    </row>
    <row r="60" spans="1:6" x14ac:dyDescent="0.35">
      <c r="A60" t="s">
        <v>136</v>
      </c>
      <c r="B60">
        <v>1042</v>
      </c>
      <c r="C60" t="s">
        <v>1071</v>
      </c>
      <c r="D60">
        <v>200</v>
      </c>
      <c r="E60" t="s">
        <v>12</v>
      </c>
      <c r="F60">
        <v>200</v>
      </c>
    </row>
    <row r="61" spans="1:6" x14ac:dyDescent="0.35">
      <c r="A61" t="s">
        <v>137</v>
      </c>
      <c r="B61">
        <v>1042</v>
      </c>
      <c r="C61" t="s">
        <v>1072</v>
      </c>
      <c r="D61">
        <v>200</v>
      </c>
      <c r="E61" t="s">
        <v>12</v>
      </c>
      <c r="F61">
        <v>200</v>
      </c>
    </row>
    <row r="62" spans="1:6" x14ac:dyDescent="0.35">
      <c r="A62" t="s">
        <v>138</v>
      </c>
      <c r="B62">
        <v>1042</v>
      </c>
      <c r="C62" t="s">
        <v>1073</v>
      </c>
      <c r="D62">
        <v>200</v>
      </c>
      <c r="E62" t="s">
        <v>12</v>
      </c>
      <c r="F62">
        <v>200</v>
      </c>
    </row>
    <row r="63" spans="1:6" x14ac:dyDescent="0.35">
      <c r="A63" t="s">
        <v>139</v>
      </c>
      <c r="B63">
        <v>1042</v>
      </c>
      <c r="C63" t="s">
        <v>1074</v>
      </c>
      <c r="D63">
        <v>200</v>
      </c>
      <c r="E63" t="s">
        <v>12</v>
      </c>
      <c r="F63">
        <v>200</v>
      </c>
    </row>
    <row r="64" spans="1:6" x14ac:dyDescent="0.35">
      <c r="A64" t="s">
        <v>140</v>
      </c>
      <c r="B64">
        <v>1042</v>
      </c>
      <c r="C64" t="s">
        <v>1075</v>
      </c>
      <c r="D64">
        <v>200</v>
      </c>
      <c r="E64" t="s">
        <v>12</v>
      </c>
      <c r="F64">
        <v>200</v>
      </c>
    </row>
    <row r="65" spans="1:6" x14ac:dyDescent="0.35">
      <c r="A65" t="s">
        <v>141</v>
      </c>
      <c r="B65">
        <v>1043</v>
      </c>
      <c r="C65" t="s">
        <v>1073</v>
      </c>
      <c r="D65">
        <v>500</v>
      </c>
      <c r="E65" t="s">
        <v>12</v>
      </c>
      <c r="F65">
        <v>500</v>
      </c>
    </row>
    <row r="66" spans="1:6" x14ac:dyDescent="0.35">
      <c r="A66" t="s">
        <v>142</v>
      </c>
      <c r="B66">
        <v>1043</v>
      </c>
      <c r="C66" t="s">
        <v>1074</v>
      </c>
      <c r="D66">
        <v>500</v>
      </c>
      <c r="E66" t="s">
        <v>12</v>
      </c>
      <c r="F66">
        <v>500</v>
      </c>
    </row>
    <row r="67" spans="1:6" x14ac:dyDescent="0.35">
      <c r="A67" t="s">
        <v>143</v>
      </c>
      <c r="B67">
        <v>1047</v>
      </c>
      <c r="C67" t="s">
        <v>1073</v>
      </c>
      <c r="D67">
        <v>50</v>
      </c>
      <c r="E67" t="s">
        <v>12</v>
      </c>
      <c r="F67">
        <v>50</v>
      </c>
    </row>
    <row r="68" spans="1:6" x14ac:dyDescent="0.35">
      <c r="A68" t="s">
        <v>144</v>
      </c>
      <c r="B68">
        <v>1047</v>
      </c>
      <c r="C68" t="s">
        <v>1074</v>
      </c>
      <c r="D68">
        <v>50</v>
      </c>
      <c r="E68" t="s">
        <v>12</v>
      </c>
      <c r="F68">
        <v>50</v>
      </c>
    </row>
    <row r="69" spans="1:6" x14ac:dyDescent="0.35">
      <c r="A69" t="s">
        <v>145</v>
      </c>
      <c r="B69">
        <v>1047</v>
      </c>
      <c r="C69" t="s">
        <v>1075</v>
      </c>
      <c r="D69">
        <v>50</v>
      </c>
      <c r="E69" t="s">
        <v>12</v>
      </c>
      <c r="F69">
        <v>50</v>
      </c>
    </row>
    <row r="70" spans="1:6" x14ac:dyDescent="0.35">
      <c r="A70" t="s">
        <v>146</v>
      </c>
      <c r="B70">
        <v>1047</v>
      </c>
      <c r="C70" t="s">
        <v>1076</v>
      </c>
      <c r="D70">
        <v>50</v>
      </c>
      <c r="E70" t="s">
        <v>12</v>
      </c>
      <c r="F70">
        <v>50</v>
      </c>
    </row>
    <row r="71" spans="1:6" x14ac:dyDescent="0.35">
      <c r="A71" t="s">
        <v>147</v>
      </c>
      <c r="B71">
        <v>1056</v>
      </c>
      <c r="C71" t="s">
        <v>1070</v>
      </c>
      <c r="D71">
        <v>200</v>
      </c>
      <c r="E71" t="s">
        <v>12</v>
      </c>
      <c r="F71">
        <v>200</v>
      </c>
    </row>
    <row r="72" spans="1:6" x14ac:dyDescent="0.35">
      <c r="A72" t="s">
        <v>148</v>
      </c>
      <c r="B72">
        <v>1056</v>
      </c>
      <c r="C72" t="s">
        <v>1071</v>
      </c>
      <c r="D72">
        <v>200</v>
      </c>
      <c r="E72" t="s">
        <v>12</v>
      </c>
      <c r="F72">
        <v>200</v>
      </c>
    </row>
    <row r="73" spans="1:6" x14ac:dyDescent="0.35">
      <c r="A73" t="s">
        <v>149</v>
      </c>
      <c r="B73">
        <v>1056</v>
      </c>
      <c r="C73" t="s">
        <v>1072</v>
      </c>
      <c r="D73">
        <v>200</v>
      </c>
      <c r="E73" t="s">
        <v>12</v>
      </c>
      <c r="F73">
        <v>200</v>
      </c>
    </row>
    <row r="74" spans="1:6" x14ac:dyDescent="0.35">
      <c r="A74" t="s">
        <v>150</v>
      </c>
      <c r="B74">
        <v>1060</v>
      </c>
      <c r="C74" t="s">
        <v>1075</v>
      </c>
      <c r="D74">
        <v>50</v>
      </c>
      <c r="E74" t="s">
        <v>12</v>
      </c>
      <c r="F74">
        <v>50</v>
      </c>
    </row>
    <row r="75" spans="1:6" x14ac:dyDescent="0.35">
      <c r="A75" t="s">
        <v>151</v>
      </c>
      <c r="B75">
        <v>1060</v>
      </c>
      <c r="C75" t="s">
        <v>1076</v>
      </c>
      <c r="D75">
        <v>50</v>
      </c>
      <c r="E75" t="s">
        <v>12</v>
      </c>
      <c r="F75">
        <v>50</v>
      </c>
    </row>
    <row r="76" spans="1:6" x14ac:dyDescent="0.35">
      <c r="A76" t="s">
        <v>152</v>
      </c>
      <c r="B76">
        <v>1060</v>
      </c>
      <c r="C76" t="s">
        <v>1079</v>
      </c>
      <c r="D76">
        <v>50</v>
      </c>
      <c r="E76" t="s">
        <v>12</v>
      </c>
      <c r="F76">
        <v>50</v>
      </c>
    </row>
    <row r="77" spans="1:6" x14ac:dyDescent="0.35">
      <c r="A77" t="s">
        <v>153</v>
      </c>
      <c r="B77">
        <v>1062</v>
      </c>
      <c r="C77" t="s">
        <v>1079</v>
      </c>
      <c r="D77">
        <v>200</v>
      </c>
      <c r="E77" t="s">
        <v>12</v>
      </c>
      <c r="F77">
        <v>200</v>
      </c>
    </row>
    <row r="78" spans="1:6" x14ac:dyDescent="0.35">
      <c r="A78" t="s">
        <v>154</v>
      </c>
      <c r="B78">
        <v>1074</v>
      </c>
      <c r="C78" t="s">
        <v>1082</v>
      </c>
      <c r="D78">
        <v>500</v>
      </c>
      <c r="E78" t="s">
        <v>12</v>
      </c>
      <c r="F78">
        <v>500</v>
      </c>
    </row>
    <row r="79" spans="1:6" x14ac:dyDescent="0.35">
      <c r="A79" t="s">
        <v>155</v>
      </c>
      <c r="B79">
        <v>1074</v>
      </c>
      <c r="C79" t="s">
        <v>1083</v>
      </c>
      <c r="D79">
        <v>500</v>
      </c>
      <c r="E79" t="s">
        <v>12</v>
      </c>
      <c r="F79">
        <v>500</v>
      </c>
    </row>
    <row r="80" spans="1:6" x14ac:dyDescent="0.35">
      <c r="A80" t="s">
        <v>156</v>
      </c>
      <c r="B80">
        <v>1074</v>
      </c>
      <c r="C80" t="s">
        <v>1070</v>
      </c>
      <c r="D80">
        <v>500</v>
      </c>
      <c r="E80" t="s">
        <v>12</v>
      </c>
      <c r="F80">
        <v>500</v>
      </c>
    </row>
    <row r="81" spans="1:6" x14ac:dyDescent="0.35">
      <c r="A81" t="s">
        <v>157</v>
      </c>
      <c r="B81">
        <v>1074</v>
      </c>
      <c r="C81" t="s">
        <v>1071</v>
      </c>
      <c r="D81">
        <v>500</v>
      </c>
      <c r="E81" t="s">
        <v>12</v>
      </c>
      <c r="F81">
        <v>500</v>
      </c>
    </row>
    <row r="82" spans="1:6" x14ac:dyDescent="0.35">
      <c r="A82" t="s">
        <v>158</v>
      </c>
      <c r="B82">
        <v>1074</v>
      </c>
      <c r="C82" t="s">
        <v>1072</v>
      </c>
      <c r="D82">
        <v>500</v>
      </c>
      <c r="E82" t="s">
        <v>12</v>
      </c>
      <c r="F82">
        <v>500</v>
      </c>
    </row>
    <row r="83" spans="1:6" x14ac:dyDescent="0.35">
      <c r="A83" t="s">
        <v>159</v>
      </c>
      <c r="B83">
        <v>1074</v>
      </c>
      <c r="C83" t="s">
        <v>1073</v>
      </c>
      <c r="D83">
        <v>500</v>
      </c>
      <c r="E83" t="s">
        <v>12</v>
      </c>
      <c r="F83">
        <v>500</v>
      </c>
    </row>
    <row r="84" spans="1:6" x14ac:dyDescent="0.35">
      <c r="A84" t="s">
        <v>160</v>
      </c>
      <c r="B84">
        <v>1074</v>
      </c>
      <c r="C84" t="s">
        <v>1074</v>
      </c>
      <c r="D84">
        <v>500</v>
      </c>
      <c r="E84" t="s">
        <v>12</v>
      </c>
      <c r="F84">
        <v>500</v>
      </c>
    </row>
    <row r="85" spans="1:6" x14ac:dyDescent="0.35">
      <c r="A85" t="s">
        <v>161</v>
      </c>
      <c r="B85">
        <v>1074</v>
      </c>
      <c r="C85" t="s">
        <v>1075</v>
      </c>
      <c r="D85">
        <v>500</v>
      </c>
      <c r="E85" t="s">
        <v>12</v>
      </c>
      <c r="F85">
        <v>500</v>
      </c>
    </row>
    <row r="86" spans="1:6" x14ac:dyDescent="0.35">
      <c r="A86" t="s">
        <v>162</v>
      </c>
      <c r="B86">
        <v>1074</v>
      </c>
      <c r="C86" t="s">
        <v>1076</v>
      </c>
      <c r="D86">
        <v>500</v>
      </c>
      <c r="E86" t="s">
        <v>12</v>
      </c>
      <c r="F86">
        <v>500</v>
      </c>
    </row>
    <row r="87" spans="1:6" x14ac:dyDescent="0.35">
      <c r="A87" t="s">
        <v>163</v>
      </c>
      <c r="B87">
        <v>1074</v>
      </c>
      <c r="C87" t="s">
        <v>1079</v>
      </c>
      <c r="D87">
        <v>500</v>
      </c>
      <c r="E87" t="s">
        <v>12</v>
      </c>
      <c r="F87">
        <v>500</v>
      </c>
    </row>
    <row r="88" spans="1:6" x14ac:dyDescent="0.35">
      <c r="A88" t="s">
        <v>164</v>
      </c>
      <c r="B88">
        <v>1075</v>
      </c>
      <c r="C88" t="s">
        <v>1070</v>
      </c>
      <c r="D88">
        <v>500</v>
      </c>
      <c r="E88" t="s">
        <v>12</v>
      </c>
      <c r="F88">
        <v>500</v>
      </c>
    </row>
    <row r="89" spans="1:6" x14ac:dyDescent="0.35">
      <c r="A89" t="s">
        <v>165</v>
      </c>
      <c r="B89">
        <v>1075</v>
      </c>
      <c r="C89" t="s">
        <v>1071</v>
      </c>
      <c r="D89">
        <v>500</v>
      </c>
      <c r="E89" t="s">
        <v>12</v>
      </c>
      <c r="F89">
        <v>500</v>
      </c>
    </row>
    <row r="90" spans="1:6" x14ac:dyDescent="0.35">
      <c r="A90" t="s">
        <v>166</v>
      </c>
      <c r="B90">
        <v>1075</v>
      </c>
      <c r="C90" t="s">
        <v>1072</v>
      </c>
      <c r="D90">
        <v>500</v>
      </c>
      <c r="E90" t="s">
        <v>12</v>
      </c>
      <c r="F90">
        <v>500</v>
      </c>
    </row>
    <row r="91" spans="1:6" x14ac:dyDescent="0.35">
      <c r="A91" t="s">
        <v>167</v>
      </c>
      <c r="B91">
        <v>1075</v>
      </c>
      <c r="C91" t="s">
        <v>1073</v>
      </c>
      <c r="D91">
        <v>500</v>
      </c>
      <c r="E91" t="s">
        <v>12</v>
      </c>
      <c r="F91">
        <v>500</v>
      </c>
    </row>
    <row r="92" spans="1:6" x14ac:dyDescent="0.35">
      <c r="A92" t="s">
        <v>168</v>
      </c>
      <c r="B92">
        <v>1075</v>
      </c>
      <c r="C92" t="s">
        <v>1074</v>
      </c>
      <c r="D92">
        <v>500</v>
      </c>
      <c r="E92" t="s">
        <v>12</v>
      </c>
      <c r="F92">
        <v>500</v>
      </c>
    </row>
    <row r="93" spans="1:6" x14ac:dyDescent="0.35">
      <c r="A93" t="s">
        <v>169</v>
      </c>
      <c r="B93">
        <v>1075</v>
      </c>
      <c r="C93" t="s">
        <v>1075</v>
      </c>
      <c r="D93">
        <v>500</v>
      </c>
      <c r="E93" t="s">
        <v>12</v>
      </c>
      <c r="F93">
        <v>500</v>
      </c>
    </row>
    <row r="94" spans="1:6" x14ac:dyDescent="0.35">
      <c r="A94" t="s">
        <v>170</v>
      </c>
      <c r="B94">
        <v>1075</v>
      </c>
      <c r="C94" t="s">
        <v>1076</v>
      </c>
      <c r="D94">
        <v>500</v>
      </c>
      <c r="E94" t="s">
        <v>12</v>
      </c>
      <c r="F94">
        <v>500</v>
      </c>
    </row>
    <row r="95" spans="1:6" x14ac:dyDescent="0.35">
      <c r="A95" t="s">
        <v>171</v>
      </c>
      <c r="B95">
        <v>1075</v>
      </c>
      <c r="C95" t="s">
        <v>1079</v>
      </c>
      <c r="D95">
        <v>500</v>
      </c>
      <c r="E95" t="s">
        <v>12</v>
      </c>
      <c r="F95">
        <v>500</v>
      </c>
    </row>
    <row r="96" spans="1:6" x14ac:dyDescent="0.35">
      <c r="A96" t="s">
        <v>172</v>
      </c>
      <c r="B96">
        <v>1075</v>
      </c>
      <c r="C96" t="s">
        <v>1080</v>
      </c>
      <c r="D96">
        <v>500</v>
      </c>
      <c r="E96" t="s">
        <v>12</v>
      </c>
      <c r="F96">
        <v>500</v>
      </c>
    </row>
    <row r="97" spans="1:6" x14ac:dyDescent="0.35">
      <c r="A97" t="s">
        <v>173</v>
      </c>
      <c r="B97">
        <v>1085</v>
      </c>
      <c r="C97" t="s">
        <v>1070</v>
      </c>
      <c r="D97">
        <v>50</v>
      </c>
      <c r="E97" t="s">
        <v>12</v>
      </c>
      <c r="F97">
        <v>50</v>
      </c>
    </row>
    <row r="98" spans="1:6" x14ac:dyDescent="0.35">
      <c r="A98" t="s">
        <v>174</v>
      </c>
      <c r="B98">
        <v>1085</v>
      </c>
      <c r="C98" t="s">
        <v>1071</v>
      </c>
      <c r="D98">
        <v>50</v>
      </c>
      <c r="E98" t="s">
        <v>12</v>
      </c>
      <c r="F98">
        <v>50</v>
      </c>
    </row>
    <row r="99" spans="1:6" x14ac:dyDescent="0.35">
      <c r="A99" t="s">
        <v>175</v>
      </c>
      <c r="B99">
        <v>1085</v>
      </c>
      <c r="C99" t="s">
        <v>1072</v>
      </c>
      <c r="D99">
        <v>50</v>
      </c>
      <c r="E99" t="s">
        <v>12</v>
      </c>
      <c r="F99">
        <v>50</v>
      </c>
    </row>
    <row r="100" spans="1:6" x14ac:dyDescent="0.35">
      <c r="A100" t="s">
        <v>176</v>
      </c>
      <c r="B100">
        <v>1085</v>
      </c>
      <c r="C100" t="s">
        <v>1073</v>
      </c>
      <c r="D100">
        <v>50</v>
      </c>
      <c r="E100" t="s">
        <v>12</v>
      </c>
      <c r="F100">
        <v>50</v>
      </c>
    </row>
    <row r="101" spans="1:6" x14ac:dyDescent="0.35">
      <c r="A101" t="s">
        <v>177</v>
      </c>
      <c r="B101">
        <v>1085</v>
      </c>
      <c r="C101" t="s">
        <v>1074</v>
      </c>
      <c r="D101">
        <v>50</v>
      </c>
      <c r="E101" t="s">
        <v>12</v>
      </c>
      <c r="F101">
        <v>50</v>
      </c>
    </row>
    <row r="102" spans="1:6" x14ac:dyDescent="0.35">
      <c r="A102" t="s">
        <v>178</v>
      </c>
      <c r="B102">
        <v>1085</v>
      </c>
      <c r="C102" t="s">
        <v>1075</v>
      </c>
      <c r="D102">
        <v>50</v>
      </c>
      <c r="E102" t="s">
        <v>12</v>
      </c>
      <c r="F102">
        <v>50</v>
      </c>
    </row>
    <row r="103" spans="1:6" x14ac:dyDescent="0.35">
      <c r="A103" t="s">
        <v>179</v>
      </c>
      <c r="B103">
        <v>1085</v>
      </c>
      <c r="C103" t="s">
        <v>1076</v>
      </c>
      <c r="D103">
        <v>50</v>
      </c>
      <c r="E103" t="s">
        <v>12</v>
      </c>
      <c r="F103">
        <v>50</v>
      </c>
    </row>
    <row r="104" spans="1:6" x14ac:dyDescent="0.35">
      <c r="A104" t="s">
        <v>180</v>
      </c>
      <c r="B104">
        <v>1095</v>
      </c>
      <c r="C104" t="s">
        <v>1078</v>
      </c>
      <c r="D104">
        <v>500</v>
      </c>
      <c r="E104" t="s">
        <v>12</v>
      </c>
      <c r="F104">
        <v>500</v>
      </c>
    </row>
    <row r="105" spans="1:6" x14ac:dyDescent="0.35">
      <c r="A105" t="s">
        <v>181</v>
      </c>
      <c r="B105">
        <v>1095</v>
      </c>
      <c r="C105" t="s">
        <v>1081</v>
      </c>
      <c r="D105">
        <v>500</v>
      </c>
      <c r="E105" t="s">
        <v>12</v>
      </c>
      <c r="F105">
        <v>500</v>
      </c>
    </row>
    <row r="106" spans="1:6" x14ac:dyDescent="0.35">
      <c r="A106" t="s">
        <v>182</v>
      </c>
      <c r="B106">
        <v>1095</v>
      </c>
      <c r="C106" t="s">
        <v>1084</v>
      </c>
      <c r="D106">
        <v>500</v>
      </c>
      <c r="E106" t="s">
        <v>12</v>
      </c>
      <c r="F106">
        <v>500</v>
      </c>
    </row>
    <row r="107" spans="1:6" x14ac:dyDescent="0.35">
      <c r="A107" t="s">
        <v>183</v>
      </c>
      <c r="B107">
        <v>1095</v>
      </c>
      <c r="C107" t="s">
        <v>1082</v>
      </c>
      <c r="D107">
        <v>500</v>
      </c>
      <c r="E107" t="s">
        <v>12</v>
      </c>
      <c r="F107">
        <v>500</v>
      </c>
    </row>
    <row r="108" spans="1:6" x14ac:dyDescent="0.35">
      <c r="A108" t="s">
        <v>184</v>
      </c>
      <c r="B108">
        <v>1119</v>
      </c>
      <c r="C108" t="s">
        <v>1084</v>
      </c>
      <c r="D108">
        <v>500</v>
      </c>
      <c r="E108" t="s">
        <v>12</v>
      </c>
      <c r="F108">
        <v>500</v>
      </c>
    </row>
    <row r="109" spans="1:6" x14ac:dyDescent="0.35">
      <c r="A109" t="s">
        <v>185</v>
      </c>
      <c r="B109">
        <v>1119</v>
      </c>
      <c r="C109" t="s">
        <v>1082</v>
      </c>
      <c r="D109">
        <v>500</v>
      </c>
      <c r="E109" t="s">
        <v>12</v>
      </c>
      <c r="F109">
        <v>500</v>
      </c>
    </row>
    <row r="110" spans="1:6" x14ac:dyDescent="0.35">
      <c r="A110" t="s">
        <v>186</v>
      </c>
      <c r="B110">
        <v>1119</v>
      </c>
      <c r="C110" t="s">
        <v>1083</v>
      </c>
      <c r="D110">
        <v>500</v>
      </c>
      <c r="E110" t="s">
        <v>12</v>
      </c>
      <c r="F110">
        <v>500</v>
      </c>
    </row>
    <row r="111" spans="1:6" x14ac:dyDescent="0.35">
      <c r="A111" t="s">
        <v>187</v>
      </c>
      <c r="B111">
        <v>1119</v>
      </c>
      <c r="C111" t="s">
        <v>1070</v>
      </c>
      <c r="D111">
        <v>500</v>
      </c>
      <c r="E111" t="s">
        <v>12</v>
      </c>
      <c r="F111">
        <v>500</v>
      </c>
    </row>
    <row r="112" spans="1:6" x14ac:dyDescent="0.35">
      <c r="A112" t="s">
        <v>188</v>
      </c>
      <c r="B112">
        <v>1119</v>
      </c>
      <c r="C112" t="s">
        <v>1071</v>
      </c>
      <c r="D112">
        <v>500</v>
      </c>
      <c r="E112" t="s">
        <v>12</v>
      </c>
      <c r="F112">
        <v>500</v>
      </c>
    </row>
    <row r="113" spans="1:6" x14ac:dyDescent="0.35">
      <c r="A113" t="s">
        <v>189</v>
      </c>
      <c r="B113">
        <v>1119</v>
      </c>
      <c r="C113" t="s">
        <v>1072</v>
      </c>
      <c r="D113">
        <v>500</v>
      </c>
      <c r="E113" t="s">
        <v>12</v>
      </c>
      <c r="F113">
        <v>500</v>
      </c>
    </row>
    <row r="114" spans="1:6" x14ac:dyDescent="0.35">
      <c r="A114" t="s">
        <v>190</v>
      </c>
      <c r="B114">
        <v>1119</v>
      </c>
      <c r="C114" t="s">
        <v>1073</v>
      </c>
      <c r="D114">
        <v>500</v>
      </c>
      <c r="E114" t="s">
        <v>12</v>
      </c>
      <c r="F114">
        <v>500</v>
      </c>
    </row>
    <row r="115" spans="1:6" x14ac:dyDescent="0.35">
      <c r="A115" t="s">
        <v>191</v>
      </c>
      <c r="B115">
        <v>1119</v>
      </c>
      <c r="C115" t="s">
        <v>1074</v>
      </c>
      <c r="D115">
        <v>500</v>
      </c>
      <c r="E115" t="s">
        <v>12</v>
      </c>
      <c r="F115">
        <v>500</v>
      </c>
    </row>
    <row r="116" spans="1:6" x14ac:dyDescent="0.35">
      <c r="A116" t="s">
        <v>192</v>
      </c>
      <c r="B116">
        <v>1119</v>
      </c>
      <c r="C116" t="s">
        <v>1075</v>
      </c>
      <c r="D116">
        <v>500</v>
      </c>
      <c r="E116" t="s">
        <v>12</v>
      </c>
      <c r="F116">
        <v>500</v>
      </c>
    </row>
    <row r="117" spans="1:6" x14ac:dyDescent="0.35">
      <c r="A117" t="s">
        <v>193</v>
      </c>
      <c r="B117">
        <v>1120</v>
      </c>
      <c r="C117" t="s">
        <v>1082</v>
      </c>
      <c r="D117">
        <v>500</v>
      </c>
      <c r="E117" t="s">
        <v>12</v>
      </c>
      <c r="F117">
        <v>500</v>
      </c>
    </row>
    <row r="118" spans="1:6" x14ac:dyDescent="0.35">
      <c r="A118" t="s">
        <v>194</v>
      </c>
      <c r="B118">
        <v>1120</v>
      </c>
      <c r="C118" t="s">
        <v>1083</v>
      </c>
      <c r="D118">
        <v>500</v>
      </c>
      <c r="E118" t="s">
        <v>12</v>
      </c>
      <c r="F118">
        <v>500</v>
      </c>
    </row>
    <row r="119" spans="1:6" x14ac:dyDescent="0.35">
      <c r="A119" t="s">
        <v>195</v>
      </c>
      <c r="B119">
        <v>1120</v>
      </c>
      <c r="C119" t="s">
        <v>1070</v>
      </c>
      <c r="D119">
        <v>500</v>
      </c>
      <c r="E119" t="s">
        <v>12</v>
      </c>
      <c r="F119">
        <v>500</v>
      </c>
    </row>
    <row r="120" spans="1:6" x14ac:dyDescent="0.35">
      <c r="A120" t="s">
        <v>196</v>
      </c>
      <c r="B120">
        <v>1120</v>
      </c>
      <c r="C120" t="s">
        <v>1071</v>
      </c>
      <c r="D120">
        <v>500</v>
      </c>
      <c r="E120" t="s">
        <v>12</v>
      </c>
      <c r="F120">
        <v>500</v>
      </c>
    </row>
    <row r="121" spans="1:6" x14ac:dyDescent="0.35">
      <c r="A121" t="s">
        <v>197</v>
      </c>
      <c r="B121">
        <v>1120</v>
      </c>
      <c r="C121" t="s">
        <v>1072</v>
      </c>
      <c r="D121">
        <v>500</v>
      </c>
      <c r="E121" t="s">
        <v>12</v>
      </c>
      <c r="F121">
        <v>500</v>
      </c>
    </row>
    <row r="122" spans="1:6" x14ac:dyDescent="0.35">
      <c r="A122" t="s">
        <v>198</v>
      </c>
      <c r="B122">
        <v>1120</v>
      </c>
      <c r="C122" t="s">
        <v>1073</v>
      </c>
      <c r="D122">
        <v>500</v>
      </c>
      <c r="E122" t="s">
        <v>12</v>
      </c>
      <c r="F122">
        <v>500</v>
      </c>
    </row>
    <row r="123" spans="1:6" x14ac:dyDescent="0.35">
      <c r="A123" t="s">
        <v>199</v>
      </c>
      <c r="B123">
        <v>1120</v>
      </c>
      <c r="C123" t="s">
        <v>1074</v>
      </c>
      <c r="D123">
        <v>500</v>
      </c>
      <c r="E123" t="s">
        <v>12</v>
      </c>
      <c r="F123">
        <v>500</v>
      </c>
    </row>
    <row r="124" spans="1:6" x14ac:dyDescent="0.35">
      <c r="A124" t="s">
        <v>200</v>
      </c>
      <c r="B124">
        <v>1125</v>
      </c>
      <c r="C124" t="s">
        <v>1082</v>
      </c>
      <c r="D124">
        <v>500</v>
      </c>
      <c r="E124" t="s">
        <v>12</v>
      </c>
      <c r="F124">
        <v>500</v>
      </c>
    </row>
    <row r="125" spans="1:6" x14ac:dyDescent="0.35">
      <c r="A125" t="s">
        <v>201</v>
      </c>
      <c r="B125">
        <v>1125</v>
      </c>
      <c r="C125" t="s">
        <v>1083</v>
      </c>
      <c r="D125">
        <v>500</v>
      </c>
      <c r="E125" t="s">
        <v>12</v>
      </c>
      <c r="F125">
        <v>500</v>
      </c>
    </row>
    <row r="126" spans="1:6" x14ac:dyDescent="0.35">
      <c r="A126" t="s">
        <v>202</v>
      </c>
      <c r="B126">
        <v>1125</v>
      </c>
      <c r="C126" t="s">
        <v>1070</v>
      </c>
      <c r="D126">
        <v>500</v>
      </c>
      <c r="E126" t="s">
        <v>12</v>
      </c>
      <c r="F126">
        <v>500</v>
      </c>
    </row>
    <row r="127" spans="1:6" x14ac:dyDescent="0.35">
      <c r="A127" t="s">
        <v>203</v>
      </c>
      <c r="B127">
        <v>1125</v>
      </c>
      <c r="C127" t="s">
        <v>1071</v>
      </c>
      <c r="D127">
        <v>500</v>
      </c>
      <c r="E127" t="s">
        <v>12</v>
      </c>
      <c r="F127">
        <v>500</v>
      </c>
    </row>
    <row r="128" spans="1:6" x14ac:dyDescent="0.35">
      <c r="A128" t="s">
        <v>204</v>
      </c>
      <c r="B128">
        <v>1125</v>
      </c>
      <c r="C128" t="s">
        <v>1072</v>
      </c>
      <c r="D128">
        <v>500</v>
      </c>
      <c r="E128" t="s">
        <v>12</v>
      </c>
      <c r="F128">
        <v>500</v>
      </c>
    </row>
    <row r="129" spans="1:6" x14ac:dyDescent="0.35">
      <c r="A129" t="s">
        <v>205</v>
      </c>
      <c r="B129">
        <v>1132</v>
      </c>
      <c r="C129" t="s">
        <v>1071</v>
      </c>
      <c r="D129">
        <v>50</v>
      </c>
      <c r="E129" t="s">
        <v>12</v>
      </c>
      <c r="F129">
        <v>50</v>
      </c>
    </row>
    <row r="130" spans="1:6" x14ac:dyDescent="0.35">
      <c r="A130" t="s">
        <v>206</v>
      </c>
      <c r="B130">
        <v>1132</v>
      </c>
      <c r="C130" t="s">
        <v>1072</v>
      </c>
      <c r="D130">
        <v>50</v>
      </c>
      <c r="E130" t="s">
        <v>12</v>
      </c>
      <c r="F130">
        <v>50</v>
      </c>
    </row>
    <row r="131" spans="1:6" x14ac:dyDescent="0.35">
      <c r="A131" t="s">
        <v>207</v>
      </c>
      <c r="B131">
        <v>1132</v>
      </c>
      <c r="C131" t="s">
        <v>1073</v>
      </c>
      <c r="D131">
        <v>50</v>
      </c>
      <c r="E131" t="s">
        <v>12</v>
      </c>
      <c r="F131">
        <v>50</v>
      </c>
    </row>
    <row r="132" spans="1:6" x14ac:dyDescent="0.35">
      <c r="A132" t="s">
        <v>208</v>
      </c>
      <c r="B132">
        <v>1132</v>
      </c>
      <c r="C132" t="s">
        <v>1074</v>
      </c>
      <c r="D132">
        <v>50</v>
      </c>
      <c r="E132" t="s">
        <v>12</v>
      </c>
      <c r="F132">
        <v>50</v>
      </c>
    </row>
    <row r="133" spans="1:6" x14ac:dyDescent="0.35">
      <c r="A133" t="s">
        <v>209</v>
      </c>
      <c r="B133">
        <v>1132</v>
      </c>
      <c r="C133" t="s">
        <v>1075</v>
      </c>
      <c r="D133">
        <v>50</v>
      </c>
      <c r="E133" t="s">
        <v>12</v>
      </c>
      <c r="F133">
        <v>50</v>
      </c>
    </row>
    <row r="134" spans="1:6" x14ac:dyDescent="0.35">
      <c r="A134" t="s">
        <v>210</v>
      </c>
      <c r="B134">
        <v>1132</v>
      </c>
      <c r="C134" t="s">
        <v>1076</v>
      </c>
      <c r="D134">
        <v>50</v>
      </c>
      <c r="E134" t="s">
        <v>12</v>
      </c>
      <c r="F134">
        <v>50</v>
      </c>
    </row>
    <row r="135" spans="1:6" x14ac:dyDescent="0.35">
      <c r="A135" t="s">
        <v>211</v>
      </c>
      <c r="B135">
        <v>1137</v>
      </c>
      <c r="C135" t="s">
        <v>1085</v>
      </c>
      <c r="D135">
        <v>50</v>
      </c>
      <c r="E135" t="s">
        <v>12</v>
      </c>
      <c r="F135">
        <v>50</v>
      </c>
    </row>
    <row r="136" spans="1:6" x14ac:dyDescent="0.35">
      <c r="A136" t="s">
        <v>212</v>
      </c>
      <c r="B136">
        <v>1143</v>
      </c>
      <c r="C136" t="s">
        <v>1077</v>
      </c>
      <c r="D136">
        <v>200</v>
      </c>
      <c r="E136" t="s">
        <v>12</v>
      </c>
      <c r="F136">
        <v>200</v>
      </c>
    </row>
    <row r="137" spans="1:6" x14ac:dyDescent="0.35">
      <c r="A137" t="s">
        <v>213</v>
      </c>
      <c r="B137">
        <v>1143</v>
      </c>
      <c r="C137" t="s">
        <v>1078</v>
      </c>
      <c r="D137">
        <v>200</v>
      </c>
      <c r="E137" t="s">
        <v>12</v>
      </c>
      <c r="F137">
        <v>200</v>
      </c>
    </row>
    <row r="138" spans="1:6" x14ac:dyDescent="0.35">
      <c r="A138" t="s">
        <v>214</v>
      </c>
      <c r="B138">
        <v>1143</v>
      </c>
      <c r="C138" t="s">
        <v>1081</v>
      </c>
      <c r="D138">
        <v>200</v>
      </c>
      <c r="E138" t="s">
        <v>12</v>
      </c>
      <c r="F138">
        <v>200</v>
      </c>
    </row>
    <row r="139" spans="1:6" x14ac:dyDescent="0.35">
      <c r="A139" t="s">
        <v>215</v>
      </c>
      <c r="B139">
        <v>1143</v>
      </c>
      <c r="C139" t="s">
        <v>1084</v>
      </c>
      <c r="D139">
        <v>200</v>
      </c>
      <c r="E139" t="s">
        <v>12</v>
      </c>
      <c r="F139">
        <v>200</v>
      </c>
    </row>
    <row r="140" spans="1:6" x14ac:dyDescent="0.35">
      <c r="A140" t="s">
        <v>216</v>
      </c>
      <c r="B140">
        <v>1143</v>
      </c>
      <c r="C140" t="s">
        <v>1082</v>
      </c>
      <c r="D140">
        <v>200</v>
      </c>
      <c r="E140" t="s">
        <v>12</v>
      </c>
      <c r="F140">
        <v>200</v>
      </c>
    </row>
    <row r="141" spans="1:6" x14ac:dyDescent="0.35">
      <c r="A141" t="s">
        <v>217</v>
      </c>
      <c r="B141">
        <v>1143</v>
      </c>
      <c r="C141" t="s">
        <v>1083</v>
      </c>
      <c r="D141">
        <v>200</v>
      </c>
      <c r="E141" t="s">
        <v>12</v>
      </c>
      <c r="F141">
        <v>200</v>
      </c>
    </row>
    <row r="142" spans="1:6" x14ac:dyDescent="0.35">
      <c r="A142" t="s">
        <v>218</v>
      </c>
      <c r="B142">
        <v>1143</v>
      </c>
      <c r="C142" t="s">
        <v>1070</v>
      </c>
      <c r="D142">
        <v>200</v>
      </c>
      <c r="E142" t="s">
        <v>12</v>
      </c>
      <c r="F142">
        <v>200</v>
      </c>
    </row>
    <row r="143" spans="1:6" x14ac:dyDescent="0.35">
      <c r="A143" t="s">
        <v>219</v>
      </c>
      <c r="B143">
        <v>1143</v>
      </c>
      <c r="C143" t="s">
        <v>1071</v>
      </c>
      <c r="D143">
        <v>200</v>
      </c>
      <c r="E143" t="s">
        <v>12</v>
      </c>
      <c r="F143">
        <v>200</v>
      </c>
    </row>
    <row r="144" spans="1:6" x14ac:dyDescent="0.35">
      <c r="A144" t="s">
        <v>220</v>
      </c>
      <c r="B144">
        <v>1143</v>
      </c>
      <c r="C144" t="s">
        <v>1072</v>
      </c>
      <c r="D144">
        <v>200</v>
      </c>
      <c r="E144" t="s">
        <v>12</v>
      </c>
      <c r="F144">
        <v>200</v>
      </c>
    </row>
    <row r="145" spans="1:6" x14ac:dyDescent="0.35">
      <c r="A145" t="s">
        <v>221</v>
      </c>
      <c r="B145">
        <v>1143</v>
      </c>
      <c r="C145" t="s">
        <v>1073</v>
      </c>
      <c r="D145">
        <v>200</v>
      </c>
      <c r="E145" t="s">
        <v>12</v>
      </c>
      <c r="F145">
        <v>200</v>
      </c>
    </row>
    <row r="146" spans="1:6" x14ac:dyDescent="0.35">
      <c r="A146" t="s">
        <v>222</v>
      </c>
      <c r="B146">
        <v>1151</v>
      </c>
      <c r="C146" t="s">
        <v>1084</v>
      </c>
      <c r="D146">
        <v>500</v>
      </c>
      <c r="E146" t="s">
        <v>12</v>
      </c>
      <c r="F146">
        <v>500</v>
      </c>
    </row>
    <row r="147" spans="1:6" x14ac:dyDescent="0.35">
      <c r="A147" t="s">
        <v>223</v>
      </c>
      <c r="B147">
        <v>1151</v>
      </c>
      <c r="C147" t="s">
        <v>1082</v>
      </c>
      <c r="D147">
        <v>500</v>
      </c>
      <c r="E147" t="s">
        <v>12</v>
      </c>
      <c r="F147">
        <v>500</v>
      </c>
    </row>
    <row r="148" spans="1:6" x14ac:dyDescent="0.35">
      <c r="A148" t="s">
        <v>224</v>
      </c>
      <c r="B148">
        <v>1151</v>
      </c>
      <c r="C148" t="s">
        <v>1083</v>
      </c>
      <c r="D148">
        <v>500</v>
      </c>
      <c r="E148" t="s">
        <v>12</v>
      </c>
      <c r="F148">
        <v>500</v>
      </c>
    </row>
    <row r="149" spans="1:6" x14ac:dyDescent="0.35">
      <c r="A149" t="s">
        <v>225</v>
      </c>
      <c r="B149">
        <v>1151</v>
      </c>
      <c r="C149" t="s">
        <v>1070</v>
      </c>
      <c r="D149">
        <v>500</v>
      </c>
      <c r="E149" t="s">
        <v>12</v>
      </c>
      <c r="F149">
        <v>500</v>
      </c>
    </row>
    <row r="150" spans="1:6" x14ac:dyDescent="0.35">
      <c r="A150" t="s">
        <v>226</v>
      </c>
      <c r="B150">
        <v>1151</v>
      </c>
      <c r="C150" t="s">
        <v>1071</v>
      </c>
      <c r="D150">
        <v>500</v>
      </c>
      <c r="E150" t="s">
        <v>12</v>
      </c>
      <c r="F150">
        <v>500</v>
      </c>
    </row>
    <row r="151" spans="1:6" x14ac:dyDescent="0.35">
      <c r="A151" t="s">
        <v>227</v>
      </c>
      <c r="B151">
        <v>1151</v>
      </c>
      <c r="C151" t="s">
        <v>1072</v>
      </c>
      <c r="D151">
        <v>500</v>
      </c>
      <c r="E151" t="s">
        <v>12</v>
      </c>
      <c r="F151">
        <v>500</v>
      </c>
    </row>
    <row r="152" spans="1:6" x14ac:dyDescent="0.35">
      <c r="A152" t="s">
        <v>228</v>
      </c>
      <c r="B152">
        <v>1151</v>
      </c>
      <c r="C152" t="s">
        <v>1073</v>
      </c>
      <c r="D152">
        <v>500</v>
      </c>
      <c r="E152" t="s">
        <v>12</v>
      </c>
      <c r="F152">
        <v>500</v>
      </c>
    </row>
    <row r="153" spans="1:6" x14ac:dyDescent="0.35">
      <c r="A153" t="s">
        <v>229</v>
      </c>
      <c r="B153">
        <v>1151</v>
      </c>
      <c r="C153" t="s">
        <v>1074</v>
      </c>
      <c r="D153">
        <v>500</v>
      </c>
      <c r="E153" t="s">
        <v>12</v>
      </c>
      <c r="F153">
        <v>500</v>
      </c>
    </row>
    <row r="154" spans="1:6" x14ac:dyDescent="0.35">
      <c r="A154" t="s">
        <v>230</v>
      </c>
      <c r="B154">
        <v>1151</v>
      </c>
      <c r="C154" t="s">
        <v>1075</v>
      </c>
      <c r="D154">
        <v>500</v>
      </c>
      <c r="E154" t="s">
        <v>12</v>
      </c>
      <c r="F154">
        <v>500</v>
      </c>
    </row>
    <row r="155" spans="1:6" x14ac:dyDescent="0.35">
      <c r="A155" t="s">
        <v>231</v>
      </c>
      <c r="B155">
        <v>1151</v>
      </c>
      <c r="C155" t="s">
        <v>1076</v>
      </c>
      <c r="D155">
        <v>500</v>
      </c>
      <c r="E155" t="s">
        <v>12</v>
      </c>
      <c r="F155">
        <v>500</v>
      </c>
    </row>
    <row r="156" spans="1:6" x14ac:dyDescent="0.35">
      <c r="A156" t="s">
        <v>232</v>
      </c>
      <c r="B156">
        <v>1154</v>
      </c>
      <c r="C156" t="s">
        <v>1080</v>
      </c>
      <c r="D156">
        <v>50</v>
      </c>
      <c r="E156" t="s">
        <v>12</v>
      </c>
      <c r="F156">
        <v>50</v>
      </c>
    </row>
    <row r="157" spans="1:6" x14ac:dyDescent="0.35">
      <c r="A157" t="s">
        <v>233</v>
      </c>
      <c r="B157">
        <v>1167</v>
      </c>
      <c r="C157" t="s">
        <v>1085</v>
      </c>
      <c r="D157">
        <v>500</v>
      </c>
      <c r="E157" t="s">
        <v>12</v>
      </c>
      <c r="F157">
        <v>500</v>
      </c>
    </row>
    <row r="158" spans="1:6" x14ac:dyDescent="0.35">
      <c r="A158" t="s">
        <v>234</v>
      </c>
      <c r="B158">
        <v>1167</v>
      </c>
      <c r="C158" t="s">
        <v>1086</v>
      </c>
      <c r="D158">
        <v>500</v>
      </c>
      <c r="E158" t="s">
        <v>12</v>
      </c>
      <c r="F158">
        <v>500</v>
      </c>
    </row>
    <row r="159" spans="1:6" x14ac:dyDescent="0.35">
      <c r="A159" t="s">
        <v>235</v>
      </c>
      <c r="B159">
        <v>1167</v>
      </c>
      <c r="C159" t="s">
        <v>1087</v>
      </c>
      <c r="D159">
        <v>500</v>
      </c>
      <c r="E159" t="s">
        <v>12</v>
      </c>
      <c r="F159">
        <v>500</v>
      </c>
    </row>
    <row r="160" spans="1:6" x14ac:dyDescent="0.35">
      <c r="A160" t="s">
        <v>236</v>
      </c>
      <c r="B160">
        <v>1167</v>
      </c>
      <c r="C160" t="s">
        <v>1077</v>
      </c>
      <c r="D160">
        <v>500</v>
      </c>
      <c r="E160" t="s">
        <v>12</v>
      </c>
      <c r="F160">
        <v>500</v>
      </c>
    </row>
    <row r="161" spans="1:6" x14ac:dyDescent="0.35">
      <c r="A161" t="s">
        <v>237</v>
      </c>
      <c r="B161">
        <v>1167</v>
      </c>
      <c r="C161" t="s">
        <v>1078</v>
      </c>
      <c r="D161">
        <v>500</v>
      </c>
      <c r="E161" t="s">
        <v>12</v>
      </c>
      <c r="F161">
        <v>500</v>
      </c>
    </row>
    <row r="162" spans="1:6" x14ac:dyDescent="0.35">
      <c r="A162" t="s">
        <v>238</v>
      </c>
      <c r="B162">
        <v>1167</v>
      </c>
      <c r="C162" t="s">
        <v>1081</v>
      </c>
      <c r="D162">
        <v>500</v>
      </c>
      <c r="E162" t="s">
        <v>12</v>
      </c>
      <c r="F162">
        <v>500</v>
      </c>
    </row>
    <row r="163" spans="1:6" x14ac:dyDescent="0.35">
      <c r="A163" t="s">
        <v>239</v>
      </c>
      <c r="B163">
        <v>1167</v>
      </c>
      <c r="C163" t="s">
        <v>1084</v>
      </c>
      <c r="D163">
        <v>500</v>
      </c>
      <c r="E163" t="s">
        <v>12</v>
      </c>
      <c r="F163">
        <v>500</v>
      </c>
    </row>
    <row r="164" spans="1:6" x14ac:dyDescent="0.35">
      <c r="A164" t="s">
        <v>240</v>
      </c>
      <c r="B164">
        <v>1167</v>
      </c>
      <c r="C164" t="s">
        <v>1082</v>
      </c>
      <c r="D164">
        <v>500</v>
      </c>
      <c r="E164" t="s">
        <v>12</v>
      </c>
      <c r="F164">
        <v>500</v>
      </c>
    </row>
    <row r="165" spans="1:6" x14ac:dyDescent="0.35">
      <c r="A165" t="s">
        <v>241</v>
      </c>
      <c r="B165">
        <v>1167</v>
      </c>
      <c r="C165" t="s">
        <v>1083</v>
      </c>
      <c r="D165">
        <v>500</v>
      </c>
      <c r="E165" t="s">
        <v>12</v>
      </c>
      <c r="F165">
        <v>500</v>
      </c>
    </row>
    <row r="166" spans="1:6" x14ac:dyDescent="0.35">
      <c r="A166" t="s">
        <v>242</v>
      </c>
      <c r="B166">
        <v>1167</v>
      </c>
      <c r="C166" t="s">
        <v>1070</v>
      </c>
      <c r="D166">
        <v>500</v>
      </c>
      <c r="E166" t="s">
        <v>12</v>
      </c>
      <c r="F166">
        <v>500</v>
      </c>
    </row>
    <row r="167" spans="1:6" x14ac:dyDescent="0.35">
      <c r="A167" t="s">
        <v>243</v>
      </c>
      <c r="B167">
        <v>1167</v>
      </c>
      <c r="C167" t="s">
        <v>1071</v>
      </c>
      <c r="D167">
        <v>500</v>
      </c>
      <c r="E167" t="s">
        <v>12</v>
      </c>
      <c r="F167">
        <v>500</v>
      </c>
    </row>
    <row r="168" spans="1:6" x14ac:dyDescent="0.35">
      <c r="A168" t="s">
        <v>244</v>
      </c>
      <c r="B168">
        <v>1167</v>
      </c>
      <c r="C168" t="s">
        <v>1072</v>
      </c>
      <c r="D168">
        <v>500</v>
      </c>
      <c r="E168" t="s">
        <v>12</v>
      </c>
      <c r="F168">
        <v>500</v>
      </c>
    </row>
    <row r="169" spans="1:6" x14ac:dyDescent="0.35">
      <c r="A169" t="s">
        <v>245</v>
      </c>
      <c r="B169">
        <v>1167</v>
      </c>
      <c r="C169" t="s">
        <v>1073</v>
      </c>
      <c r="D169">
        <v>500</v>
      </c>
      <c r="E169" t="s">
        <v>12</v>
      </c>
      <c r="F169">
        <v>500</v>
      </c>
    </row>
    <row r="170" spans="1:6" x14ac:dyDescent="0.35">
      <c r="A170" t="s">
        <v>246</v>
      </c>
      <c r="B170">
        <v>1175</v>
      </c>
      <c r="C170" t="s">
        <v>1084</v>
      </c>
      <c r="D170">
        <v>500</v>
      </c>
      <c r="E170" t="s">
        <v>12</v>
      </c>
      <c r="F170">
        <v>500</v>
      </c>
    </row>
    <row r="171" spans="1:6" x14ac:dyDescent="0.35">
      <c r="A171" t="s">
        <v>247</v>
      </c>
      <c r="B171">
        <v>1175</v>
      </c>
      <c r="C171" t="s">
        <v>1082</v>
      </c>
      <c r="D171">
        <v>500</v>
      </c>
      <c r="E171" t="s">
        <v>12</v>
      </c>
      <c r="F171">
        <v>500</v>
      </c>
    </row>
    <row r="172" spans="1:6" x14ac:dyDescent="0.35">
      <c r="A172" t="s">
        <v>248</v>
      </c>
      <c r="B172">
        <v>1178</v>
      </c>
      <c r="C172" t="s">
        <v>1073</v>
      </c>
      <c r="D172">
        <v>50</v>
      </c>
      <c r="E172" t="s">
        <v>12</v>
      </c>
      <c r="F172">
        <v>50</v>
      </c>
    </row>
    <row r="173" spans="1:6" x14ac:dyDescent="0.35">
      <c r="A173" t="s">
        <v>249</v>
      </c>
      <c r="B173">
        <v>1178</v>
      </c>
      <c r="C173" t="s">
        <v>1074</v>
      </c>
      <c r="D173">
        <v>50</v>
      </c>
      <c r="E173" t="s">
        <v>12</v>
      </c>
      <c r="F173">
        <v>50</v>
      </c>
    </row>
    <row r="174" spans="1:6" x14ac:dyDescent="0.35">
      <c r="A174" t="s">
        <v>250</v>
      </c>
      <c r="B174">
        <v>1181</v>
      </c>
      <c r="C174" t="s">
        <v>1085</v>
      </c>
      <c r="D174">
        <v>50</v>
      </c>
      <c r="E174" t="s">
        <v>12</v>
      </c>
      <c r="F174">
        <v>50</v>
      </c>
    </row>
    <row r="175" spans="1:6" x14ac:dyDescent="0.35">
      <c r="A175" t="s">
        <v>251</v>
      </c>
      <c r="B175">
        <v>1181</v>
      </c>
      <c r="C175" t="s">
        <v>1086</v>
      </c>
      <c r="D175">
        <v>50</v>
      </c>
      <c r="E175" t="s">
        <v>12</v>
      </c>
      <c r="F175">
        <v>50</v>
      </c>
    </row>
    <row r="176" spans="1:6" x14ac:dyDescent="0.35">
      <c r="A176" t="s">
        <v>252</v>
      </c>
      <c r="B176">
        <v>1181</v>
      </c>
      <c r="C176" t="s">
        <v>1087</v>
      </c>
      <c r="D176">
        <v>50</v>
      </c>
      <c r="E176" t="s">
        <v>12</v>
      </c>
      <c r="F176">
        <v>50</v>
      </c>
    </row>
    <row r="177" spans="1:6" x14ac:dyDescent="0.35">
      <c r="A177" t="s">
        <v>253</v>
      </c>
      <c r="B177">
        <v>1181</v>
      </c>
      <c r="C177" t="s">
        <v>1077</v>
      </c>
      <c r="D177">
        <v>50</v>
      </c>
      <c r="E177" t="s">
        <v>12</v>
      </c>
      <c r="F177">
        <v>50</v>
      </c>
    </row>
    <row r="178" spans="1:6" x14ac:dyDescent="0.35">
      <c r="A178" t="s">
        <v>254</v>
      </c>
      <c r="B178">
        <v>1181</v>
      </c>
      <c r="C178" t="s">
        <v>1078</v>
      </c>
      <c r="D178">
        <v>50</v>
      </c>
      <c r="E178" t="s">
        <v>12</v>
      </c>
      <c r="F178">
        <v>50</v>
      </c>
    </row>
    <row r="179" spans="1:6" x14ac:dyDescent="0.35">
      <c r="A179" t="s">
        <v>255</v>
      </c>
      <c r="B179">
        <v>1185</v>
      </c>
      <c r="C179" t="s">
        <v>1072</v>
      </c>
      <c r="D179">
        <v>200</v>
      </c>
      <c r="E179" t="s">
        <v>12</v>
      </c>
      <c r="F179">
        <v>200</v>
      </c>
    </row>
    <row r="180" spans="1:6" x14ac:dyDescent="0.35">
      <c r="A180" t="s">
        <v>256</v>
      </c>
      <c r="B180">
        <v>1185</v>
      </c>
      <c r="C180" t="s">
        <v>1073</v>
      </c>
      <c r="D180">
        <v>200</v>
      </c>
      <c r="E180" t="s">
        <v>12</v>
      </c>
      <c r="F180">
        <v>200</v>
      </c>
    </row>
    <row r="181" spans="1:6" x14ac:dyDescent="0.35">
      <c r="A181" t="s">
        <v>257</v>
      </c>
      <c r="B181">
        <v>1185</v>
      </c>
      <c r="C181" t="s">
        <v>1074</v>
      </c>
      <c r="D181">
        <v>200</v>
      </c>
      <c r="E181" t="s">
        <v>12</v>
      </c>
      <c r="F181">
        <v>200</v>
      </c>
    </row>
    <row r="182" spans="1:6" x14ac:dyDescent="0.35">
      <c r="A182" t="s">
        <v>258</v>
      </c>
      <c r="B182">
        <v>1185</v>
      </c>
      <c r="C182" t="s">
        <v>1075</v>
      </c>
      <c r="D182">
        <v>200</v>
      </c>
      <c r="E182" t="s">
        <v>12</v>
      </c>
      <c r="F182">
        <v>200</v>
      </c>
    </row>
    <row r="183" spans="1:6" x14ac:dyDescent="0.35">
      <c r="A183" t="s">
        <v>259</v>
      </c>
      <c r="B183">
        <v>1185</v>
      </c>
      <c r="C183" t="s">
        <v>1076</v>
      </c>
      <c r="D183">
        <v>200</v>
      </c>
      <c r="E183" t="s">
        <v>12</v>
      </c>
      <c r="F183">
        <v>200</v>
      </c>
    </row>
    <row r="184" spans="1:6" x14ac:dyDescent="0.35">
      <c r="A184" t="s">
        <v>260</v>
      </c>
      <c r="B184">
        <v>1185</v>
      </c>
      <c r="C184" t="s">
        <v>1079</v>
      </c>
      <c r="D184">
        <v>200</v>
      </c>
      <c r="E184" t="s">
        <v>12</v>
      </c>
      <c r="F184">
        <v>200</v>
      </c>
    </row>
    <row r="185" spans="1:6" x14ac:dyDescent="0.35">
      <c r="A185" t="s">
        <v>261</v>
      </c>
      <c r="B185">
        <v>1185</v>
      </c>
      <c r="C185" t="s">
        <v>1080</v>
      </c>
      <c r="D185">
        <v>200</v>
      </c>
      <c r="E185" t="s">
        <v>12</v>
      </c>
      <c r="F185">
        <v>200</v>
      </c>
    </row>
    <row r="186" spans="1:6" x14ac:dyDescent="0.35">
      <c r="A186" t="s">
        <v>262</v>
      </c>
      <c r="B186">
        <v>1188</v>
      </c>
      <c r="C186" t="s">
        <v>1084</v>
      </c>
      <c r="D186">
        <v>200</v>
      </c>
      <c r="E186" t="s">
        <v>12</v>
      </c>
      <c r="F186">
        <v>200</v>
      </c>
    </row>
    <row r="187" spans="1:6" x14ac:dyDescent="0.35">
      <c r="A187" t="s">
        <v>263</v>
      </c>
      <c r="B187">
        <v>1188</v>
      </c>
      <c r="C187" t="s">
        <v>1082</v>
      </c>
      <c r="D187">
        <v>200</v>
      </c>
      <c r="E187" t="s">
        <v>12</v>
      </c>
      <c r="F187">
        <v>200</v>
      </c>
    </row>
    <row r="188" spans="1:6" x14ac:dyDescent="0.35">
      <c r="A188" t="s">
        <v>264</v>
      </c>
      <c r="B188">
        <v>1188</v>
      </c>
      <c r="C188" t="s">
        <v>1083</v>
      </c>
      <c r="D188">
        <v>200</v>
      </c>
      <c r="E188" t="s">
        <v>12</v>
      </c>
      <c r="F188">
        <v>200</v>
      </c>
    </row>
    <row r="189" spans="1:6" x14ac:dyDescent="0.35">
      <c r="A189" t="s">
        <v>265</v>
      </c>
      <c r="B189">
        <v>1193</v>
      </c>
      <c r="C189" t="s">
        <v>1085</v>
      </c>
      <c r="D189">
        <v>200</v>
      </c>
      <c r="E189" t="s">
        <v>12</v>
      </c>
      <c r="F189">
        <v>200</v>
      </c>
    </row>
    <row r="190" spans="1:6" x14ac:dyDescent="0.35">
      <c r="A190" t="s">
        <v>266</v>
      </c>
      <c r="B190">
        <v>1193</v>
      </c>
      <c r="C190" t="s">
        <v>1086</v>
      </c>
      <c r="D190">
        <v>200</v>
      </c>
      <c r="E190" t="s">
        <v>12</v>
      </c>
      <c r="F190">
        <v>200</v>
      </c>
    </row>
    <row r="191" spans="1:6" x14ac:dyDescent="0.35">
      <c r="A191" t="s">
        <v>267</v>
      </c>
      <c r="B191">
        <v>1193</v>
      </c>
      <c r="C191" t="s">
        <v>1087</v>
      </c>
      <c r="D191">
        <v>200</v>
      </c>
      <c r="E191" t="s">
        <v>12</v>
      </c>
      <c r="F191">
        <v>200</v>
      </c>
    </row>
    <row r="192" spans="1:6" x14ac:dyDescent="0.35">
      <c r="A192" t="s">
        <v>268</v>
      </c>
      <c r="B192">
        <v>1193</v>
      </c>
      <c r="C192" t="s">
        <v>1077</v>
      </c>
      <c r="D192">
        <v>200</v>
      </c>
      <c r="E192" t="s">
        <v>12</v>
      </c>
      <c r="F192">
        <v>200</v>
      </c>
    </row>
    <row r="193" spans="1:6" x14ac:dyDescent="0.35">
      <c r="A193" t="s">
        <v>269</v>
      </c>
      <c r="B193">
        <v>1193</v>
      </c>
      <c r="C193" t="s">
        <v>1078</v>
      </c>
      <c r="D193">
        <v>200</v>
      </c>
      <c r="E193" t="s">
        <v>12</v>
      </c>
      <c r="F193">
        <v>200</v>
      </c>
    </row>
    <row r="194" spans="1:6" x14ac:dyDescent="0.35">
      <c r="A194" t="s">
        <v>270</v>
      </c>
      <c r="B194">
        <v>1193</v>
      </c>
      <c r="C194" t="s">
        <v>1081</v>
      </c>
      <c r="D194">
        <v>200</v>
      </c>
      <c r="E194" t="s">
        <v>12</v>
      </c>
      <c r="F194">
        <v>200</v>
      </c>
    </row>
    <row r="195" spans="1:6" x14ac:dyDescent="0.35">
      <c r="A195" t="s">
        <v>271</v>
      </c>
      <c r="B195">
        <v>1193</v>
      </c>
      <c r="C195" t="s">
        <v>1084</v>
      </c>
      <c r="D195">
        <v>200</v>
      </c>
      <c r="E195" t="s">
        <v>12</v>
      </c>
      <c r="F195">
        <v>200</v>
      </c>
    </row>
    <row r="196" spans="1:6" x14ac:dyDescent="0.35">
      <c r="A196" t="s">
        <v>272</v>
      </c>
      <c r="B196">
        <v>1193</v>
      </c>
      <c r="C196" t="s">
        <v>1082</v>
      </c>
      <c r="D196">
        <v>200</v>
      </c>
      <c r="E196" t="s">
        <v>12</v>
      </c>
      <c r="F196">
        <v>200</v>
      </c>
    </row>
    <row r="197" spans="1:6" x14ac:dyDescent="0.35">
      <c r="A197" t="s">
        <v>273</v>
      </c>
      <c r="B197">
        <v>1193</v>
      </c>
      <c r="C197" t="s">
        <v>1083</v>
      </c>
      <c r="D197">
        <v>200</v>
      </c>
      <c r="E197" t="s">
        <v>12</v>
      </c>
      <c r="F197">
        <v>200</v>
      </c>
    </row>
    <row r="198" spans="1:6" x14ac:dyDescent="0.35">
      <c r="A198" t="s">
        <v>274</v>
      </c>
      <c r="B198">
        <v>1193</v>
      </c>
      <c r="C198" t="s">
        <v>1070</v>
      </c>
      <c r="D198">
        <v>200</v>
      </c>
      <c r="E198" t="s">
        <v>12</v>
      </c>
      <c r="F198">
        <v>200</v>
      </c>
    </row>
    <row r="199" spans="1:6" x14ac:dyDescent="0.35">
      <c r="A199" t="s">
        <v>275</v>
      </c>
      <c r="B199">
        <v>1193</v>
      </c>
      <c r="C199" t="s">
        <v>1071</v>
      </c>
      <c r="D199">
        <v>200</v>
      </c>
      <c r="E199" t="s">
        <v>12</v>
      </c>
      <c r="F199">
        <v>200</v>
      </c>
    </row>
    <row r="200" spans="1:6" x14ac:dyDescent="0.35">
      <c r="A200" t="s">
        <v>276</v>
      </c>
      <c r="B200">
        <v>1193</v>
      </c>
      <c r="C200" t="s">
        <v>1072</v>
      </c>
      <c r="D200">
        <v>200</v>
      </c>
      <c r="E200" t="s">
        <v>12</v>
      </c>
      <c r="F200">
        <v>200</v>
      </c>
    </row>
    <row r="201" spans="1:6" x14ac:dyDescent="0.35">
      <c r="A201" t="s">
        <v>277</v>
      </c>
      <c r="B201">
        <v>1193</v>
      </c>
      <c r="C201" t="s">
        <v>1073</v>
      </c>
      <c r="D201">
        <v>200</v>
      </c>
      <c r="E201" t="s">
        <v>12</v>
      </c>
      <c r="F201">
        <v>200</v>
      </c>
    </row>
    <row r="202" spans="1:6" x14ac:dyDescent="0.35">
      <c r="A202" t="s">
        <v>278</v>
      </c>
      <c r="B202">
        <v>1193</v>
      </c>
      <c r="C202" t="s">
        <v>1074</v>
      </c>
      <c r="D202">
        <v>200</v>
      </c>
      <c r="E202" t="s">
        <v>12</v>
      </c>
      <c r="F202">
        <v>200</v>
      </c>
    </row>
    <row r="203" spans="1:6" x14ac:dyDescent="0.35">
      <c r="A203" t="s">
        <v>279</v>
      </c>
      <c r="B203">
        <v>1193</v>
      </c>
      <c r="C203" t="s">
        <v>1075</v>
      </c>
      <c r="D203">
        <v>200</v>
      </c>
      <c r="E203" t="s">
        <v>12</v>
      </c>
      <c r="F203">
        <v>200</v>
      </c>
    </row>
    <row r="204" spans="1:6" x14ac:dyDescent="0.35">
      <c r="A204" t="s">
        <v>280</v>
      </c>
      <c r="B204">
        <v>1197</v>
      </c>
      <c r="C204" t="s">
        <v>1075</v>
      </c>
      <c r="D204">
        <v>50</v>
      </c>
      <c r="E204" t="s">
        <v>12</v>
      </c>
      <c r="F204">
        <v>50</v>
      </c>
    </row>
    <row r="205" spans="1:6" x14ac:dyDescent="0.35">
      <c r="A205" t="s">
        <v>281</v>
      </c>
      <c r="B205">
        <v>1197</v>
      </c>
      <c r="C205" t="s">
        <v>1076</v>
      </c>
      <c r="D205">
        <v>50</v>
      </c>
      <c r="E205" t="s">
        <v>12</v>
      </c>
      <c r="F205">
        <v>50</v>
      </c>
    </row>
    <row r="206" spans="1:6" x14ac:dyDescent="0.35">
      <c r="A206" t="s">
        <v>282</v>
      </c>
      <c r="B206">
        <v>1197</v>
      </c>
      <c r="C206" t="s">
        <v>1079</v>
      </c>
      <c r="D206">
        <v>50</v>
      </c>
      <c r="E206" t="s">
        <v>12</v>
      </c>
      <c r="F206">
        <v>50</v>
      </c>
    </row>
    <row r="207" spans="1:6" x14ac:dyDescent="0.35">
      <c r="A207" t="s">
        <v>283</v>
      </c>
      <c r="B207">
        <v>1197</v>
      </c>
      <c r="C207" t="s">
        <v>1080</v>
      </c>
      <c r="D207">
        <v>50</v>
      </c>
      <c r="E207" t="s">
        <v>12</v>
      </c>
      <c r="F207">
        <v>50</v>
      </c>
    </row>
    <row r="208" spans="1:6" x14ac:dyDescent="0.35">
      <c r="A208" t="s">
        <v>284</v>
      </c>
      <c r="B208">
        <v>1200</v>
      </c>
      <c r="C208" t="s">
        <v>1087</v>
      </c>
      <c r="D208">
        <v>200</v>
      </c>
      <c r="E208" t="s">
        <v>12</v>
      </c>
      <c r="F208">
        <v>200</v>
      </c>
    </row>
    <row r="209" spans="1:6" x14ac:dyDescent="0.35">
      <c r="A209" t="s">
        <v>285</v>
      </c>
      <c r="B209">
        <v>1200</v>
      </c>
      <c r="C209" t="s">
        <v>1077</v>
      </c>
      <c r="D209">
        <v>200</v>
      </c>
      <c r="E209" t="s">
        <v>12</v>
      </c>
      <c r="F209">
        <v>200</v>
      </c>
    </row>
    <row r="210" spans="1:6" x14ac:dyDescent="0.35">
      <c r="A210" t="s">
        <v>286</v>
      </c>
      <c r="B210">
        <v>1200</v>
      </c>
      <c r="C210" t="s">
        <v>1078</v>
      </c>
      <c r="D210">
        <v>200</v>
      </c>
      <c r="E210" t="s">
        <v>12</v>
      </c>
      <c r="F210">
        <v>200</v>
      </c>
    </row>
    <row r="211" spans="1:6" x14ac:dyDescent="0.35">
      <c r="A211" t="s">
        <v>287</v>
      </c>
      <c r="B211">
        <v>1200</v>
      </c>
      <c r="C211" t="s">
        <v>1081</v>
      </c>
      <c r="D211">
        <v>200</v>
      </c>
      <c r="E211" t="s">
        <v>12</v>
      </c>
      <c r="F211">
        <v>200</v>
      </c>
    </row>
    <row r="212" spans="1:6" x14ac:dyDescent="0.35">
      <c r="A212" t="s">
        <v>288</v>
      </c>
      <c r="B212">
        <v>1200</v>
      </c>
      <c r="C212" t="s">
        <v>1084</v>
      </c>
      <c r="D212">
        <v>200</v>
      </c>
      <c r="E212" t="s">
        <v>12</v>
      </c>
      <c r="F212">
        <v>200</v>
      </c>
    </row>
    <row r="213" spans="1:6" x14ac:dyDescent="0.35">
      <c r="A213" t="s">
        <v>289</v>
      </c>
      <c r="B213">
        <v>1200</v>
      </c>
      <c r="C213" t="s">
        <v>1082</v>
      </c>
      <c r="D213">
        <v>200</v>
      </c>
      <c r="E213" t="s">
        <v>12</v>
      </c>
      <c r="F213">
        <v>200</v>
      </c>
    </row>
    <row r="214" spans="1:6" x14ac:dyDescent="0.35">
      <c r="A214" t="s">
        <v>290</v>
      </c>
      <c r="B214">
        <v>1200</v>
      </c>
      <c r="C214" t="s">
        <v>1083</v>
      </c>
      <c r="D214">
        <v>200</v>
      </c>
      <c r="E214" t="s">
        <v>12</v>
      </c>
      <c r="F214">
        <v>200</v>
      </c>
    </row>
    <row r="215" spans="1:6" x14ac:dyDescent="0.35">
      <c r="A215" t="s">
        <v>291</v>
      </c>
      <c r="B215">
        <v>1200</v>
      </c>
      <c r="C215" t="s">
        <v>1070</v>
      </c>
      <c r="D215">
        <v>200</v>
      </c>
      <c r="E215" t="s">
        <v>12</v>
      </c>
      <c r="F215">
        <v>200</v>
      </c>
    </row>
    <row r="216" spans="1:6" x14ac:dyDescent="0.35">
      <c r="A216" t="s">
        <v>292</v>
      </c>
      <c r="B216">
        <v>1200</v>
      </c>
      <c r="C216" t="s">
        <v>1071</v>
      </c>
      <c r="D216">
        <v>200</v>
      </c>
      <c r="E216" t="s">
        <v>12</v>
      </c>
      <c r="F216">
        <v>200</v>
      </c>
    </row>
    <row r="217" spans="1:6" x14ac:dyDescent="0.35">
      <c r="A217" t="s">
        <v>293</v>
      </c>
      <c r="B217">
        <v>1200</v>
      </c>
      <c r="C217" t="s">
        <v>1072</v>
      </c>
      <c r="D217">
        <v>200</v>
      </c>
      <c r="E217" t="s">
        <v>12</v>
      </c>
      <c r="F217">
        <v>200</v>
      </c>
    </row>
    <row r="218" spans="1:6" x14ac:dyDescent="0.35">
      <c r="A218" t="s">
        <v>294</v>
      </c>
      <c r="B218">
        <v>1200</v>
      </c>
      <c r="C218" t="s">
        <v>1073</v>
      </c>
      <c r="D218">
        <v>200</v>
      </c>
      <c r="E218" t="s">
        <v>12</v>
      </c>
      <c r="F218">
        <v>200</v>
      </c>
    </row>
    <row r="219" spans="1:6" x14ac:dyDescent="0.35">
      <c r="A219" t="s">
        <v>295</v>
      </c>
      <c r="B219">
        <v>1200</v>
      </c>
      <c r="C219" t="s">
        <v>1074</v>
      </c>
      <c r="D219">
        <v>200</v>
      </c>
      <c r="E219" t="s">
        <v>12</v>
      </c>
      <c r="F219">
        <v>200</v>
      </c>
    </row>
    <row r="220" spans="1:6" x14ac:dyDescent="0.35">
      <c r="A220" t="s">
        <v>296</v>
      </c>
      <c r="B220">
        <v>1200</v>
      </c>
      <c r="C220" t="s">
        <v>1075</v>
      </c>
      <c r="D220">
        <v>200</v>
      </c>
      <c r="E220" t="s">
        <v>12</v>
      </c>
      <c r="F220">
        <v>200</v>
      </c>
    </row>
    <row r="221" spans="1:6" x14ac:dyDescent="0.35">
      <c r="A221" t="s">
        <v>297</v>
      </c>
      <c r="B221">
        <v>1200</v>
      </c>
      <c r="C221" t="s">
        <v>1076</v>
      </c>
      <c r="D221">
        <v>200</v>
      </c>
      <c r="E221" t="s">
        <v>12</v>
      </c>
      <c r="F221">
        <v>200</v>
      </c>
    </row>
    <row r="222" spans="1:6" x14ac:dyDescent="0.35">
      <c r="A222" t="s">
        <v>298</v>
      </c>
      <c r="B222">
        <v>1200</v>
      </c>
      <c r="C222" t="s">
        <v>1079</v>
      </c>
      <c r="D222">
        <v>200</v>
      </c>
      <c r="E222" t="s">
        <v>12</v>
      </c>
      <c r="F222">
        <v>200</v>
      </c>
    </row>
    <row r="223" spans="1:6" x14ac:dyDescent="0.35">
      <c r="A223" t="s">
        <v>299</v>
      </c>
      <c r="B223">
        <v>1210</v>
      </c>
      <c r="C223" t="s">
        <v>1082</v>
      </c>
      <c r="D223">
        <v>500</v>
      </c>
      <c r="E223" t="s">
        <v>12</v>
      </c>
      <c r="F223">
        <v>500</v>
      </c>
    </row>
    <row r="224" spans="1:6" x14ac:dyDescent="0.35">
      <c r="A224" t="s">
        <v>300</v>
      </c>
      <c r="B224">
        <v>1210</v>
      </c>
      <c r="C224" t="s">
        <v>1083</v>
      </c>
      <c r="D224">
        <v>500</v>
      </c>
      <c r="E224" t="s">
        <v>12</v>
      </c>
      <c r="F224">
        <v>500</v>
      </c>
    </row>
    <row r="225" spans="1:6" x14ac:dyDescent="0.35">
      <c r="A225" t="s">
        <v>301</v>
      </c>
      <c r="B225">
        <v>1210</v>
      </c>
      <c r="C225" t="s">
        <v>1070</v>
      </c>
      <c r="D225">
        <v>500</v>
      </c>
      <c r="E225" t="s">
        <v>12</v>
      </c>
      <c r="F225">
        <v>500</v>
      </c>
    </row>
    <row r="226" spans="1:6" x14ac:dyDescent="0.35">
      <c r="A226" t="s">
        <v>302</v>
      </c>
      <c r="B226">
        <v>1210</v>
      </c>
      <c r="C226" t="s">
        <v>1071</v>
      </c>
      <c r="D226">
        <v>500</v>
      </c>
      <c r="E226" t="s">
        <v>12</v>
      </c>
      <c r="F226">
        <v>500</v>
      </c>
    </row>
    <row r="227" spans="1:6" x14ac:dyDescent="0.35">
      <c r="A227" t="s">
        <v>303</v>
      </c>
      <c r="B227">
        <v>1210</v>
      </c>
      <c r="C227" t="s">
        <v>1072</v>
      </c>
      <c r="D227">
        <v>500</v>
      </c>
      <c r="E227" t="s">
        <v>12</v>
      </c>
      <c r="F227">
        <v>500</v>
      </c>
    </row>
    <row r="228" spans="1:6" x14ac:dyDescent="0.35">
      <c r="A228" t="s">
        <v>304</v>
      </c>
      <c r="B228">
        <v>1210</v>
      </c>
      <c r="C228" t="s">
        <v>1073</v>
      </c>
      <c r="D228">
        <v>500</v>
      </c>
      <c r="E228" t="s">
        <v>12</v>
      </c>
      <c r="F228">
        <v>500</v>
      </c>
    </row>
    <row r="229" spans="1:6" x14ac:dyDescent="0.35">
      <c r="A229" t="s">
        <v>305</v>
      </c>
      <c r="B229">
        <v>1210</v>
      </c>
      <c r="C229" t="s">
        <v>1074</v>
      </c>
      <c r="D229">
        <v>500</v>
      </c>
      <c r="E229" t="s">
        <v>12</v>
      </c>
      <c r="F229">
        <v>500</v>
      </c>
    </row>
    <row r="230" spans="1:6" x14ac:dyDescent="0.35">
      <c r="A230" t="s">
        <v>306</v>
      </c>
      <c r="B230">
        <v>1214</v>
      </c>
      <c r="C230" t="s">
        <v>1087</v>
      </c>
      <c r="D230">
        <v>500</v>
      </c>
      <c r="E230" t="s">
        <v>12</v>
      </c>
      <c r="F230">
        <v>500</v>
      </c>
    </row>
    <row r="231" spans="1:6" x14ac:dyDescent="0.35">
      <c r="A231" t="s">
        <v>307</v>
      </c>
      <c r="B231">
        <v>1214</v>
      </c>
      <c r="C231" t="s">
        <v>1077</v>
      </c>
      <c r="D231">
        <v>500</v>
      </c>
      <c r="E231" t="s">
        <v>12</v>
      </c>
      <c r="F231">
        <v>500</v>
      </c>
    </row>
    <row r="232" spans="1:6" x14ac:dyDescent="0.35">
      <c r="A232" t="s">
        <v>308</v>
      </c>
      <c r="B232">
        <v>1214</v>
      </c>
      <c r="C232" t="s">
        <v>1078</v>
      </c>
      <c r="D232">
        <v>500</v>
      </c>
      <c r="E232" t="s">
        <v>12</v>
      </c>
      <c r="F232">
        <v>500</v>
      </c>
    </row>
    <row r="233" spans="1:6" x14ac:dyDescent="0.35">
      <c r="A233" t="s">
        <v>309</v>
      </c>
      <c r="B233">
        <v>1214</v>
      </c>
      <c r="C233" t="s">
        <v>1081</v>
      </c>
      <c r="D233">
        <v>500</v>
      </c>
      <c r="E233" t="s">
        <v>12</v>
      </c>
      <c r="F233">
        <v>500</v>
      </c>
    </row>
    <row r="234" spans="1:6" x14ac:dyDescent="0.35">
      <c r="A234" t="s">
        <v>310</v>
      </c>
      <c r="B234">
        <v>1214</v>
      </c>
      <c r="C234" t="s">
        <v>1084</v>
      </c>
      <c r="D234">
        <v>500</v>
      </c>
      <c r="E234" t="s">
        <v>12</v>
      </c>
      <c r="F234">
        <v>500</v>
      </c>
    </row>
    <row r="235" spans="1:6" x14ac:dyDescent="0.35">
      <c r="A235" t="s">
        <v>311</v>
      </c>
      <c r="B235">
        <v>1214</v>
      </c>
      <c r="C235" t="s">
        <v>1082</v>
      </c>
      <c r="D235">
        <v>500</v>
      </c>
      <c r="E235" t="s">
        <v>12</v>
      </c>
      <c r="F235">
        <v>500</v>
      </c>
    </row>
    <row r="236" spans="1:6" x14ac:dyDescent="0.35">
      <c r="A236" t="s">
        <v>312</v>
      </c>
      <c r="B236">
        <v>1214</v>
      </c>
      <c r="C236" t="s">
        <v>1083</v>
      </c>
      <c r="D236">
        <v>500</v>
      </c>
      <c r="E236" t="s">
        <v>12</v>
      </c>
      <c r="F236">
        <v>500</v>
      </c>
    </row>
    <row r="237" spans="1:6" x14ac:dyDescent="0.35">
      <c r="A237" t="s">
        <v>313</v>
      </c>
      <c r="B237">
        <v>1214</v>
      </c>
      <c r="C237" t="s">
        <v>1070</v>
      </c>
      <c r="D237">
        <v>500</v>
      </c>
      <c r="E237" t="s">
        <v>12</v>
      </c>
      <c r="F237">
        <v>500</v>
      </c>
    </row>
    <row r="238" spans="1:6" x14ac:dyDescent="0.35">
      <c r="A238" t="s">
        <v>314</v>
      </c>
      <c r="B238">
        <v>1214</v>
      </c>
      <c r="C238" t="s">
        <v>1071</v>
      </c>
      <c r="D238">
        <v>500</v>
      </c>
      <c r="E238" t="s">
        <v>12</v>
      </c>
      <c r="F238">
        <v>500</v>
      </c>
    </row>
    <row r="239" spans="1:6" x14ac:dyDescent="0.35">
      <c r="A239" t="s">
        <v>315</v>
      </c>
      <c r="B239">
        <v>1220</v>
      </c>
      <c r="C239" t="s">
        <v>1087</v>
      </c>
      <c r="D239">
        <v>50</v>
      </c>
      <c r="E239" t="s">
        <v>12</v>
      </c>
      <c r="F239">
        <v>50</v>
      </c>
    </row>
    <row r="240" spans="1:6" x14ac:dyDescent="0.35">
      <c r="A240" t="s">
        <v>316</v>
      </c>
      <c r="B240">
        <v>1220</v>
      </c>
      <c r="C240" t="s">
        <v>1077</v>
      </c>
      <c r="D240">
        <v>50</v>
      </c>
      <c r="E240" t="s">
        <v>12</v>
      </c>
      <c r="F240">
        <v>50</v>
      </c>
    </row>
    <row r="241" spans="1:6" x14ac:dyDescent="0.35">
      <c r="A241" t="s">
        <v>317</v>
      </c>
      <c r="B241">
        <v>1220</v>
      </c>
      <c r="C241" t="s">
        <v>1078</v>
      </c>
      <c r="D241">
        <v>50</v>
      </c>
      <c r="E241" t="s">
        <v>12</v>
      </c>
      <c r="F241">
        <v>50</v>
      </c>
    </row>
    <row r="242" spans="1:6" x14ac:dyDescent="0.35">
      <c r="A242" t="s">
        <v>318</v>
      </c>
      <c r="B242">
        <v>1220</v>
      </c>
      <c r="C242" t="s">
        <v>1081</v>
      </c>
      <c r="D242">
        <v>50</v>
      </c>
      <c r="E242" t="s">
        <v>12</v>
      </c>
      <c r="F242">
        <v>50</v>
      </c>
    </row>
    <row r="243" spans="1:6" x14ac:dyDescent="0.35">
      <c r="A243" t="s">
        <v>319</v>
      </c>
      <c r="B243">
        <v>1220</v>
      </c>
      <c r="C243" t="s">
        <v>1084</v>
      </c>
      <c r="D243">
        <v>50</v>
      </c>
      <c r="E243" t="s">
        <v>12</v>
      </c>
      <c r="F243">
        <v>50</v>
      </c>
    </row>
    <row r="244" spans="1:6" x14ac:dyDescent="0.35">
      <c r="A244" t="s">
        <v>320</v>
      </c>
      <c r="B244">
        <v>1220</v>
      </c>
      <c r="C244" t="s">
        <v>1082</v>
      </c>
      <c r="D244">
        <v>50</v>
      </c>
      <c r="E244" t="s">
        <v>12</v>
      </c>
      <c r="F244">
        <v>50</v>
      </c>
    </row>
    <row r="245" spans="1:6" x14ac:dyDescent="0.35">
      <c r="A245" t="s">
        <v>321</v>
      </c>
      <c r="B245">
        <v>1220</v>
      </c>
      <c r="C245" t="s">
        <v>1083</v>
      </c>
      <c r="D245">
        <v>50</v>
      </c>
      <c r="E245" t="s">
        <v>12</v>
      </c>
      <c r="F245">
        <v>50</v>
      </c>
    </row>
    <row r="246" spans="1:6" x14ac:dyDescent="0.35">
      <c r="A246" t="s">
        <v>322</v>
      </c>
      <c r="B246">
        <v>1220</v>
      </c>
      <c r="C246" t="s">
        <v>1070</v>
      </c>
      <c r="D246">
        <v>50</v>
      </c>
      <c r="E246" t="s">
        <v>12</v>
      </c>
      <c r="F246">
        <v>50</v>
      </c>
    </row>
    <row r="247" spans="1:6" x14ac:dyDescent="0.35">
      <c r="A247" t="s">
        <v>323</v>
      </c>
      <c r="B247">
        <v>1222</v>
      </c>
      <c r="C247" t="s">
        <v>1086</v>
      </c>
      <c r="D247">
        <v>200</v>
      </c>
      <c r="E247" t="s">
        <v>12</v>
      </c>
      <c r="F247">
        <v>200</v>
      </c>
    </row>
    <row r="248" spans="1:6" x14ac:dyDescent="0.35">
      <c r="A248" t="s">
        <v>324</v>
      </c>
      <c r="B248">
        <v>1222</v>
      </c>
      <c r="C248" t="s">
        <v>1087</v>
      </c>
      <c r="D248">
        <v>200</v>
      </c>
      <c r="E248" t="s">
        <v>12</v>
      </c>
      <c r="F248">
        <v>200</v>
      </c>
    </row>
    <row r="249" spans="1:6" x14ac:dyDescent="0.35">
      <c r="A249" t="s">
        <v>325</v>
      </c>
      <c r="B249">
        <v>1222</v>
      </c>
      <c r="C249" t="s">
        <v>1077</v>
      </c>
      <c r="D249">
        <v>200</v>
      </c>
      <c r="E249" t="s">
        <v>12</v>
      </c>
      <c r="F249">
        <v>200</v>
      </c>
    </row>
    <row r="250" spans="1:6" x14ac:dyDescent="0.35">
      <c r="A250" t="s">
        <v>326</v>
      </c>
      <c r="B250">
        <v>1222</v>
      </c>
      <c r="C250" t="s">
        <v>1078</v>
      </c>
      <c r="D250">
        <v>200</v>
      </c>
      <c r="E250" t="s">
        <v>12</v>
      </c>
      <c r="F250">
        <v>200</v>
      </c>
    </row>
    <row r="251" spans="1:6" x14ac:dyDescent="0.35">
      <c r="A251" t="s">
        <v>327</v>
      </c>
      <c r="B251">
        <v>1222</v>
      </c>
      <c r="C251" t="s">
        <v>1081</v>
      </c>
      <c r="D251">
        <v>200</v>
      </c>
      <c r="E251" t="s">
        <v>12</v>
      </c>
      <c r="F251">
        <v>200</v>
      </c>
    </row>
    <row r="252" spans="1:6" x14ac:dyDescent="0.35">
      <c r="A252" t="s">
        <v>328</v>
      </c>
      <c r="B252">
        <v>1222</v>
      </c>
      <c r="C252" t="s">
        <v>1084</v>
      </c>
      <c r="D252">
        <v>200</v>
      </c>
      <c r="E252" t="s">
        <v>12</v>
      </c>
      <c r="F252">
        <v>200</v>
      </c>
    </row>
    <row r="253" spans="1:6" x14ac:dyDescent="0.35">
      <c r="A253" t="s">
        <v>329</v>
      </c>
      <c r="B253">
        <v>1222</v>
      </c>
      <c r="C253" t="s">
        <v>1082</v>
      </c>
      <c r="D253">
        <v>200</v>
      </c>
      <c r="E253" t="s">
        <v>12</v>
      </c>
      <c r="F253">
        <v>200</v>
      </c>
    </row>
    <row r="254" spans="1:6" x14ac:dyDescent="0.35">
      <c r="A254" t="s">
        <v>330</v>
      </c>
      <c r="B254">
        <v>1222</v>
      </c>
      <c r="C254" t="s">
        <v>1083</v>
      </c>
      <c r="D254">
        <v>200</v>
      </c>
      <c r="E254" t="s">
        <v>12</v>
      </c>
      <c r="F254">
        <v>200</v>
      </c>
    </row>
    <row r="255" spans="1:6" x14ac:dyDescent="0.35">
      <c r="A255" t="s">
        <v>331</v>
      </c>
      <c r="B255">
        <v>1222</v>
      </c>
      <c r="C255" t="s">
        <v>1070</v>
      </c>
      <c r="D255">
        <v>200</v>
      </c>
      <c r="E255" t="s">
        <v>12</v>
      </c>
      <c r="F255">
        <v>200</v>
      </c>
    </row>
    <row r="256" spans="1:6" x14ac:dyDescent="0.35">
      <c r="A256" t="s">
        <v>332</v>
      </c>
      <c r="B256">
        <v>1222</v>
      </c>
      <c r="C256" t="s">
        <v>1071</v>
      </c>
      <c r="D256">
        <v>200</v>
      </c>
      <c r="E256" t="s">
        <v>12</v>
      </c>
      <c r="F256">
        <v>200</v>
      </c>
    </row>
    <row r="257" spans="1:6" x14ac:dyDescent="0.35">
      <c r="A257" t="s">
        <v>333</v>
      </c>
      <c r="B257">
        <v>1222</v>
      </c>
      <c r="C257" t="s">
        <v>1072</v>
      </c>
      <c r="D257">
        <v>200</v>
      </c>
      <c r="E257" t="s">
        <v>12</v>
      </c>
      <c r="F257">
        <v>200</v>
      </c>
    </row>
    <row r="258" spans="1:6" x14ac:dyDescent="0.35">
      <c r="A258" t="s">
        <v>334</v>
      </c>
      <c r="B258">
        <v>1222</v>
      </c>
      <c r="C258" t="s">
        <v>1073</v>
      </c>
      <c r="D258">
        <v>200</v>
      </c>
      <c r="E258" t="s">
        <v>12</v>
      </c>
      <c r="F258">
        <v>200</v>
      </c>
    </row>
    <row r="259" spans="1:6" x14ac:dyDescent="0.35">
      <c r="A259" t="s">
        <v>335</v>
      </c>
      <c r="B259">
        <v>1222</v>
      </c>
      <c r="C259" t="s">
        <v>1074</v>
      </c>
      <c r="D259">
        <v>200</v>
      </c>
      <c r="E259" t="s">
        <v>12</v>
      </c>
      <c r="F259">
        <v>200</v>
      </c>
    </row>
    <row r="260" spans="1:6" x14ac:dyDescent="0.35">
      <c r="A260" t="s">
        <v>336</v>
      </c>
      <c r="B260">
        <v>1222</v>
      </c>
      <c r="C260" t="s">
        <v>1075</v>
      </c>
      <c r="D260">
        <v>200</v>
      </c>
      <c r="E260" t="s">
        <v>12</v>
      </c>
      <c r="F260">
        <v>200</v>
      </c>
    </row>
    <row r="261" spans="1:6" x14ac:dyDescent="0.35">
      <c r="A261" t="s">
        <v>337</v>
      </c>
      <c r="B261">
        <v>1223</v>
      </c>
      <c r="C261" t="s">
        <v>1074</v>
      </c>
      <c r="D261">
        <v>500</v>
      </c>
      <c r="E261" t="s">
        <v>12</v>
      </c>
      <c r="F261">
        <v>500</v>
      </c>
    </row>
    <row r="262" spans="1:6" x14ac:dyDescent="0.35">
      <c r="A262" t="s">
        <v>338</v>
      </c>
      <c r="B262">
        <v>1223</v>
      </c>
      <c r="C262" t="s">
        <v>1075</v>
      </c>
      <c r="D262">
        <v>500</v>
      </c>
      <c r="E262" t="s">
        <v>12</v>
      </c>
      <c r="F262">
        <v>500</v>
      </c>
    </row>
    <row r="263" spans="1:6" x14ac:dyDescent="0.35">
      <c r="A263" t="s">
        <v>339</v>
      </c>
      <c r="B263">
        <v>1223</v>
      </c>
      <c r="C263" t="s">
        <v>1076</v>
      </c>
      <c r="D263">
        <v>500</v>
      </c>
      <c r="E263" t="s">
        <v>12</v>
      </c>
      <c r="F263">
        <v>500</v>
      </c>
    </row>
    <row r="264" spans="1:6" x14ac:dyDescent="0.35">
      <c r="A264" t="s">
        <v>340</v>
      </c>
      <c r="B264">
        <v>1225</v>
      </c>
      <c r="C264" t="s">
        <v>1080</v>
      </c>
      <c r="D264">
        <v>500</v>
      </c>
      <c r="E264" t="s">
        <v>12</v>
      </c>
      <c r="F264">
        <v>500</v>
      </c>
    </row>
    <row r="265" spans="1:6" x14ac:dyDescent="0.35">
      <c r="A265" t="s">
        <v>341</v>
      </c>
      <c r="B265">
        <v>1226</v>
      </c>
      <c r="C265" t="s">
        <v>1070</v>
      </c>
      <c r="D265">
        <v>50</v>
      </c>
      <c r="E265" t="s">
        <v>12</v>
      </c>
      <c r="F265">
        <v>50</v>
      </c>
    </row>
    <row r="266" spans="1:6" x14ac:dyDescent="0.35">
      <c r="A266" t="s">
        <v>342</v>
      </c>
      <c r="B266">
        <v>1226</v>
      </c>
      <c r="C266" t="s">
        <v>1071</v>
      </c>
      <c r="D266">
        <v>50</v>
      </c>
      <c r="E266" t="s">
        <v>12</v>
      </c>
      <c r="F266">
        <v>50</v>
      </c>
    </row>
    <row r="267" spans="1:6" x14ac:dyDescent="0.35">
      <c r="A267" t="s">
        <v>343</v>
      </c>
      <c r="B267">
        <v>1226</v>
      </c>
      <c r="C267" t="s">
        <v>1072</v>
      </c>
      <c r="D267">
        <v>50</v>
      </c>
      <c r="E267" t="s">
        <v>12</v>
      </c>
      <c r="F267">
        <v>50</v>
      </c>
    </row>
    <row r="268" spans="1:6" x14ac:dyDescent="0.35">
      <c r="A268" t="s">
        <v>344</v>
      </c>
      <c r="B268">
        <v>1226</v>
      </c>
      <c r="C268" t="s">
        <v>1073</v>
      </c>
      <c r="D268">
        <v>50</v>
      </c>
      <c r="E268" t="s">
        <v>12</v>
      </c>
      <c r="F268">
        <v>50</v>
      </c>
    </row>
    <row r="269" spans="1:6" x14ac:dyDescent="0.35">
      <c r="A269" t="s">
        <v>345</v>
      </c>
      <c r="B269">
        <v>1226</v>
      </c>
      <c r="C269" t="s">
        <v>1074</v>
      </c>
      <c r="D269">
        <v>50</v>
      </c>
      <c r="E269" t="s">
        <v>12</v>
      </c>
      <c r="F269">
        <v>50</v>
      </c>
    </row>
    <row r="270" spans="1:6" x14ac:dyDescent="0.35">
      <c r="A270" t="s">
        <v>346</v>
      </c>
      <c r="B270">
        <v>1226</v>
      </c>
      <c r="C270" t="s">
        <v>1075</v>
      </c>
      <c r="D270">
        <v>50</v>
      </c>
      <c r="E270" t="s">
        <v>12</v>
      </c>
      <c r="F270">
        <v>50</v>
      </c>
    </row>
    <row r="271" spans="1:6" x14ac:dyDescent="0.35">
      <c r="A271" t="s">
        <v>347</v>
      </c>
      <c r="B271">
        <v>1229</v>
      </c>
      <c r="C271" t="s">
        <v>1073</v>
      </c>
      <c r="D271">
        <v>500</v>
      </c>
      <c r="E271" t="s">
        <v>12</v>
      </c>
      <c r="F271">
        <v>500</v>
      </c>
    </row>
    <row r="272" spans="1:6" x14ac:dyDescent="0.35">
      <c r="A272" t="s">
        <v>348</v>
      </c>
      <c r="B272">
        <v>1229</v>
      </c>
      <c r="C272" t="s">
        <v>1074</v>
      </c>
      <c r="D272">
        <v>500</v>
      </c>
      <c r="E272" t="s">
        <v>12</v>
      </c>
      <c r="F272">
        <v>500</v>
      </c>
    </row>
    <row r="273" spans="1:6" x14ac:dyDescent="0.35">
      <c r="A273" t="s">
        <v>349</v>
      </c>
      <c r="B273">
        <v>1229</v>
      </c>
      <c r="C273" t="s">
        <v>1075</v>
      </c>
      <c r="D273">
        <v>500</v>
      </c>
      <c r="E273" t="s">
        <v>12</v>
      </c>
      <c r="F273">
        <v>500</v>
      </c>
    </row>
    <row r="274" spans="1:6" x14ac:dyDescent="0.35">
      <c r="A274" t="s">
        <v>350</v>
      </c>
      <c r="B274">
        <v>1229</v>
      </c>
      <c r="C274" t="s">
        <v>1076</v>
      </c>
      <c r="D274">
        <v>500</v>
      </c>
      <c r="E274" t="s">
        <v>12</v>
      </c>
      <c r="F274">
        <v>500</v>
      </c>
    </row>
    <row r="275" spans="1:6" x14ac:dyDescent="0.35">
      <c r="A275" t="s">
        <v>351</v>
      </c>
      <c r="B275">
        <v>1234</v>
      </c>
      <c r="C275" t="s">
        <v>1070</v>
      </c>
      <c r="D275">
        <v>50</v>
      </c>
      <c r="E275" t="s">
        <v>12</v>
      </c>
      <c r="F275">
        <v>50</v>
      </c>
    </row>
    <row r="276" spans="1:6" x14ac:dyDescent="0.35">
      <c r="A276" t="s">
        <v>352</v>
      </c>
      <c r="B276">
        <v>1234</v>
      </c>
      <c r="C276" t="s">
        <v>1071</v>
      </c>
      <c r="D276">
        <v>50</v>
      </c>
      <c r="E276" t="s">
        <v>12</v>
      </c>
      <c r="F276">
        <v>50</v>
      </c>
    </row>
    <row r="277" spans="1:6" x14ac:dyDescent="0.35">
      <c r="A277" t="s">
        <v>353</v>
      </c>
      <c r="B277">
        <v>1234</v>
      </c>
      <c r="C277" t="s">
        <v>1072</v>
      </c>
      <c r="D277">
        <v>50</v>
      </c>
      <c r="E277" t="s">
        <v>12</v>
      </c>
      <c r="F277">
        <v>50</v>
      </c>
    </row>
    <row r="278" spans="1:6" x14ac:dyDescent="0.35">
      <c r="A278" t="s">
        <v>354</v>
      </c>
      <c r="B278">
        <v>1234</v>
      </c>
      <c r="C278" t="s">
        <v>1073</v>
      </c>
      <c r="D278">
        <v>50</v>
      </c>
      <c r="E278" t="s">
        <v>12</v>
      </c>
      <c r="F278">
        <v>50</v>
      </c>
    </row>
    <row r="279" spans="1:6" x14ac:dyDescent="0.35">
      <c r="A279" t="s">
        <v>355</v>
      </c>
      <c r="B279">
        <v>1234</v>
      </c>
      <c r="C279" t="s">
        <v>1074</v>
      </c>
      <c r="D279">
        <v>50</v>
      </c>
      <c r="E279" t="s">
        <v>12</v>
      </c>
      <c r="F279">
        <v>50</v>
      </c>
    </row>
    <row r="280" spans="1:6" x14ac:dyDescent="0.35">
      <c r="A280" t="s">
        <v>356</v>
      </c>
      <c r="B280">
        <v>1235</v>
      </c>
      <c r="C280" t="s">
        <v>1074</v>
      </c>
      <c r="D280">
        <v>500</v>
      </c>
      <c r="E280" t="s">
        <v>12</v>
      </c>
      <c r="F280">
        <v>500</v>
      </c>
    </row>
    <row r="281" spans="1:6" x14ac:dyDescent="0.35">
      <c r="A281" t="s">
        <v>357</v>
      </c>
      <c r="B281">
        <v>1235</v>
      </c>
      <c r="C281" t="s">
        <v>1075</v>
      </c>
      <c r="D281">
        <v>500</v>
      </c>
      <c r="E281" t="s">
        <v>12</v>
      </c>
      <c r="F281">
        <v>500</v>
      </c>
    </row>
    <row r="282" spans="1:6" x14ac:dyDescent="0.35">
      <c r="A282" t="s">
        <v>358</v>
      </c>
      <c r="B282">
        <v>1239</v>
      </c>
      <c r="C282" t="s">
        <v>1078</v>
      </c>
      <c r="D282">
        <v>200</v>
      </c>
      <c r="E282" t="s">
        <v>12</v>
      </c>
      <c r="F282">
        <v>200</v>
      </c>
    </row>
    <row r="283" spans="1:6" x14ac:dyDescent="0.35">
      <c r="A283" t="s">
        <v>359</v>
      </c>
      <c r="B283">
        <v>1239</v>
      </c>
      <c r="C283" t="s">
        <v>1081</v>
      </c>
      <c r="D283">
        <v>200</v>
      </c>
      <c r="E283" t="s">
        <v>12</v>
      </c>
      <c r="F283">
        <v>200</v>
      </c>
    </row>
    <row r="284" spans="1:6" x14ac:dyDescent="0.35">
      <c r="A284" t="s">
        <v>360</v>
      </c>
      <c r="B284">
        <v>1239</v>
      </c>
      <c r="C284" t="s">
        <v>1084</v>
      </c>
      <c r="D284">
        <v>200</v>
      </c>
      <c r="E284" t="s">
        <v>12</v>
      </c>
      <c r="F284">
        <v>200</v>
      </c>
    </row>
    <row r="285" spans="1:6" x14ac:dyDescent="0.35">
      <c r="A285" t="s">
        <v>361</v>
      </c>
      <c r="B285">
        <v>1239</v>
      </c>
      <c r="C285" t="s">
        <v>1082</v>
      </c>
      <c r="D285">
        <v>200</v>
      </c>
      <c r="E285" t="s">
        <v>12</v>
      </c>
      <c r="F285">
        <v>200</v>
      </c>
    </row>
    <row r="286" spans="1:6" x14ac:dyDescent="0.35">
      <c r="A286" t="s">
        <v>362</v>
      </c>
      <c r="B286">
        <v>1239</v>
      </c>
      <c r="C286" t="s">
        <v>1083</v>
      </c>
      <c r="D286">
        <v>200</v>
      </c>
      <c r="E286" t="s">
        <v>12</v>
      </c>
      <c r="F286">
        <v>200</v>
      </c>
    </row>
    <row r="287" spans="1:6" x14ac:dyDescent="0.35">
      <c r="A287" t="s">
        <v>363</v>
      </c>
      <c r="B287">
        <v>1239</v>
      </c>
      <c r="C287" t="s">
        <v>1070</v>
      </c>
      <c r="D287">
        <v>200</v>
      </c>
      <c r="E287" t="s">
        <v>12</v>
      </c>
      <c r="F287">
        <v>200</v>
      </c>
    </row>
    <row r="288" spans="1:6" x14ac:dyDescent="0.35">
      <c r="A288" t="s">
        <v>364</v>
      </c>
      <c r="B288">
        <v>1239</v>
      </c>
      <c r="C288" t="s">
        <v>1071</v>
      </c>
      <c r="D288">
        <v>200</v>
      </c>
      <c r="E288" t="s">
        <v>12</v>
      </c>
      <c r="F288">
        <v>200</v>
      </c>
    </row>
    <row r="289" spans="1:6" x14ac:dyDescent="0.35">
      <c r="A289" t="s">
        <v>365</v>
      </c>
      <c r="B289">
        <v>1239</v>
      </c>
      <c r="C289" t="s">
        <v>1072</v>
      </c>
      <c r="D289">
        <v>200</v>
      </c>
      <c r="E289" t="s">
        <v>12</v>
      </c>
      <c r="F289">
        <v>200</v>
      </c>
    </row>
    <row r="290" spans="1:6" x14ac:dyDescent="0.35">
      <c r="A290" t="s">
        <v>366</v>
      </c>
      <c r="B290">
        <v>1239</v>
      </c>
      <c r="C290" t="s">
        <v>1073</v>
      </c>
      <c r="D290">
        <v>200</v>
      </c>
      <c r="E290" t="s">
        <v>12</v>
      </c>
      <c r="F290">
        <v>200</v>
      </c>
    </row>
    <row r="291" spans="1:6" x14ac:dyDescent="0.35">
      <c r="A291" t="s">
        <v>367</v>
      </c>
      <c r="B291">
        <v>1239</v>
      </c>
      <c r="C291" t="s">
        <v>1074</v>
      </c>
      <c r="D291">
        <v>200</v>
      </c>
      <c r="E291" t="s">
        <v>12</v>
      </c>
      <c r="F291">
        <v>200</v>
      </c>
    </row>
    <row r="292" spans="1:6" x14ac:dyDescent="0.35">
      <c r="A292" t="s">
        <v>368</v>
      </c>
      <c r="B292">
        <v>1239</v>
      </c>
      <c r="C292" t="s">
        <v>1075</v>
      </c>
      <c r="D292">
        <v>200</v>
      </c>
      <c r="E292" t="s">
        <v>12</v>
      </c>
      <c r="F292">
        <v>200</v>
      </c>
    </row>
    <row r="293" spans="1:6" x14ac:dyDescent="0.35">
      <c r="A293" t="s">
        <v>369</v>
      </c>
      <c r="B293">
        <v>1239</v>
      </c>
      <c r="C293" t="s">
        <v>1076</v>
      </c>
      <c r="D293">
        <v>200</v>
      </c>
      <c r="E293" t="s">
        <v>12</v>
      </c>
      <c r="F293">
        <v>200</v>
      </c>
    </row>
    <row r="294" spans="1:6" x14ac:dyDescent="0.35">
      <c r="A294" t="s">
        <v>370</v>
      </c>
      <c r="B294">
        <v>1239</v>
      </c>
      <c r="C294" t="s">
        <v>1079</v>
      </c>
      <c r="D294">
        <v>200</v>
      </c>
      <c r="E294" t="s">
        <v>12</v>
      </c>
      <c r="F294">
        <v>200</v>
      </c>
    </row>
    <row r="295" spans="1:6" x14ac:dyDescent="0.35">
      <c r="A295" t="s">
        <v>371</v>
      </c>
      <c r="B295">
        <v>1241</v>
      </c>
      <c r="C295" t="s">
        <v>1083</v>
      </c>
      <c r="D295">
        <v>200</v>
      </c>
      <c r="E295" t="s">
        <v>12</v>
      </c>
      <c r="F295">
        <v>200</v>
      </c>
    </row>
    <row r="296" spans="1:6" x14ac:dyDescent="0.35">
      <c r="A296" t="s">
        <v>372</v>
      </c>
      <c r="B296">
        <v>1241</v>
      </c>
      <c r="C296" t="s">
        <v>1070</v>
      </c>
      <c r="D296">
        <v>200</v>
      </c>
      <c r="E296" t="s">
        <v>12</v>
      </c>
      <c r="F296">
        <v>200</v>
      </c>
    </row>
    <row r="297" spans="1:6" x14ac:dyDescent="0.35">
      <c r="A297" t="s">
        <v>373</v>
      </c>
      <c r="B297">
        <v>1241</v>
      </c>
      <c r="C297" t="s">
        <v>1071</v>
      </c>
      <c r="D297">
        <v>200</v>
      </c>
      <c r="E297" t="s">
        <v>12</v>
      </c>
      <c r="F297">
        <v>200</v>
      </c>
    </row>
    <row r="298" spans="1:6" x14ac:dyDescent="0.35">
      <c r="A298" t="s">
        <v>374</v>
      </c>
      <c r="B298">
        <v>1241</v>
      </c>
      <c r="C298" t="s">
        <v>1072</v>
      </c>
      <c r="D298">
        <v>200</v>
      </c>
      <c r="E298" t="s">
        <v>12</v>
      </c>
      <c r="F298">
        <v>200</v>
      </c>
    </row>
    <row r="299" spans="1:6" x14ac:dyDescent="0.35">
      <c r="A299" t="s">
        <v>375</v>
      </c>
      <c r="B299">
        <v>1241</v>
      </c>
      <c r="C299" t="s">
        <v>1073</v>
      </c>
      <c r="D299">
        <v>200</v>
      </c>
      <c r="E299" t="s">
        <v>12</v>
      </c>
      <c r="F299">
        <v>200</v>
      </c>
    </row>
    <row r="300" spans="1:6" x14ac:dyDescent="0.35">
      <c r="A300" t="s">
        <v>376</v>
      </c>
      <c r="B300">
        <v>1241</v>
      </c>
      <c r="C300" t="s">
        <v>1074</v>
      </c>
      <c r="D300">
        <v>200</v>
      </c>
      <c r="E300" t="s">
        <v>12</v>
      </c>
      <c r="F300">
        <v>200</v>
      </c>
    </row>
    <row r="301" spans="1:6" x14ac:dyDescent="0.35">
      <c r="A301" t="s">
        <v>377</v>
      </c>
      <c r="B301">
        <v>1241</v>
      </c>
      <c r="C301" t="s">
        <v>1075</v>
      </c>
      <c r="D301">
        <v>200</v>
      </c>
      <c r="E301" t="s">
        <v>12</v>
      </c>
      <c r="F301">
        <v>200</v>
      </c>
    </row>
    <row r="302" spans="1:6" x14ac:dyDescent="0.35">
      <c r="A302" t="s">
        <v>378</v>
      </c>
      <c r="B302">
        <v>1242</v>
      </c>
      <c r="C302" t="s">
        <v>1075</v>
      </c>
      <c r="D302">
        <v>50</v>
      </c>
      <c r="E302" t="s">
        <v>12</v>
      </c>
      <c r="F302">
        <v>50</v>
      </c>
    </row>
    <row r="303" spans="1:6" x14ac:dyDescent="0.35">
      <c r="A303" t="s">
        <v>379</v>
      </c>
      <c r="B303">
        <v>1242</v>
      </c>
      <c r="C303" t="s">
        <v>1076</v>
      </c>
      <c r="D303">
        <v>50</v>
      </c>
      <c r="E303" t="s">
        <v>12</v>
      </c>
      <c r="F303">
        <v>50</v>
      </c>
    </row>
    <row r="304" spans="1:6" x14ac:dyDescent="0.35">
      <c r="A304" t="s">
        <v>380</v>
      </c>
      <c r="B304">
        <v>1242</v>
      </c>
      <c r="C304" t="s">
        <v>1079</v>
      </c>
      <c r="D304">
        <v>50</v>
      </c>
      <c r="E304" t="s">
        <v>12</v>
      </c>
      <c r="F304">
        <v>50</v>
      </c>
    </row>
    <row r="305" spans="1:6" x14ac:dyDescent="0.35">
      <c r="A305" t="s">
        <v>381</v>
      </c>
      <c r="B305">
        <v>1242</v>
      </c>
      <c r="C305" t="s">
        <v>1080</v>
      </c>
      <c r="D305">
        <v>50</v>
      </c>
      <c r="E305" t="s">
        <v>12</v>
      </c>
      <c r="F305">
        <v>50</v>
      </c>
    </row>
    <row r="306" spans="1:6" x14ac:dyDescent="0.35">
      <c r="A306" t="s">
        <v>382</v>
      </c>
      <c r="B306">
        <v>1247</v>
      </c>
      <c r="C306" t="s">
        <v>1078</v>
      </c>
      <c r="D306">
        <v>200</v>
      </c>
      <c r="E306" t="s">
        <v>12</v>
      </c>
      <c r="F306">
        <v>200</v>
      </c>
    </row>
    <row r="307" spans="1:6" x14ac:dyDescent="0.35">
      <c r="A307" t="s">
        <v>383</v>
      </c>
      <c r="B307">
        <v>1247</v>
      </c>
      <c r="C307" t="s">
        <v>1081</v>
      </c>
      <c r="D307">
        <v>200</v>
      </c>
      <c r="E307" t="s">
        <v>12</v>
      </c>
      <c r="F307">
        <v>200</v>
      </c>
    </row>
    <row r="308" spans="1:6" x14ac:dyDescent="0.35">
      <c r="A308" t="s">
        <v>384</v>
      </c>
      <c r="B308">
        <v>1247</v>
      </c>
      <c r="C308" t="s">
        <v>1084</v>
      </c>
      <c r="D308">
        <v>200</v>
      </c>
      <c r="E308" t="s">
        <v>12</v>
      </c>
      <c r="F308">
        <v>200</v>
      </c>
    </row>
    <row r="309" spans="1:6" x14ac:dyDescent="0.35">
      <c r="A309" t="s">
        <v>385</v>
      </c>
      <c r="B309">
        <v>1257</v>
      </c>
      <c r="C309" t="s">
        <v>1087</v>
      </c>
      <c r="D309">
        <v>500</v>
      </c>
      <c r="E309" t="s">
        <v>12</v>
      </c>
      <c r="F309">
        <v>500</v>
      </c>
    </row>
    <row r="310" spans="1:6" x14ac:dyDescent="0.35">
      <c r="A310" t="s">
        <v>386</v>
      </c>
      <c r="B310">
        <v>1257</v>
      </c>
      <c r="C310" t="s">
        <v>1077</v>
      </c>
      <c r="D310">
        <v>500</v>
      </c>
      <c r="E310" t="s">
        <v>12</v>
      </c>
      <c r="F310">
        <v>500</v>
      </c>
    </row>
    <row r="311" spans="1:6" x14ac:dyDescent="0.35">
      <c r="A311" t="s">
        <v>387</v>
      </c>
      <c r="B311">
        <v>1257</v>
      </c>
      <c r="C311" t="s">
        <v>1078</v>
      </c>
      <c r="D311">
        <v>500</v>
      </c>
      <c r="E311" t="s">
        <v>12</v>
      </c>
      <c r="F311">
        <v>500</v>
      </c>
    </row>
    <row r="312" spans="1:6" x14ac:dyDescent="0.35">
      <c r="A312" t="s">
        <v>388</v>
      </c>
      <c r="B312">
        <v>1263</v>
      </c>
      <c r="C312" t="s">
        <v>1073</v>
      </c>
      <c r="D312">
        <v>50</v>
      </c>
      <c r="E312" t="s">
        <v>12</v>
      </c>
      <c r="F312">
        <v>50</v>
      </c>
    </row>
    <row r="313" spans="1:6" x14ac:dyDescent="0.35">
      <c r="A313" t="s">
        <v>389</v>
      </c>
      <c r="B313">
        <v>1263</v>
      </c>
      <c r="C313" t="s">
        <v>1074</v>
      </c>
      <c r="D313">
        <v>50</v>
      </c>
      <c r="E313" t="s">
        <v>12</v>
      </c>
      <c r="F313">
        <v>50</v>
      </c>
    </row>
    <row r="314" spans="1:6" x14ac:dyDescent="0.35">
      <c r="A314" t="s">
        <v>390</v>
      </c>
      <c r="B314">
        <v>1263</v>
      </c>
      <c r="C314" t="s">
        <v>1075</v>
      </c>
      <c r="D314">
        <v>50</v>
      </c>
      <c r="E314" t="s">
        <v>12</v>
      </c>
      <c r="F314">
        <v>50</v>
      </c>
    </row>
    <row r="315" spans="1:6" x14ac:dyDescent="0.35">
      <c r="A315" t="s">
        <v>391</v>
      </c>
      <c r="B315">
        <v>1263</v>
      </c>
      <c r="C315" t="s">
        <v>1076</v>
      </c>
      <c r="D315">
        <v>50</v>
      </c>
      <c r="E315" t="s">
        <v>12</v>
      </c>
      <c r="F315">
        <v>50</v>
      </c>
    </row>
    <row r="316" spans="1:6" x14ac:dyDescent="0.35">
      <c r="A316" t="s">
        <v>392</v>
      </c>
      <c r="B316">
        <v>1263</v>
      </c>
      <c r="C316" t="s">
        <v>1079</v>
      </c>
      <c r="D316">
        <v>50</v>
      </c>
      <c r="E316" t="s">
        <v>12</v>
      </c>
      <c r="F316">
        <v>50</v>
      </c>
    </row>
    <row r="317" spans="1:6" x14ac:dyDescent="0.35">
      <c r="A317" t="s">
        <v>393</v>
      </c>
      <c r="B317">
        <v>1263</v>
      </c>
      <c r="C317" t="s">
        <v>1080</v>
      </c>
      <c r="D317">
        <v>50</v>
      </c>
      <c r="E317" t="s">
        <v>12</v>
      </c>
      <c r="F317">
        <v>50</v>
      </c>
    </row>
    <row r="318" spans="1:6" x14ac:dyDescent="0.35">
      <c r="A318" t="s">
        <v>394</v>
      </c>
      <c r="B318">
        <v>1265</v>
      </c>
      <c r="C318" t="s">
        <v>1087</v>
      </c>
      <c r="D318">
        <v>50</v>
      </c>
      <c r="E318" t="s">
        <v>12</v>
      </c>
      <c r="F318">
        <v>50</v>
      </c>
    </row>
    <row r="319" spans="1:6" x14ac:dyDescent="0.35">
      <c r="A319" t="s">
        <v>395</v>
      </c>
      <c r="B319">
        <v>1265</v>
      </c>
      <c r="C319" t="s">
        <v>1077</v>
      </c>
      <c r="D319">
        <v>50</v>
      </c>
      <c r="E319" t="s">
        <v>12</v>
      </c>
      <c r="F319">
        <v>50</v>
      </c>
    </row>
    <row r="320" spans="1:6" x14ac:dyDescent="0.35">
      <c r="A320" t="s">
        <v>396</v>
      </c>
      <c r="B320">
        <v>1265</v>
      </c>
      <c r="C320" t="s">
        <v>1078</v>
      </c>
      <c r="D320">
        <v>50</v>
      </c>
      <c r="E320" t="s">
        <v>12</v>
      </c>
      <c r="F320">
        <v>50</v>
      </c>
    </row>
    <row r="321" spans="1:6" x14ac:dyDescent="0.35">
      <c r="A321" t="s">
        <v>397</v>
      </c>
      <c r="B321">
        <v>1265</v>
      </c>
      <c r="C321" t="s">
        <v>1081</v>
      </c>
      <c r="D321">
        <v>50</v>
      </c>
      <c r="E321" t="s">
        <v>12</v>
      </c>
      <c r="F321">
        <v>50</v>
      </c>
    </row>
    <row r="322" spans="1:6" x14ac:dyDescent="0.35">
      <c r="A322" t="s">
        <v>398</v>
      </c>
      <c r="B322">
        <v>1268</v>
      </c>
      <c r="C322" t="s">
        <v>1078</v>
      </c>
      <c r="D322">
        <v>500</v>
      </c>
      <c r="E322" t="s">
        <v>12</v>
      </c>
      <c r="F322">
        <v>500</v>
      </c>
    </row>
    <row r="323" spans="1:6" x14ac:dyDescent="0.35">
      <c r="A323" t="s">
        <v>399</v>
      </c>
      <c r="B323">
        <v>1268</v>
      </c>
      <c r="C323" t="s">
        <v>1081</v>
      </c>
      <c r="D323">
        <v>500</v>
      </c>
      <c r="E323" t="s">
        <v>12</v>
      </c>
      <c r="F323">
        <v>500</v>
      </c>
    </row>
    <row r="324" spans="1:6" x14ac:dyDescent="0.35">
      <c r="A324" t="s">
        <v>400</v>
      </c>
      <c r="B324">
        <v>1268</v>
      </c>
      <c r="C324" t="s">
        <v>1084</v>
      </c>
      <c r="D324">
        <v>500</v>
      </c>
      <c r="E324" t="s">
        <v>12</v>
      </c>
      <c r="F324">
        <v>500</v>
      </c>
    </row>
    <row r="325" spans="1:6" x14ac:dyDescent="0.35">
      <c r="A325" t="s">
        <v>401</v>
      </c>
      <c r="B325">
        <v>1268</v>
      </c>
      <c r="C325" t="s">
        <v>1082</v>
      </c>
      <c r="D325">
        <v>500</v>
      </c>
      <c r="E325" t="s">
        <v>12</v>
      </c>
      <c r="F325">
        <v>500</v>
      </c>
    </row>
    <row r="326" spans="1:6" x14ac:dyDescent="0.35">
      <c r="A326" t="s">
        <v>402</v>
      </c>
      <c r="B326">
        <v>1268</v>
      </c>
      <c r="C326" t="s">
        <v>1083</v>
      </c>
      <c r="D326">
        <v>500</v>
      </c>
      <c r="E326" t="s">
        <v>12</v>
      </c>
      <c r="F326">
        <v>500</v>
      </c>
    </row>
    <row r="327" spans="1:6" x14ac:dyDescent="0.35">
      <c r="A327" t="s">
        <v>403</v>
      </c>
      <c r="B327">
        <v>1268</v>
      </c>
      <c r="C327" t="s">
        <v>1070</v>
      </c>
      <c r="D327">
        <v>500</v>
      </c>
      <c r="E327" t="s">
        <v>12</v>
      </c>
      <c r="F327">
        <v>500</v>
      </c>
    </row>
    <row r="328" spans="1:6" x14ac:dyDescent="0.35">
      <c r="A328" t="s">
        <v>404</v>
      </c>
      <c r="B328">
        <v>1268</v>
      </c>
      <c r="C328" t="s">
        <v>1071</v>
      </c>
      <c r="D328">
        <v>500</v>
      </c>
      <c r="E328" t="s">
        <v>12</v>
      </c>
      <c r="F328">
        <v>500</v>
      </c>
    </row>
    <row r="329" spans="1:6" x14ac:dyDescent="0.35">
      <c r="A329" t="s">
        <v>405</v>
      </c>
      <c r="B329">
        <v>1268</v>
      </c>
      <c r="C329" t="s">
        <v>1072</v>
      </c>
      <c r="D329">
        <v>500</v>
      </c>
      <c r="E329" t="s">
        <v>12</v>
      </c>
      <c r="F329">
        <v>500</v>
      </c>
    </row>
    <row r="330" spans="1:6" x14ac:dyDescent="0.35">
      <c r="A330" t="s">
        <v>406</v>
      </c>
      <c r="B330">
        <v>1268</v>
      </c>
      <c r="C330" t="s">
        <v>1073</v>
      </c>
      <c r="D330">
        <v>500</v>
      </c>
      <c r="E330" t="s">
        <v>12</v>
      </c>
      <c r="F330">
        <v>500</v>
      </c>
    </row>
    <row r="331" spans="1:6" x14ac:dyDescent="0.35">
      <c r="A331" t="s">
        <v>407</v>
      </c>
      <c r="B331">
        <v>1268</v>
      </c>
      <c r="C331" t="s">
        <v>1074</v>
      </c>
      <c r="D331">
        <v>500</v>
      </c>
      <c r="E331" t="s">
        <v>12</v>
      </c>
      <c r="F331">
        <v>500</v>
      </c>
    </row>
    <row r="332" spans="1:6" x14ac:dyDescent="0.35">
      <c r="A332" t="s">
        <v>408</v>
      </c>
      <c r="B332">
        <v>1268</v>
      </c>
      <c r="C332" t="s">
        <v>1075</v>
      </c>
      <c r="D332">
        <v>500</v>
      </c>
      <c r="E332" t="s">
        <v>12</v>
      </c>
      <c r="F332">
        <v>500</v>
      </c>
    </row>
    <row r="333" spans="1:6" x14ac:dyDescent="0.35">
      <c r="A333" t="s">
        <v>409</v>
      </c>
      <c r="B333">
        <v>1268</v>
      </c>
      <c r="C333" t="s">
        <v>1076</v>
      </c>
      <c r="D333">
        <v>500</v>
      </c>
      <c r="E333" t="s">
        <v>12</v>
      </c>
      <c r="F333">
        <v>500</v>
      </c>
    </row>
    <row r="334" spans="1:6" x14ac:dyDescent="0.35">
      <c r="A334" t="s">
        <v>410</v>
      </c>
      <c r="B334">
        <v>1268</v>
      </c>
      <c r="C334" t="s">
        <v>1079</v>
      </c>
      <c r="D334">
        <v>500</v>
      </c>
      <c r="E334" t="s">
        <v>12</v>
      </c>
      <c r="F334">
        <v>500</v>
      </c>
    </row>
    <row r="335" spans="1:6" x14ac:dyDescent="0.35">
      <c r="A335" t="s">
        <v>411</v>
      </c>
      <c r="B335">
        <v>1273</v>
      </c>
      <c r="C335" t="s">
        <v>1070</v>
      </c>
      <c r="D335">
        <v>200</v>
      </c>
      <c r="E335" t="s">
        <v>12</v>
      </c>
      <c r="F335">
        <v>200</v>
      </c>
    </row>
    <row r="336" spans="1:6" x14ac:dyDescent="0.35">
      <c r="A336" t="s">
        <v>412</v>
      </c>
      <c r="B336">
        <v>1273</v>
      </c>
      <c r="C336" t="s">
        <v>1071</v>
      </c>
      <c r="D336">
        <v>200</v>
      </c>
      <c r="E336" t="s">
        <v>12</v>
      </c>
      <c r="F336">
        <v>200</v>
      </c>
    </row>
    <row r="337" spans="1:6" x14ac:dyDescent="0.35">
      <c r="A337" t="s">
        <v>413</v>
      </c>
      <c r="B337">
        <v>1273</v>
      </c>
      <c r="C337" t="s">
        <v>1072</v>
      </c>
      <c r="D337">
        <v>200</v>
      </c>
      <c r="E337" t="s">
        <v>12</v>
      </c>
      <c r="F337">
        <v>200</v>
      </c>
    </row>
    <row r="338" spans="1:6" x14ac:dyDescent="0.35">
      <c r="A338" t="s">
        <v>414</v>
      </c>
      <c r="B338">
        <v>1273</v>
      </c>
      <c r="C338" t="s">
        <v>1073</v>
      </c>
      <c r="D338">
        <v>200</v>
      </c>
      <c r="E338" t="s">
        <v>12</v>
      </c>
      <c r="F338">
        <v>200</v>
      </c>
    </row>
    <row r="339" spans="1:6" x14ac:dyDescent="0.35">
      <c r="A339" t="s">
        <v>415</v>
      </c>
      <c r="B339">
        <v>1273</v>
      </c>
      <c r="C339" t="s">
        <v>1074</v>
      </c>
      <c r="D339">
        <v>200</v>
      </c>
      <c r="E339" t="s">
        <v>12</v>
      </c>
      <c r="F339">
        <v>200</v>
      </c>
    </row>
    <row r="340" spans="1:6" x14ac:dyDescent="0.35">
      <c r="A340" t="s">
        <v>416</v>
      </c>
      <c r="B340">
        <v>1273</v>
      </c>
      <c r="C340" t="s">
        <v>1075</v>
      </c>
      <c r="D340">
        <v>200</v>
      </c>
      <c r="E340" t="s">
        <v>12</v>
      </c>
      <c r="F340">
        <v>200</v>
      </c>
    </row>
    <row r="341" spans="1:6" x14ac:dyDescent="0.35">
      <c r="A341" t="s">
        <v>417</v>
      </c>
      <c r="B341">
        <v>1273</v>
      </c>
      <c r="C341" t="s">
        <v>1076</v>
      </c>
      <c r="D341">
        <v>200</v>
      </c>
      <c r="E341" t="s">
        <v>12</v>
      </c>
      <c r="F341">
        <v>200</v>
      </c>
    </row>
    <row r="342" spans="1:6" x14ac:dyDescent="0.35">
      <c r="A342" t="s">
        <v>418</v>
      </c>
      <c r="B342">
        <v>1276</v>
      </c>
      <c r="C342" t="s">
        <v>1074</v>
      </c>
      <c r="D342">
        <v>200</v>
      </c>
      <c r="E342" t="s">
        <v>12</v>
      </c>
      <c r="F342">
        <v>200</v>
      </c>
    </row>
    <row r="343" spans="1:6" x14ac:dyDescent="0.35">
      <c r="A343" t="s">
        <v>419</v>
      </c>
      <c r="B343">
        <v>1276</v>
      </c>
      <c r="C343" t="s">
        <v>1075</v>
      </c>
      <c r="D343">
        <v>200</v>
      </c>
      <c r="E343" t="s">
        <v>12</v>
      </c>
      <c r="F343">
        <v>200</v>
      </c>
    </row>
    <row r="344" spans="1:6" x14ac:dyDescent="0.35">
      <c r="A344" t="s">
        <v>420</v>
      </c>
      <c r="B344">
        <v>1277</v>
      </c>
      <c r="C344" t="s">
        <v>1080</v>
      </c>
      <c r="D344">
        <v>500</v>
      </c>
      <c r="E344" t="s">
        <v>12</v>
      </c>
      <c r="F344">
        <v>500</v>
      </c>
    </row>
    <row r="345" spans="1:6" x14ac:dyDescent="0.35">
      <c r="A345" t="s">
        <v>421</v>
      </c>
      <c r="B345">
        <v>1278</v>
      </c>
      <c r="C345" t="s">
        <v>1076</v>
      </c>
      <c r="D345">
        <v>500</v>
      </c>
      <c r="E345" t="s">
        <v>12</v>
      </c>
      <c r="F345">
        <v>500</v>
      </c>
    </row>
    <row r="346" spans="1:6" x14ac:dyDescent="0.35">
      <c r="A346" t="s">
        <v>422</v>
      </c>
      <c r="B346">
        <v>1278</v>
      </c>
      <c r="C346" t="s">
        <v>1079</v>
      </c>
      <c r="D346">
        <v>500</v>
      </c>
      <c r="E346" t="s">
        <v>12</v>
      </c>
      <c r="F346">
        <v>500</v>
      </c>
    </row>
    <row r="347" spans="1:6" x14ac:dyDescent="0.35">
      <c r="A347" t="s">
        <v>423</v>
      </c>
      <c r="B347">
        <v>1282</v>
      </c>
      <c r="C347" t="s">
        <v>1087</v>
      </c>
      <c r="D347">
        <v>200</v>
      </c>
      <c r="E347" t="s">
        <v>12</v>
      </c>
      <c r="F347">
        <v>200</v>
      </c>
    </row>
    <row r="348" spans="1:6" x14ac:dyDescent="0.35">
      <c r="A348" t="s">
        <v>424</v>
      </c>
      <c r="B348">
        <v>1282</v>
      </c>
      <c r="C348" t="s">
        <v>1077</v>
      </c>
      <c r="D348">
        <v>200</v>
      </c>
      <c r="E348" t="s">
        <v>12</v>
      </c>
      <c r="F348">
        <v>200</v>
      </c>
    </row>
    <row r="349" spans="1:6" x14ac:dyDescent="0.35">
      <c r="A349" t="s">
        <v>425</v>
      </c>
      <c r="B349">
        <v>1282</v>
      </c>
      <c r="C349" t="s">
        <v>1078</v>
      </c>
      <c r="D349">
        <v>200</v>
      </c>
      <c r="E349" t="s">
        <v>12</v>
      </c>
      <c r="F349">
        <v>200</v>
      </c>
    </row>
    <row r="350" spans="1:6" x14ac:dyDescent="0.35">
      <c r="A350" t="s">
        <v>426</v>
      </c>
      <c r="B350">
        <v>1282</v>
      </c>
      <c r="C350" t="s">
        <v>1081</v>
      </c>
      <c r="D350">
        <v>200</v>
      </c>
      <c r="E350" t="s">
        <v>12</v>
      </c>
      <c r="F350">
        <v>200</v>
      </c>
    </row>
    <row r="351" spans="1:6" x14ac:dyDescent="0.35">
      <c r="A351" t="s">
        <v>427</v>
      </c>
      <c r="B351">
        <v>1282</v>
      </c>
      <c r="C351" t="s">
        <v>1084</v>
      </c>
      <c r="D351">
        <v>200</v>
      </c>
      <c r="E351" t="s">
        <v>12</v>
      </c>
      <c r="F351">
        <v>200</v>
      </c>
    </row>
    <row r="352" spans="1:6" x14ac:dyDescent="0.35">
      <c r="A352" t="s">
        <v>428</v>
      </c>
      <c r="B352">
        <v>1282</v>
      </c>
      <c r="C352" t="s">
        <v>1082</v>
      </c>
      <c r="D352">
        <v>200</v>
      </c>
      <c r="E352" t="s">
        <v>12</v>
      </c>
      <c r="F352">
        <v>200</v>
      </c>
    </row>
    <row r="353" spans="1:6" x14ac:dyDescent="0.35">
      <c r="A353" t="s">
        <v>429</v>
      </c>
      <c r="B353">
        <v>1282</v>
      </c>
      <c r="C353" t="s">
        <v>1083</v>
      </c>
      <c r="D353">
        <v>200</v>
      </c>
      <c r="E353" t="s">
        <v>12</v>
      </c>
      <c r="F353">
        <v>200</v>
      </c>
    </row>
    <row r="354" spans="1:6" x14ac:dyDescent="0.35">
      <c r="A354" t="s">
        <v>430</v>
      </c>
      <c r="B354">
        <v>1282</v>
      </c>
      <c r="C354" t="s">
        <v>1070</v>
      </c>
      <c r="D354">
        <v>200</v>
      </c>
      <c r="E354" t="s">
        <v>12</v>
      </c>
      <c r="F354">
        <v>200</v>
      </c>
    </row>
    <row r="355" spans="1:6" x14ac:dyDescent="0.35">
      <c r="A355" t="s">
        <v>431</v>
      </c>
      <c r="B355">
        <v>1282</v>
      </c>
      <c r="C355" t="s">
        <v>1071</v>
      </c>
      <c r="D355">
        <v>200</v>
      </c>
      <c r="E355" t="s">
        <v>12</v>
      </c>
      <c r="F355">
        <v>200</v>
      </c>
    </row>
    <row r="356" spans="1:6" x14ac:dyDescent="0.35">
      <c r="A356" t="s">
        <v>432</v>
      </c>
      <c r="B356">
        <v>1282</v>
      </c>
      <c r="C356" t="s">
        <v>1072</v>
      </c>
      <c r="D356">
        <v>200</v>
      </c>
      <c r="E356" t="s">
        <v>12</v>
      </c>
      <c r="F356">
        <v>200</v>
      </c>
    </row>
    <row r="357" spans="1:6" x14ac:dyDescent="0.35">
      <c r="A357" t="s">
        <v>433</v>
      </c>
      <c r="B357">
        <v>1282</v>
      </c>
      <c r="C357" t="s">
        <v>1073</v>
      </c>
      <c r="D357">
        <v>200</v>
      </c>
      <c r="E357" t="s">
        <v>12</v>
      </c>
      <c r="F357">
        <v>200</v>
      </c>
    </row>
    <row r="358" spans="1:6" x14ac:dyDescent="0.35">
      <c r="A358" t="s">
        <v>434</v>
      </c>
      <c r="B358">
        <v>1282</v>
      </c>
      <c r="C358" t="s">
        <v>1074</v>
      </c>
      <c r="D358">
        <v>200</v>
      </c>
      <c r="E358" t="s">
        <v>12</v>
      </c>
      <c r="F358">
        <v>200</v>
      </c>
    </row>
    <row r="359" spans="1:6" x14ac:dyDescent="0.35">
      <c r="A359" t="s">
        <v>435</v>
      </c>
      <c r="B359">
        <v>1282</v>
      </c>
      <c r="C359" t="s">
        <v>1075</v>
      </c>
      <c r="D359">
        <v>200</v>
      </c>
      <c r="E359" t="s">
        <v>12</v>
      </c>
      <c r="F359">
        <v>200</v>
      </c>
    </row>
    <row r="360" spans="1:6" x14ac:dyDescent="0.35">
      <c r="A360" t="s">
        <v>436</v>
      </c>
      <c r="B360">
        <v>1282</v>
      </c>
      <c r="C360" t="s">
        <v>1076</v>
      </c>
      <c r="D360">
        <v>200</v>
      </c>
      <c r="E360" t="s">
        <v>12</v>
      </c>
      <c r="F360">
        <v>200</v>
      </c>
    </row>
    <row r="361" spans="1:6" x14ac:dyDescent="0.35">
      <c r="A361" t="s">
        <v>437</v>
      </c>
      <c r="B361">
        <v>1282</v>
      </c>
      <c r="C361" t="s">
        <v>1079</v>
      </c>
      <c r="D361">
        <v>200</v>
      </c>
      <c r="E361" t="s">
        <v>12</v>
      </c>
      <c r="F361">
        <v>200</v>
      </c>
    </row>
    <row r="362" spans="1:6" x14ac:dyDescent="0.35">
      <c r="A362" t="s">
        <v>438</v>
      </c>
      <c r="B362">
        <v>1282</v>
      </c>
      <c r="C362" t="s">
        <v>1080</v>
      </c>
      <c r="D362">
        <v>200</v>
      </c>
      <c r="E362" t="s">
        <v>12</v>
      </c>
      <c r="F362">
        <v>200</v>
      </c>
    </row>
    <row r="363" spans="1:6" x14ac:dyDescent="0.35">
      <c r="A363" t="s">
        <v>439</v>
      </c>
      <c r="B363">
        <v>1287</v>
      </c>
      <c r="C363" t="s">
        <v>1074</v>
      </c>
      <c r="D363">
        <v>50</v>
      </c>
      <c r="E363" t="s">
        <v>12</v>
      </c>
      <c r="F363">
        <v>50</v>
      </c>
    </row>
    <row r="364" spans="1:6" x14ac:dyDescent="0.35">
      <c r="A364" t="s">
        <v>440</v>
      </c>
      <c r="B364">
        <v>1287</v>
      </c>
      <c r="C364" t="s">
        <v>1075</v>
      </c>
      <c r="D364">
        <v>50</v>
      </c>
      <c r="E364" t="s">
        <v>12</v>
      </c>
      <c r="F364">
        <v>50</v>
      </c>
    </row>
    <row r="365" spans="1:6" x14ac:dyDescent="0.35">
      <c r="A365" t="s">
        <v>441</v>
      </c>
      <c r="B365">
        <v>1287</v>
      </c>
      <c r="C365" t="s">
        <v>1076</v>
      </c>
      <c r="D365">
        <v>50</v>
      </c>
      <c r="E365" t="s">
        <v>12</v>
      </c>
      <c r="F365">
        <v>50</v>
      </c>
    </row>
    <row r="366" spans="1:6" x14ac:dyDescent="0.35">
      <c r="A366" t="s">
        <v>442</v>
      </c>
      <c r="B366">
        <v>1291</v>
      </c>
      <c r="C366" t="s">
        <v>1084</v>
      </c>
      <c r="D366">
        <v>50</v>
      </c>
      <c r="E366" t="s">
        <v>12</v>
      </c>
      <c r="F366">
        <v>50</v>
      </c>
    </row>
    <row r="367" spans="1:6" x14ac:dyDescent="0.35">
      <c r="A367" t="s">
        <v>443</v>
      </c>
      <c r="B367">
        <v>1291</v>
      </c>
      <c r="C367" t="s">
        <v>1082</v>
      </c>
      <c r="D367">
        <v>50</v>
      </c>
      <c r="E367" t="s">
        <v>12</v>
      </c>
      <c r="F367">
        <v>50</v>
      </c>
    </row>
    <row r="368" spans="1:6" x14ac:dyDescent="0.35">
      <c r="A368" t="s">
        <v>444</v>
      </c>
      <c r="B368">
        <v>1292</v>
      </c>
      <c r="C368" t="s">
        <v>1077</v>
      </c>
      <c r="D368">
        <v>50</v>
      </c>
      <c r="E368" t="s">
        <v>12</v>
      </c>
      <c r="F368">
        <v>50</v>
      </c>
    </row>
    <row r="369" spans="1:6" x14ac:dyDescent="0.35">
      <c r="A369" t="s">
        <v>445</v>
      </c>
      <c r="B369">
        <v>1292</v>
      </c>
      <c r="C369" t="s">
        <v>1078</v>
      </c>
      <c r="D369">
        <v>50</v>
      </c>
      <c r="E369" t="s">
        <v>12</v>
      </c>
      <c r="F369">
        <v>50</v>
      </c>
    </row>
    <row r="370" spans="1:6" x14ac:dyDescent="0.35">
      <c r="A370" t="s">
        <v>446</v>
      </c>
      <c r="B370">
        <v>1292</v>
      </c>
      <c r="C370" t="s">
        <v>1081</v>
      </c>
      <c r="D370">
        <v>50</v>
      </c>
      <c r="E370" t="s">
        <v>12</v>
      </c>
      <c r="F370">
        <v>50</v>
      </c>
    </row>
    <row r="371" spans="1:6" x14ac:dyDescent="0.35">
      <c r="A371" t="s">
        <v>447</v>
      </c>
      <c r="B371">
        <v>1292</v>
      </c>
      <c r="C371" t="s">
        <v>1084</v>
      </c>
      <c r="D371">
        <v>50</v>
      </c>
      <c r="E371" t="s">
        <v>12</v>
      </c>
      <c r="F371">
        <v>50</v>
      </c>
    </row>
    <row r="372" spans="1:6" x14ac:dyDescent="0.35">
      <c r="A372" t="s">
        <v>448</v>
      </c>
      <c r="B372">
        <v>1294</v>
      </c>
      <c r="C372" t="s">
        <v>1087</v>
      </c>
      <c r="D372">
        <v>500</v>
      </c>
      <c r="E372" t="s">
        <v>12</v>
      </c>
      <c r="F372">
        <v>500</v>
      </c>
    </row>
    <row r="373" spans="1:6" x14ac:dyDescent="0.35">
      <c r="A373" t="s">
        <v>449</v>
      </c>
      <c r="B373">
        <v>1294</v>
      </c>
      <c r="C373" t="s">
        <v>1077</v>
      </c>
      <c r="D373">
        <v>500</v>
      </c>
      <c r="E373" t="s">
        <v>12</v>
      </c>
      <c r="F373">
        <v>500</v>
      </c>
    </row>
    <row r="374" spans="1:6" x14ac:dyDescent="0.35">
      <c r="A374" t="s">
        <v>450</v>
      </c>
      <c r="B374">
        <v>1294</v>
      </c>
      <c r="C374" t="s">
        <v>1078</v>
      </c>
      <c r="D374">
        <v>500</v>
      </c>
      <c r="E374" t="s">
        <v>12</v>
      </c>
      <c r="F374">
        <v>500</v>
      </c>
    </row>
    <row r="375" spans="1:6" x14ac:dyDescent="0.35">
      <c r="A375" t="s">
        <v>451</v>
      </c>
      <c r="B375">
        <v>1294</v>
      </c>
      <c r="C375" t="s">
        <v>1081</v>
      </c>
      <c r="D375">
        <v>500</v>
      </c>
      <c r="E375" t="s">
        <v>12</v>
      </c>
      <c r="F375">
        <v>500</v>
      </c>
    </row>
    <row r="376" spans="1:6" x14ac:dyDescent="0.35">
      <c r="A376" t="s">
        <v>452</v>
      </c>
      <c r="B376">
        <v>1294</v>
      </c>
      <c r="C376" t="s">
        <v>1084</v>
      </c>
      <c r="D376">
        <v>500</v>
      </c>
      <c r="E376" t="s">
        <v>12</v>
      </c>
      <c r="F376">
        <v>500</v>
      </c>
    </row>
    <row r="377" spans="1:6" x14ac:dyDescent="0.35">
      <c r="A377" t="s">
        <v>453</v>
      </c>
      <c r="B377">
        <v>1294</v>
      </c>
      <c r="C377" t="s">
        <v>1082</v>
      </c>
      <c r="D377">
        <v>500</v>
      </c>
      <c r="E377" t="s">
        <v>12</v>
      </c>
      <c r="F377">
        <v>500</v>
      </c>
    </row>
    <row r="378" spans="1:6" x14ac:dyDescent="0.35">
      <c r="A378" t="s">
        <v>454</v>
      </c>
      <c r="B378">
        <v>1294</v>
      </c>
      <c r="C378" t="s">
        <v>1083</v>
      </c>
      <c r="D378">
        <v>500</v>
      </c>
      <c r="E378" t="s">
        <v>12</v>
      </c>
      <c r="F378">
        <v>500</v>
      </c>
    </row>
    <row r="379" spans="1:6" x14ac:dyDescent="0.35">
      <c r="A379" t="s">
        <v>455</v>
      </c>
      <c r="B379">
        <v>1294</v>
      </c>
      <c r="C379" t="s">
        <v>1070</v>
      </c>
      <c r="D379">
        <v>500</v>
      </c>
      <c r="E379" t="s">
        <v>12</v>
      </c>
      <c r="F379">
        <v>500</v>
      </c>
    </row>
    <row r="380" spans="1:6" x14ac:dyDescent="0.35">
      <c r="A380" t="s">
        <v>456</v>
      </c>
      <c r="B380">
        <v>1294</v>
      </c>
      <c r="C380" t="s">
        <v>1071</v>
      </c>
      <c r="D380">
        <v>500</v>
      </c>
      <c r="E380" t="s">
        <v>12</v>
      </c>
      <c r="F380">
        <v>500</v>
      </c>
    </row>
    <row r="381" spans="1:6" x14ac:dyDescent="0.35">
      <c r="A381" t="s">
        <v>457</v>
      </c>
      <c r="B381">
        <v>1294</v>
      </c>
      <c r="C381" t="s">
        <v>1072</v>
      </c>
      <c r="D381">
        <v>500</v>
      </c>
      <c r="E381" t="s">
        <v>12</v>
      </c>
      <c r="F381">
        <v>500</v>
      </c>
    </row>
    <row r="382" spans="1:6" x14ac:dyDescent="0.35">
      <c r="A382" t="s">
        <v>458</v>
      </c>
      <c r="B382">
        <v>1294</v>
      </c>
      <c r="C382" t="s">
        <v>1073</v>
      </c>
      <c r="D382">
        <v>500</v>
      </c>
      <c r="E382" t="s">
        <v>12</v>
      </c>
      <c r="F382">
        <v>500</v>
      </c>
    </row>
    <row r="383" spans="1:6" x14ac:dyDescent="0.35">
      <c r="A383" t="s">
        <v>459</v>
      </c>
      <c r="B383">
        <v>1294</v>
      </c>
      <c r="C383" t="s">
        <v>1074</v>
      </c>
      <c r="D383">
        <v>500</v>
      </c>
      <c r="E383" t="s">
        <v>12</v>
      </c>
      <c r="F383">
        <v>500</v>
      </c>
    </row>
    <row r="384" spans="1:6" x14ac:dyDescent="0.35">
      <c r="A384" t="s">
        <v>460</v>
      </c>
      <c r="B384">
        <v>1294</v>
      </c>
      <c r="C384" t="s">
        <v>1075</v>
      </c>
      <c r="D384">
        <v>500</v>
      </c>
      <c r="E384" t="s">
        <v>12</v>
      </c>
      <c r="F384">
        <v>500</v>
      </c>
    </row>
    <row r="385" spans="1:6" x14ac:dyDescent="0.35">
      <c r="A385" t="s">
        <v>461</v>
      </c>
      <c r="B385">
        <v>1294</v>
      </c>
      <c r="C385" t="s">
        <v>1076</v>
      </c>
      <c r="D385">
        <v>500</v>
      </c>
      <c r="E385" t="s">
        <v>12</v>
      </c>
      <c r="F385">
        <v>500</v>
      </c>
    </row>
    <row r="386" spans="1:6" x14ac:dyDescent="0.35">
      <c r="A386" t="s">
        <v>462</v>
      </c>
      <c r="B386">
        <v>1294</v>
      </c>
      <c r="C386" t="s">
        <v>1079</v>
      </c>
      <c r="D386">
        <v>500</v>
      </c>
      <c r="E386" t="s">
        <v>12</v>
      </c>
      <c r="F386">
        <v>500</v>
      </c>
    </row>
    <row r="387" spans="1:6" x14ac:dyDescent="0.35">
      <c r="A387" t="s">
        <v>463</v>
      </c>
      <c r="B387">
        <v>1308</v>
      </c>
      <c r="C387" t="s">
        <v>1078</v>
      </c>
      <c r="D387">
        <v>50</v>
      </c>
      <c r="E387" t="s">
        <v>12</v>
      </c>
      <c r="F387">
        <v>50</v>
      </c>
    </row>
    <row r="388" spans="1:6" x14ac:dyDescent="0.35">
      <c r="A388" t="s">
        <v>464</v>
      </c>
      <c r="B388">
        <v>1308</v>
      </c>
      <c r="C388" t="s">
        <v>1081</v>
      </c>
      <c r="D388">
        <v>50</v>
      </c>
      <c r="E388" t="s">
        <v>12</v>
      </c>
      <c r="F388">
        <v>50</v>
      </c>
    </row>
    <row r="389" spans="1:6" x14ac:dyDescent="0.35">
      <c r="A389" t="s">
        <v>465</v>
      </c>
      <c r="B389">
        <v>1308</v>
      </c>
      <c r="C389" t="s">
        <v>1084</v>
      </c>
      <c r="D389">
        <v>50</v>
      </c>
      <c r="E389" t="s">
        <v>12</v>
      </c>
      <c r="F389">
        <v>50</v>
      </c>
    </row>
    <row r="390" spans="1:6" x14ac:dyDescent="0.35">
      <c r="A390" t="s">
        <v>466</v>
      </c>
      <c r="B390">
        <v>1308</v>
      </c>
      <c r="C390" t="s">
        <v>1082</v>
      </c>
      <c r="D390">
        <v>50</v>
      </c>
      <c r="E390" t="s">
        <v>12</v>
      </c>
      <c r="F390">
        <v>50</v>
      </c>
    </row>
    <row r="391" spans="1:6" x14ac:dyDescent="0.35">
      <c r="A391" t="s">
        <v>467</v>
      </c>
      <c r="B391">
        <v>1308</v>
      </c>
      <c r="C391" t="s">
        <v>1083</v>
      </c>
      <c r="D391">
        <v>50</v>
      </c>
      <c r="E391" t="s">
        <v>12</v>
      </c>
      <c r="F391">
        <v>50</v>
      </c>
    </row>
    <row r="392" spans="1:6" x14ac:dyDescent="0.35">
      <c r="A392" t="s">
        <v>468</v>
      </c>
      <c r="B392">
        <v>1308</v>
      </c>
      <c r="C392" t="s">
        <v>1070</v>
      </c>
      <c r="D392">
        <v>50</v>
      </c>
      <c r="E392" t="s">
        <v>12</v>
      </c>
      <c r="F392">
        <v>50</v>
      </c>
    </row>
    <row r="393" spans="1:6" x14ac:dyDescent="0.35">
      <c r="A393" t="s">
        <v>469</v>
      </c>
      <c r="B393">
        <v>1308</v>
      </c>
      <c r="C393" t="s">
        <v>1071</v>
      </c>
      <c r="D393">
        <v>50</v>
      </c>
      <c r="E393" t="s">
        <v>12</v>
      </c>
      <c r="F393">
        <v>50</v>
      </c>
    </row>
    <row r="394" spans="1:6" x14ac:dyDescent="0.35">
      <c r="A394" t="s">
        <v>470</v>
      </c>
      <c r="B394">
        <v>1308</v>
      </c>
      <c r="C394" t="s">
        <v>1072</v>
      </c>
      <c r="D394">
        <v>50</v>
      </c>
      <c r="E394" t="s">
        <v>12</v>
      </c>
      <c r="F394">
        <v>50</v>
      </c>
    </row>
    <row r="395" spans="1:6" x14ac:dyDescent="0.35">
      <c r="A395" t="s">
        <v>471</v>
      </c>
      <c r="B395">
        <v>1308</v>
      </c>
      <c r="C395" t="s">
        <v>1073</v>
      </c>
      <c r="D395">
        <v>50</v>
      </c>
      <c r="E395" t="s">
        <v>12</v>
      </c>
      <c r="F395">
        <v>50</v>
      </c>
    </row>
    <row r="396" spans="1:6" x14ac:dyDescent="0.35">
      <c r="A396" t="s">
        <v>472</v>
      </c>
      <c r="B396">
        <v>1308</v>
      </c>
      <c r="C396" t="s">
        <v>1074</v>
      </c>
      <c r="D396">
        <v>50</v>
      </c>
      <c r="E396" t="s">
        <v>12</v>
      </c>
      <c r="F396">
        <v>50</v>
      </c>
    </row>
    <row r="397" spans="1:6" x14ac:dyDescent="0.35">
      <c r="A397" t="s">
        <v>473</v>
      </c>
      <c r="B397">
        <v>1308</v>
      </c>
      <c r="C397" t="s">
        <v>1075</v>
      </c>
      <c r="D397">
        <v>50</v>
      </c>
      <c r="E397" t="s">
        <v>12</v>
      </c>
      <c r="F397">
        <v>50</v>
      </c>
    </row>
    <row r="398" spans="1:6" x14ac:dyDescent="0.35">
      <c r="A398" t="s">
        <v>474</v>
      </c>
      <c r="B398">
        <v>1309</v>
      </c>
      <c r="C398" t="s">
        <v>1082</v>
      </c>
      <c r="D398">
        <v>50</v>
      </c>
      <c r="E398" t="s">
        <v>12</v>
      </c>
      <c r="F398">
        <v>50</v>
      </c>
    </row>
    <row r="399" spans="1:6" x14ac:dyDescent="0.35">
      <c r="A399" t="s">
        <v>475</v>
      </c>
      <c r="B399">
        <v>1309</v>
      </c>
      <c r="C399" t="s">
        <v>1083</v>
      </c>
      <c r="D399">
        <v>50</v>
      </c>
      <c r="E399" t="s">
        <v>12</v>
      </c>
      <c r="F399">
        <v>50</v>
      </c>
    </row>
    <row r="400" spans="1:6" x14ac:dyDescent="0.35">
      <c r="A400" t="s">
        <v>476</v>
      </c>
      <c r="B400">
        <v>1309</v>
      </c>
      <c r="C400" t="s">
        <v>1070</v>
      </c>
      <c r="D400">
        <v>50</v>
      </c>
      <c r="E400" t="s">
        <v>12</v>
      </c>
      <c r="F400">
        <v>50</v>
      </c>
    </row>
    <row r="401" spans="1:6" x14ac:dyDescent="0.35">
      <c r="A401" t="s">
        <v>477</v>
      </c>
      <c r="B401">
        <v>1312</v>
      </c>
      <c r="C401" t="s">
        <v>1071</v>
      </c>
      <c r="D401">
        <v>50</v>
      </c>
      <c r="E401" t="s">
        <v>12</v>
      </c>
      <c r="F401">
        <v>50</v>
      </c>
    </row>
    <row r="402" spans="1:6" x14ac:dyDescent="0.35">
      <c r="A402" t="s">
        <v>478</v>
      </c>
      <c r="B402">
        <v>1312</v>
      </c>
      <c r="C402" t="s">
        <v>1072</v>
      </c>
      <c r="D402">
        <v>50</v>
      </c>
      <c r="E402" t="s">
        <v>12</v>
      </c>
      <c r="F402">
        <v>50</v>
      </c>
    </row>
    <row r="403" spans="1:6" x14ac:dyDescent="0.35">
      <c r="A403" t="s">
        <v>479</v>
      </c>
      <c r="B403">
        <v>1312</v>
      </c>
      <c r="C403" t="s">
        <v>1073</v>
      </c>
      <c r="D403">
        <v>50</v>
      </c>
      <c r="E403" t="s">
        <v>12</v>
      </c>
      <c r="F403">
        <v>50</v>
      </c>
    </row>
    <row r="404" spans="1:6" x14ac:dyDescent="0.35">
      <c r="A404" t="s">
        <v>480</v>
      </c>
      <c r="B404">
        <v>1312</v>
      </c>
      <c r="C404" t="s">
        <v>1074</v>
      </c>
      <c r="D404">
        <v>50</v>
      </c>
      <c r="E404" t="s">
        <v>12</v>
      </c>
      <c r="F404">
        <v>50</v>
      </c>
    </row>
    <row r="405" spans="1:6" x14ac:dyDescent="0.35">
      <c r="A405" t="s">
        <v>481</v>
      </c>
      <c r="B405">
        <v>1313</v>
      </c>
      <c r="C405" t="s">
        <v>1086</v>
      </c>
      <c r="D405">
        <v>500</v>
      </c>
      <c r="E405" t="s">
        <v>12</v>
      </c>
      <c r="F405">
        <v>500</v>
      </c>
    </row>
    <row r="406" spans="1:6" x14ac:dyDescent="0.35">
      <c r="A406" t="s">
        <v>482</v>
      </c>
      <c r="B406">
        <v>1313</v>
      </c>
      <c r="C406" t="s">
        <v>1087</v>
      </c>
      <c r="D406">
        <v>500</v>
      </c>
      <c r="E406" t="s">
        <v>12</v>
      </c>
      <c r="F406">
        <v>500</v>
      </c>
    </row>
    <row r="407" spans="1:6" x14ac:dyDescent="0.35">
      <c r="A407" t="s">
        <v>483</v>
      </c>
      <c r="B407">
        <v>1313</v>
      </c>
      <c r="C407" t="s">
        <v>1077</v>
      </c>
      <c r="D407">
        <v>500</v>
      </c>
      <c r="E407" t="s">
        <v>12</v>
      </c>
      <c r="F407">
        <v>500</v>
      </c>
    </row>
    <row r="408" spans="1:6" x14ac:dyDescent="0.35">
      <c r="A408" t="s">
        <v>484</v>
      </c>
      <c r="B408">
        <v>1313</v>
      </c>
      <c r="C408" t="s">
        <v>1078</v>
      </c>
      <c r="D408">
        <v>500</v>
      </c>
      <c r="E408" t="s">
        <v>12</v>
      </c>
      <c r="F408">
        <v>500</v>
      </c>
    </row>
    <row r="409" spans="1:6" x14ac:dyDescent="0.35">
      <c r="A409" t="s">
        <v>485</v>
      </c>
      <c r="B409">
        <v>1313</v>
      </c>
      <c r="C409" t="s">
        <v>1081</v>
      </c>
      <c r="D409">
        <v>500</v>
      </c>
      <c r="E409" t="s">
        <v>12</v>
      </c>
      <c r="F409">
        <v>500</v>
      </c>
    </row>
    <row r="410" spans="1:6" x14ac:dyDescent="0.35">
      <c r="A410" t="s">
        <v>486</v>
      </c>
      <c r="B410">
        <v>1313</v>
      </c>
      <c r="C410" t="s">
        <v>1084</v>
      </c>
      <c r="D410">
        <v>500</v>
      </c>
      <c r="E410" t="s">
        <v>12</v>
      </c>
      <c r="F410">
        <v>500</v>
      </c>
    </row>
    <row r="411" spans="1:6" x14ac:dyDescent="0.35">
      <c r="A411" t="s">
        <v>487</v>
      </c>
      <c r="B411">
        <v>1313</v>
      </c>
      <c r="C411" t="s">
        <v>1082</v>
      </c>
      <c r="D411">
        <v>500</v>
      </c>
      <c r="E411" t="s">
        <v>12</v>
      </c>
      <c r="F411">
        <v>500</v>
      </c>
    </row>
    <row r="412" spans="1:6" x14ac:dyDescent="0.35">
      <c r="A412" t="s">
        <v>488</v>
      </c>
      <c r="B412">
        <v>1313</v>
      </c>
      <c r="C412" t="s">
        <v>1083</v>
      </c>
      <c r="D412">
        <v>500</v>
      </c>
      <c r="E412" t="s">
        <v>12</v>
      </c>
      <c r="F412">
        <v>500</v>
      </c>
    </row>
    <row r="413" spans="1:6" x14ac:dyDescent="0.35">
      <c r="A413" t="s">
        <v>489</v>
      </c>
      <c r="B413">
        <v>1313</v>
      </c>
      <c r="C413" t="s">
        <v>1070</v>
      </c>
      <c r="D413">
        <v>500</v>
      </c>
      <c r="E413" t="s">
        <v>12</v>
      </c>
      <c r="F413">
        <v>500</v>
      </c>
    </row>
    <row r="414" spans="1:6" x14ac:dyDescent="0.35">
      <c r="A414" t="s">
        <v>490</v>
      </c>
      <c r="B414">
        <v>1313</v>
      </c>
      <c r="C414" t="s">
        <v>1071</v>
      </c>
      <c r="D414">
        <v>500</v>
      </c>
      <c r="E414" t="s">
        <v>12</v>
      </c>
      <c r="F414">
        <v>500</v>
      </c>
    </row>
    <row r="415" spans="1:6" x14ac:dyDescent="0.35">
      <c r="A415" t="s">
        <v>491</v>
      </c>
      <c r="B415">
        <v>1313</v>
      </c>
      <c r="C415" t="s">
        <v>1072</v>
      </c>
      <c r="D415">
        <v>500</v>
      </c>
      <c r="E415" t="s">
        <v>12</v>
      </c>
      <c r="F415">
        <v>500</v>
      </c>
    </row>
    <row r="416" spans="1:6" x14ac:dyDescent="0.35">
      <c r="A416" t="s">
        <v>492</v>
      </c>
      <c r="B416">
        <v>1313</v>
      </c>
      <c r="C416" t="s">
        <v>1073</v>
      </c>
      <c r="D416">
        <v>500</v>
      </c>
      <c r="E416" t="s">
        <v>12</v>
      </c>
      <c r="F416">
        <v>500</v>
      </c>
    </row>
    <row r="417" spans="1:6" x14ac:dyDescent="0.35">
      <c r="A417" t="s">
        <v>493</v>
      </c>
      <c r="B417">
        <v>1313</v>
      </c>
      <c r="C417" t="s">
        <v>1074</v>
      </c>
      <c r="D417">
        <v>500</v>
      </c>
      <c r="E417" t="s">
        <v>12</v>
      </c>
      <c r="F417">
        <v>500</v>
      </c>
    </row>
    <row r="418" spans="1:6" x14ac:dyDescent="0.35">
      <c r="A418" t="s">
        <v>494</v>
      </c>
      <c r="B418">
        <v>1332</v>
      </c>
      <c r="C418" t="s">
        <v>1073</v>
      </c>
      <c r="D418">
        <v>200</v>
      </c>
      <c r="E418" t="s">
        <v>12</v>
      </c>
      <c r="F418">
        <v>200</v>
      </c>
    </row>
    <row r="419" spans="1:6" x14ac:dyDescent="0.35">
      <c r="A419" t="s">
        <v>495</v>
      </c>
      <c r="B419">
        <v>1332</v>
      </c>
      <c r="C419" t="s">
        <v>1074</v>
      </c>
      <c r="D419">
        <v>200</v>
      </c>
      <c r="E419" t="s">
        <v>12</v>
      </c>
      <c r="F419">
        <v>200</v>
      </c>
    </row>
    <row r="420" spans="1:6" x14ac:dyDescent="0.35">
      <c r="A420" t="s">
        <v>496</v>
      </c>
      <c r="B420">
        <v>1332</v>
      </c>
      <c r="C420" t="s">
        <v>1075</v>
      </c>
      <c r="D420">
        <v>200</v>
      </c>
      <c r="E420" t="s">
        <v>12</v>
      </c>
      <c r="F420">
        <v>200</v>
      </c>
    </row>
    <row r="421" spans="1:6" x14ac:dyDescent="0.35">
      <c r="A421" t="s">
        <v>497</v>
      </c>
      <c r="B421">
        <v>1337</v>
      </c>
      <c r="C421" t="s">
        <v>1082</v>
      </c>
      <c r="D421">
        <v>50</v>
      </c>
      <c r="E421" t="s">
        <v>12</v>
      </c>
      <c r="F421">
        <v>50</v>
      </c>
    </row>
    <row r="422" spans="1:6" x14ac:dyDescent="0.35">
      <c r="A422" t="s">
        <v>498</v>
      </c>
      <c r="B422">
        <v>1337</v>
      </c>
      <c r="C422" t="s">
        <v>1083</v>
      </c>
      <c r="D422">
        <v>50</v>
      </c>
      <c r="E422" t="s">
        <v>12</v>
      </c>
      <c r="F422">
        <v>50</v>
      </c>
    </row>
    <row r="423" spans="1:6" x14ac:dyDescent="0.35">
      <c r="A423" t="s">
        <v>499</v>
      </c>
      <c r="B423">
        <v>1337</v>
      </c>
      <c r="C423" t="s">
        <v>1070</v>
      </c>
      <c r="D423">
        <v>50</v>
      </c>
      <c r="E423" t="s">
        <v>12</v>
      </c>
      <c r="F423">
        <v>50</v>
      </c>
    </row>
    <row r="424" spans="1:6" x14ac:dyDescent="0.35">
      <c r="A424" t="s">
        <v>500</v>
      </c>
      <c r="B424">
        <v>1337</v>
      </c>
      <c r="C424" t="s">
        <v>1071</v>
      </c>
      <c r="D424">
        <v>50</v>
      </c>
      <c r="E424" t="s">
        <v>12</v>
      </c>
      <c r="F424">
        <v>50</v>
      </c>
    </row>
    <row r="425" spans="1:6" x14ac:dyDescent="0.35">
      <c r="A425" t="s">
        <v>501</v>
      </c>
      <c r="B425">
        <v>1346</v>
      </c>
      <c r="C425" t="s">
        <v>1087</v>
      </c>
      <c r="D425">
        <v>200</v>
      </c>
      <c r="E425" t="s">
        <v>12</v>
      </c>
      <c r="F425">
        <v>200</v>
      </c>
    </row>
    <row r="426" spans="1:6" x14ac:dyDescent="0.35">
      <c r="A426" t="s">
        <v>502</v>
      </c>
      <c r="B426">
        <v>1346</v>
      </c>
      <c r="C426" t="s">
        <v>1077</v>
      </c>
      <c r="D426">
        <v>200</v>
      </c>
      <c r="E426" t="s">
        <v>12</v>
      </c>
      <c r="F426">
        <v>200</v>
      </c>
    </row>
    <row r="427" spans="1:6" x14ac:dyDescent="0.35">
      <c r="A427" t="s">
        <v>503</v>
      </c>
      <c r="B427">
        <v>1346</v>
      </c>
      <c r="C427" t="s">
        <v>1078</v>
      </c>
      <c r="D427">
        <v>200</v>
      </c>
      <c r="E427" t="s">
        <v>12</v>
      </c>
      <c r="F427">
        <v>200</v>
      </c>
    </row>
    <row r="428" spans="1:6" x14ac:dyDescent="0.35">
      <c r="A428" t="s">
        <v>504</v>
      </c>
      <c r="B428">
        <v>1346</v>
      </c>
      <c r="C428" t="s">
        <v>1081</v>
      </c>
      <c r="D428">
        <v>200</v>
      </c>
      <c r="E428" t="s">
        <v>12</v>
      </c>
      <c r="F428">
        <v>200</v>
      </c>
    </row>
    <row r="429" spans="1:6" x14ac:dyDescent="0.35">
      <c r="A429" t="s">
        <v>505</v>
      </c>
      <c r="B429">
        <v>1347</v>
      </c>
      <c r="C429" t="s">
        <v>1071</v>
      </c>
      <c r="D429">
        <v>50</v>
      </c>
      <c r="E429" t="s">
        <v>12</v>
      </c>
      <c r="F429">
        <v>50</v>
      </c>
    </row>
    <row r="430" spans="1:6" x14ac:dyDescent="0.35">
      <c r="A430" t="s">
        <v>506</v>
      </c>
      <c r="B430">
        <v>1347</v>
      </c>
      <c r="C430" t="s">
        <v>1072</v>
      </c>
      <c r="D430">
        <v>50</v>
      </c>
      <c r="E430" t="s">
        <v>12</v>
      </c>
      <c r="F430">
        <v>50</v>
      </c>
    </row>
    <row r="431" spans="1:6" x14ac:dyDescent="0.35">
      <c r="A431" t="s">
        <v>507</v>
      </c>
      <c r="B431">
        <v>1347</v>
      </c>
      <c r="C431" t="s">
        <v>1073</v>
      </c>
      <c r="D431">
        <v>50</v>
      </c>
      <c r="E431" t="s">
        <v>12</v>
      </c>
      <c r="F431">
        <v>50</v>
      </c>
    </row>
    <row r="432" spans="1:6" x14ac:dyDescent="0.35">
      <c r="A432" t="s">
        <v>508</v>
      </c>
      <c r="B432">
        <v>1347</v>
      </c>
      <c r="C432" t="s">
        <v>1074</v>
      </c>
      <c r="D432">
        <v>50</v>
      </c>
      <c r="E432" t="s">
        <v>12</v>
      </c>
      <c r="F432">
        <v>50</v>
      </c>
    </row>
    <row r="433" spans="1:6" x14ac:dyDescent="0.35">
      <c r="A433" t="s">
        <v>509</v>
      </c>
      <c r="B433">
        <v>1347</v>
      </c>
      <c r="C433" t="s">
        <v>1075</v>
      </c>
      <c r="D433">
        <v>50</v>
      </c>
      <c r="E433" t="s">
        <v>12</v>
      </c>
      <c r="F433">
        <v>50</v>
      </c>
    </row>
    <row r="434" spans="1:6" x14ac:dyDescent="0.35">
      <c r="A434" t="s">
        <v>510</v>
      </c>
      <c r="B434">
        <v>1347</v>
      </c>
      <c r="C434" t="s">
        <v>1076</v>
      </c>
      <c r="D434">
        <v>50</v>
      </c>
      <c r="E434" t="s">
        <v>12</v>
      </c>
      <c r="F434">
        <v>50</v>
      </c>
    </row>
    <row r="435" spans="1:6" x14ac:dyDescent="0.35">
      <c r="A435" t="s">
        <v>511</v>
      </c>
      <c r="B435">
        <v>1352</v>
      </c>
      <c r="C435" t="s">
        <v>1086</v>
      </c>
      <c r="D435">
        <v>500</v>
      </c>
      <c r="E435" t="s">
        <v>12</v>
      </c>
      <c r="F435">
        <v>500</v>
      </c>
    </row>
    <row r="436" spans="1:6" x14ac:dyDescent="0.35">
      <c r="A436" t="s">
        <v>512</v>
      </c>
      <c r="B436">
        <v>1352</v>
      </c>
      <c r="C436" t="s">
        <v>1087</v>
      </c>
      <c r="D436">
        <v>500</v>
      </c>
      <c r="E436" t="s">
        <v>12</v>
      </c>
      <c r="F436">
        <v>500</v>
      </c>
    </row>
    <row r="437" spans="1:6" x14ac:dyDescent="0.35">
      <c r="A437" t="s">
        <v>513</v>
      </c>
      <c r="B437">
        <v>1352</v>
      </c>
      <c r="C437" t="s">
        <v>1077</v>
      </c>
      <c r="D437">
        <v>500</v>
      </c>
      <c r="E437" t="s">
        <v>12</v>
      </c>
      <c r="F437">
        <v>500</v>
      </c>
    </row>
    <row r="438" spans="1:6" x14ac:dyDescent="0.35">
      <c r="A438" t="s">
        <v>514</v>
      </c>
      <c r="B438">
        <v>1352</v>
      </c>
      <c r="C438" t="s">
        <v>1078</v>
      </c>
      <c r="D438">
        <v>500</v>
      </c>
      <c r="E438" t="s">
        <v>12</v>
      </c>
      <c r="F438">
        <v>500</v>
      </c>
    </row>
    <row r="439" spans="1:6" x14ac:dyDescent="0.35">
      <c r="A439" t="s">
        <v>515</v>
      </c>
      <c r="B439">
        <v>1352</v>
      </c>
      <c r="C439" t="s">
        <v>1081</v>
      </c>
      <c r="D439">
        <v>500</v>
      </c>
      <c r="E439" t="s">
        <v>12</v>
      </c>
      <c r="F439">
        <v>500</v>
      </c>
    </row>
    <row r="440" spans="1:6" x14ac:dyDescent="0.35">
      <c r="A440" t="s">
        <v>516</v>
      </c>
      <c r="B440">
        <v>1352</v>
      </c>
      <c r="C440" t="s">
        <v>1084</v>
      </c>
      <c r="D440">
        <v>500</v>
      </c>
      <c r="E440" t="s">
        <v>12</v>
      </c>
      <c r="F440">
        <v>500</v>
      </c>
    </row>
    <row r="441" spans="1:6" x14ac:dyDescent="0.35">
      <c r="A441" t="s">
        <v>517</v>
      </c>
      <c r="B441">
        <v>1352</v>
      </c>
      <c r="C441" t="s">
        <v>1082</v>
      </c>
      <c r="D441">
        <v>500</v>
      </c>
      <c r="E441" t="s">
        <v>12</v>
      </c>
      <c r="F441">
        <v>500</v>
      </c>
    </row>
    <row r="442" spans="1:6" x14ac:dyDescent="0.35">
      <c r="A442" t="s">
        <v>518</v>
      </c>
      <c r="B442">
        <v>1352</v>
      </c>
      <c r="C442" t="s">
        <v>1083</v>
      </c>
      <c r="D442">
        <v>500</v>
      </c>
      <c r="E442" t="s">
        <v>12</v>
      </c>
      <c r="F442">
        <v>500</v>
      </c>
    </row>
    <row r="443" spans="1:6" x14ac:dyDescent="0.35">
      <c r="A443" t="s">
        <v>519</v>
      </c>
      <c r="B443">
        <v>1352</v>
      </c>
      <c r="C443" t="s">
        <v>1070</v>
      </c>
      <c r="D443">
        <v>500</v>
      </c>
      <c r="E443" t="s">
        <v>12</v>
      </c>
      <c r="F443">
        <v>500</v>
      </c>
    </row>
    <row r="444" spans="1:6" x14ac:dyDescent="0.35">
      <c r="A444" t="s">
        <v>520</v>
      </c>
      <c r="B444">
        <v>1355</v>
      </c>
      <c r="C444" t="s">
        <v>1072</v>
      </c>
      <c r="D444">
        <v>500</v>
      </c>
      <c r="E444" t="s">
        <v>12</v>
      </c>
      <c r="F444">
        <v>500</v>
      </c>
    </row>
    <row r="445" spans="1:6" x14ac:dyDescent="0.35">
      <c r="A445" t="s">
        <v>521</v>
      </c>
      <c r="B445">
        <v>1355</v>
      </c>
      <c r="C445" t="s">
        <v>1073</v>
      </c>
      <c r="D445">
        <v>500</v>
      </c>
      <c r="E445" t="s">
        <v>12</v>
      </c>
      <c r="F445">
        <v>500</v>
      </c>
    </row>
    <row r="446" spans="1:6" x14ac:dyDescent="0.35">
      <c r="A446" t="s">
        <v>522</v>
      </c>
      <c r="B446">
        <v>1355</v>
      </c>
      <c r="C446" t="s">
        <v>1074</v>
      </c>
      <c r="D446">
        <v>500</v>
      </c>
      <c r="E446" t="s">
        <v>12</v>
      </c>
      <c r="F446">
        <v>500</v>
      </c>
    </row>
    <row r="447" spans="1:6" x14ac:dyDescent="0.35">
      <c r="A447" t="s">
        <v>523</v>
      </c>
      <c r="B447">
        <v>1355</v>
      </c>
      <c r="C447" t="s">
        <v>1075</v>
      </c>
      <c r="D447">
        <v>500</v>
      </c>
      <c r="E447" t="s">
        <v>12</v>
      </c>
      <c r="F447">
        <v>500</v>
      </c>
    </row>
    <row r="448" spans="1:6" x14ac:dyDescent="0.35">
      <c r="A448" t="s">
        <v>524</v>
      </c>
      <c r="B448">
        <v>1358</v>
      </c>
      <c r="C448" t="s">
        <v>1081</v>
      </c>
      <c r="D448">
        <v>500</v>
      </c>
      <c r="E448" t="s">
        <v>12</v>
      </c>
      <c r="F448">
        <v>500</v>
      </c>
    </row>
    <row r="449" spans="1:6" x14ac:dyDescent="0.35">
      <c r="A449" t="s">
        <v>525</v>
      </c>
      <c r="B449">
        <v>1358</v>
      </c>
      <c r="C449" t="s">
        <v>1084</v>
      </c>
      <c r="D449">
        <v>500</v>
      </c>
      <c r="E449" t="s">
        <v>12</v>
      </c>
      <c r="F449">
        <v>500</v>
      </c>
    </row>
    <row r="450" spans="1:6" x14ac:dyDescent="0.35">
      <c r="A450" t="s">
        <v>526</v>
      </c>
      <c r="B450">
        <v>1358</v>
      </c>
      <c r="C450" t="s">
        <v>1082</v>
      </c>
      <c r="D450">
        <v>500</v>
      </c>
      <c r="E450" t="s">
        <v>12</v>
      </c>
      <c r="F450">
        <v>500</v>
      </c>
    </row>
    <row r="451" spans="1:6" x14ac:dyDescent="0.35">
      <c r="A451" t="s">
        <v>527</v>
      </c>
      <c r="B451">
        <v>1358</v>
      </c>
      <c r="C451" t="s">
        <v>1083</v>
      </c>
      <c r="D451">
        <v>500</v>
      </c>
      <c r="E451" t="s">
        <v>12</v>
      </c>
      <c r="F451">
        <v>500</v>
      </c>
    </row>
    <row r="452" spans="1:6" x14ac:dyDescent="0.35">
      <c r="A452" t="s">
        <v>528</v>
      </c>
      <c r="B452">
        <v>1358</v>
      </c>
      <c r="C452" t="s">
        <v>1070</v>
      </c>
      <c r="D452">
        <v>500</v>
      </c>
      <c r="E452" t="s">
        <v>12</v>
      </c>
      <c r="F452">
        <v>500</v>
      </c>
    </row>
    <row r="453" spans="1:6" x14ac:dyDescent="0.35">
      <c r="A453" t="s">
        <v>529</v>
      </c>
      <c r="B453">
        <v>1358</v>
      </c>
      <c r="C453" t="s">
        <v>1071</v>
      </c>
      <c r="D453">
        <v>500</v>
      </c>
      <c r="E453" t="s">
        <v>12</v>
      </c>
      <c r="F453">
        <v>500</v>
      </c>
    </row>
    <row r="454" spans="1:6" x14ac:dyDescent="0.35">
      <c r="A454" t="s">
        <v>530</v>
      </c>
      <c r="B454">
        <v>1358</v>
      </c>
      <c r="C454" t="s">
        <v>1072</v>
      </c>
      <c r="D454">
        <v>500</v>
      </c>
      <c r="E454" t="s">
        <v>12</v>
      </c>
      <c r="F454">
        <v>500</v>
      </c>
    </row>
    <row r="455" spans="1:6" x14ac:dyDescent="0.35">
      <c r="A455" t="s">
        <v>531</v>
      </c>
      <c r="B455">
        <v>1358</v>
      </c>
      <c r="C455" t="s">
        <v>1073</v>
      </c>
      <c r="D455">
        <v>500</v>
      </c>
      <c r="E455" t="s">
        <v>12</v>
      </c>
      <c r="F455">
        <v>500</v>
      </c>
    </row>
    <row r="456" spans="1:6" x14ac:dyDescent="0.35">
      <c r="A456" t="s">
        <v>532</v>
      </c>
      <c r="B456">
        <v>1358</v>
      </c>
      <c r="C456" t="s">
        <v>1074</v>
      </c>
      <c r="D456">
        <v>500</v>
      </c>
      <c r="E456" t="s">
        <v>12</v>
      </c>
      <c r="F456">
        <v>500</v>
      </c>
    </row>
    <row r="457" spans="1:6" x14ac:dyDescent="0.35">
      <c r="A457" t="s">
        <v>533</v>
      </c>
      <c r="B457">
        <v>1358</v>
      </c>
      <c r="C457" t="s">
        <v>1075</v>
      </c>
      <c r="D457">
        <v>500</v>
      </c>
      <c r="E457" t="s">
        <v>12</v>
      </c>
      <c r="F457">
        <v>500</v>
      </c>
    </row>
    <row r="458" spans="1:6" x14ac:dyDescent="0.35">
      <c r="A458" t="s">
        <v>534</v>
      </c>
      <c r="B458">
        <v>1359</v>
      </c>
      <c r="C458" t="s">
        <v>1076</v>
      </c>
      <c r="D458">
        <v>50</v>
      </c>
      <c r="E458" t="s">
        <v>12</v>
      </c>
      <c r="F458">
        <v>50</v>
      </c>
    </row>
    <row r="459" spans="1:6" x14ac:dyDescent="0.35">
      <c r="A459" t="s">
        <v>535</v>
      </c>
      <c r="B459">
        <v>1359</v>
      </c>
      <c r="C459" t="s">
        <v>1079</v>
      </c>
      <c r="D459">
        <v>50</v>
      </c>
      <c r="E459" t="s">
        <v>12</v>
      </c>
      <c r="F459">
        <v>50</v>
      </c>
    </row>
    <row r="460" spans="1:6" x14ac:dyDescent="0.35">
      <c r="A460" t="s">
        <v>536</v>
      </c>
      <c r="B460">
        <v>1359</v>
      </c>
      <c r="C460" t="s">
        <v>1080</v>
      </c>
      <c r="D460">
        <v>50</v>
      </c>
      <c r="E460" t="s">
        <v>12</v>
      </c>
      <c r="F460">
        <v>50</v>
      </c>
    </row>
    <row r="461" spans="1:6" x14ac:dyDescent="0.35">
      <c r="A461" t="s">
        <v>537</v>
      </c>
      <c r="B461">
        <v>1379</v>
      </c>
      <c r="C461" t="s">
        <v>1083</v>
      </c>
      <c r="D461">
        <v>50</v>
      </c>
      <c r="E461" t="s">
        <v>12</v>
      </c>
      <c r="F461">
        <v>50</v>
      </c>
    </row>
    <row r="462" spans="1:6" x14ac:dyDescent="0.35">
      <c r="A462" t="s">
        <v>538</v>
      </c>
      <c r="B462">
        <v>1379</v>
      </c>
      <c r="C462" t="s">
        <v>1070</v>
      </c>
      <c r="D462">
        <v>50</v>
      </c>
      <c r="E462" t="s">
        <v>12</v>
      </c>
      <c r="F462">
        <v>50</v>
      </c>
    </row>
    <row r="463" spans="1:6" x14ac:dyDescent="0.35">
      <c r="A463" t="s">
        <v>539</v>
      </c>
      <c r="B463">
        <v>1379</v>
      </c>
      <c r="C463" t="s">
        <v>1071</v>
      </c>
      <c r="D463">
        <v>50</v>
      </c>
      <c r="E463" t="s">
        <v>12</v>
      </c>
      <c r="F463">
        <v>50</v>
      </c>
    </row>
    <row r="464" spans="1:6" x14ac:dyDescent="0.35">
      <c r="A464" t="s">
        <v>540</v>
      </c>
      <c r="B464">
        <v>1379</v>
      </c>
      <c r="C464" t="s">
        <v>1072</v>
      </c>
      <c r="D464">
        <v>50</v>
      </c>
      <c r="E464" t="s">
        <v>12</v>
      </c>
      <c r="F464">
        <v>50</v>
      </c>
    </row>
    <row r="465" spans="1:6" x14ac:dyDescent="0.35">
      <c r="A465" t="s">
        <v>541</v>
      </c>
      <c r="B465">
        <v>1379</v>
      </c>
      <c r="C465" t="s">
        <v>1073</v>
      </c>
      <c r="D465">
        <v>50</v>
      </c>
      <c r="E465" t="s">
        <v>12</v>
      </c>
      <c r="F465">
        <v>50</v>
      </c>
    </row>
    <row r="466" spans="1:6" x14ac:dyDescent="0.35">
      <c r="A466" t="s">
        <v>542</v>
      </c>
      <c r="B466">
        <v>1379</v>
      </c>
      <c r="C466" t="s">
        <v>1074</v>
      </c>
      <c r="D466">
        <v>50</v>
      </c>
      <c r="E466" t="s">
        <v>12</v>
      </c>
      <c r="F466">
        <v>50</v>
      </c>
    </row>
    <row r="467" spans="1:6" x14ac:dyDescent="0.35">
      <c r="A467" t="s">
        <v>543</v>
      </c>
      <c r="B467">
        <v>1380</v>
      </c>
      <c r="C467" t="s">
        <v>1087</v>
      </c>
      <c r="D467">
        <v>200</v>
      </c>
      <c r="E467" t="s">
        <v>12</v>
      </c>
      <c r="F467">
        <v>200</v>
      </c>
    </row>
    <row r="468" spans="1:6" x14ac:dyDescent="0.35">
      <c r="A468" t="s">
        <v>544</v>
      </c>
      <c r="B468">
        <v>1380</v>
      </c>
      <c r="C468" t="s">
        <v>1077</v>
      </c>
      <c r="D468">
        <v>200</v>
      </c>
      <c r="E468" t="s">
        <v>12</v>
      </c>
      <c r="F468">
        <v>200</v>
      </c>
    </row>
    <row r="469" spans="1:6" x14ac:dyDescent="0.35">
      <c r="A469" t="s">
        <v>545</v>
      </c>
      <c r="B469">
        <v>1380</v>
      </c>
      <c r="C469" t="s">
        <v>1078</v>
      </c>
      <c r="D469">
        <v>200</v>
      </c>
      <c r="E469" t="s">
        <v>12</v>
      </c>
      <c r="F469">
        <v>200</v>
      </c>
    </row>
    <row r="470" spans="1:6" x14ac:dyDescent="0.35">
      <c r="A470" t="s">
        <v>546</v>
      </c>
      <c r="B470">
        <v>1380</v>
      </c>
      <c r="C470" t="s">
        <v>1081</v>
      </c>
      <c r="D470">
        <v>200</v>
      </c>
      <c r="E470" t="s">
        <v>12</v>
      </c>
      <c r="F470">
        <v>200</v>
      </c>
    </row>
    <row r="471" spans="1:6" x14ac:dyDescent="0.35">
      <c r="A471" t="s">
        <v>547</v>
      </c>
      <c r="B471">
        <v>1380</v>
      </c>
      <c r="C471" t="s">
        <v>1084</v>
      </c>
      <c r="D471">
        <v>200</v>
      </c>
      <c r="E471" t="s">
        <v>12</v>
      </c>
      <c r="F471">
        <v>200</v>
      </c>
    </row>
    <row r="472" spans="1:6" x14ac:dyDescent="0.35">
      <c r="A472" t="s">
        <v>548</v>
      </c>
      <c r="B472">
        <v>1380</v>
      </c>
      <c r="C472" t="s">
        <v>1082</v>
      </c>
      <c r="D472">
        <v>200</v>
      </c>
      <c r="E472" t="s">
        <v>12</v>
      </c>
      <c r="F472">
        <v>200</v>
      </c>
    </row>
    <row r="473" spans="1:6" x14ac:dyDescent="0.35">
      <c r="A473" t="s">
        <v>549</v>
      </c>
      <c r="B473">
        <v>1380</v>
      </c>
      <c r="C473" t="s">
        <v>1083</v>
      </c>
      <c r="D473">
        <v>200</v>
      </c>
      <c r="E473" t="s">
        <v>12</v>
      </c>
      <c r="F473">
        <v>200</v>
      </c>
    </row>
    <row r="474" spans="1:6" x14ac:dyDescent="0.35">
      <c r="A474" t="s">
        <v>550</v>
      </c>
      <c r="B474">
        <v>1380</v>
      </c>
      <c r="C474" t="s">
        <v>1070</v>
      </c>
      <c r="D474">
        <v>200</v>
      </c>
      <c r="E474" t="s">
        <v>12</v>
      </c>
      <c r="F474">
        <v>200</v>
      </c>
    </row>
    <row r="475" spans="1:6" x14ac:dyDescent="0.35">
      <c r="A475" t="s">
        <v>551</v>
      </c>
      <c r="B475">
        <v>1380</v>
      </c>
      <c r="C475" t="s">
        <v>1071</v>
      </c>
      <c r="D475">
        <v>200</v>
      </c>
      <c r="E475" t="s">
        <v>12</v>
      </c>
      <c r="F475">
        <v>200</v>
      </c>
    </row>
    <row r="476" spans="1:6" x14ac:dyDescent="0.35">
      <c r="A476" t="s">
        <v>552</v>
      </c>
      <c r="B476">
        <v>1380</v>
      </c>
      <c r="C476" t="s">
        <v>1072</v>
      </c>
      <c r="D476">
        <v>200</v>
      </c>
      <c r="E476" t="s">
        <v>12</v>
      </c>
      <c r="F476">
        <v>200</v>
      </c>
    </row>
    <row r="477" spans="1:6" x14ac:dyDescent="0.35">
      <c r="A477" t="s">
        <v>553</v>
      </c>
      <c r="B477">
        <v>1380</v>
      </c>
      <c r="C477" t="s">
        <v>1073</v>
      </c>
      <c r="D477">
        <v>200</v>
      </c>
      <c r="E477" t="s">
        <v>12</v>
      </c>
      <c r="F477">
        <v>200</v>
      </c>
    </row>
    <row r="478" spans="1:6" x14ac:dyDescent="0.35">
      <c r="A478" t="s">
        <v>554</v>
      </c>
      <c r="B478">
        <v>1380</v>
      </c>
      <c r="C478" t="s">
        <v>1074</v>
      </c>
      <c r="D478">
        <v>200</v>
      </c>
      <c r="E478" t="s">
        <v>12</v>
      </c>
      <c r="F478">
        <v>200</v>
      </c>
    </row>
    <row r="479" spans="1:6" x14ac:dyDescent="0.35">
      <c r="A479" t="s">
        <v>555</v>
      </c>
      <c r="B479">
        <v>1380</v>
      </c>
      <c r="C479" t="s">
        <v>1075</v>
      </c>
      <c r="D479">
        <v>200</v>
      </c>
      <c r="E479" t="s">
        <v>12</v>
      </c>
      <c r="F479">
        <v>200</v>
      </c>
    </row>
    <row r="480" spans="1:6" x14ac:dyDescent="0.35">
      <c r="A480" t="s">
        <v>556</v>
      </c>
      <c r="B480">
        <v>1380</v>
      </c>
      <c r="C480" t="s">
        <v>1076</v>
      </c>
      <c r="D480">
        <v>200</v>
      </c>
      <c r="E480" t="s">
        <v>12</v>
      </c>
      <c r="F480">
        <v>200</v>
      </c>
    </row>
    <row r="481" spans="1:6" x14ac:dyDescent="0.35">
      <c r="A481" t="s">
        <v>557</v>
      </c>
      <c r="B481">
        <v>1380</v>
      </c>
      <c r="C481" t="s">
        <v>1079</v>
      </c>
      <c r="D481">
        <v>200</v>
      </c>
      <c r="E481" t="s">
        <v>12</v>
      </c>
      <c r="F481">
        <v>200</v>
      </c>
    </row>
    <row r="482" spans="1:6" x14ac:dyDescent="0.35">
      <c r="A482" t="s">
        <v>558</v>
      </c>
      <c r="B482">
        <v>1382</v>
      </c>
      <c r="C482" t="s">
        <v>1076</v>
      </c>
      <c r="D482">
        <v>200</v>
      </c>
      <c r="E482" t="s">
        <v>12</v>
      </c>
      <c r="F482">
        <v>200</v>
      </c>
    </row>
    <row r="483" spans="1:6" x14ac:dyDescent="0.35">
      <c r="A483" t="s">
        <v>559</v>
      </c>
      <c r="B483">
        <v>1382</v>
      </c>
      <c r="C483" t="s">
        <v>1079</v>
      </c>
      <c r="D483">
        <v>200</v>
      </c>
      <c r="E483" t="s">
        <v>12</v>
      </c>
      <c r="F483">
        <v>200</v>
      </c>
    </row>
    <row r="484" spans="1:6" x14ac:dyDescent="0.35">
      <c r="A484" t="s">
        <v>560</v>
      </c>
      <c r="B484">
        <v>1386</v>
      </c>
      <c r="C484" t="s">
        <v>1077</v>
      </c>
      <c r="D484">
        <v>500</v>
      </c>
      <c r="E484" t="s">
        <v>12</v>
      </c>
      <c r="F484">
        <v>500</v>
      </c>
    </row>
    <row r="485" spans="1:6" x14ac:dyDescent="0.35">
      <c r="A485" t="s">
        <v>561</v>
      </c>
      <c r="B485">
        <v>1386</v>
      </c>
      <c r="C485" t="s">
        <v>1078</v>
      </c>
      <c r="D485">
        <v>500</v>
      </c>
      <c r="E485" t="s">
        <v>12</v>
      </c>
      <c r="F485">
        <v>500</v>
      </c>
    </row>
    <row r="486" spans="1:6" x14ac:dyDescent="0.35">
      <c r="A486" t="s">
        <v>562</v>
      </c>
      <c r="B486">
        <v>1386</v>
      </c>
      <c r="C486" t="s">
        <v>1081</v>
      </c>
      <c r="D486">
        <v>500</v>
      </c>
      <c r="E486" t="s">
        <v>12</v>
      </c>
      <c r="F486">
        <v>500</v>
      </c>
    </row>
    <row r="487" spans="1:6" x14ac:dyDescent="0.35">
      <c r="A487" t="s">
        <v>563</v>
      </c>
      <c r="B487">
        <v>1386</v>
      </c>
      <c r="C487" t="s">
        <v>1084</v>
      </c>
      <c r="D487">
        <v>500</v>
      </c>
      <c r="E487" t="s">
        <v>12</v>
      </c>
      <c r="F487">
        <v>500</v>
      </c>
    </row>
    <row r="488" spans="1:6" x14ac:dyDescent="0.35">
      <c r="A488" t="s">
        <v>564</v>
      </c>
      <c r="B488">
        <v>1386</v>
      </c>
      <c r="C488" t="s">
        <v>1082</v>
      </c>
      <c r="D488">
        <v>500</v>
      </c>
      <c r="E488" t="s">
        <v>12</v>
      </c>
      <c r="F488">
        <v>500</v>
      </c>
    </row>
    <row r="489" spans="1:6" x14ac:dyDescent="0.35">
      <c r="A489" t="s">
        <v>565</v>
      </c>
      <c r="B489">
        <v>1386</v>
      </c>
      <c r="C489" t="s">
        <v>1083</v>
      </c>
      <c r="D489">
        <v>500</v>
      </c>
      <c r="E489" t="s">
        <v>12</v>
      </c>
      <c r="F489">
        <v>500</v>
      </c>
    </row>
    <row r="490" spans="1:6" x14ac:dyDescent="0.35">
      <c r="A490" t="s">
        <v>566</v>
      </c>
      <c r="B490">
        <v>1386</v>
      </c>
      <c r="C490" t="s">
        <v>1070</v>
      </c>
      <c r="D490">
        <v>500</v>
      </c>
      <c r="E490" t="s">
        <v>12</v>
      </c>
      <c r="F490">
        <v>500</v>
      </c>
    </row>
    <row r="491" spans="1:6" x14ac:dyDescent="0.35">
      <c r="A491" t="s">
        <v>567</v>
      </c>
      <c r="B491">
        <v>1393</v>
      </c>
      <c r="C491" t="s">
        <v>1083</v>
      </c>
      <c r="D491">
        <v>500</v>
      </c>
      <c r="E491" t="s">
        <v>12</v>
      </c>
      <c r="F491">
        <v>500</v>
      </c>
    </row>
    <row r="492" spans="1:6" x14ac:dyDescent="0.35">
      <c r="A492" t="s">
        <v>568</v>
      </c>
      <c r="B492">
        <v>1393</v>
      </c>
      <c r="C492" t="s">
        <v>1070</v>
      </c>
      <c r="D492">
        <v>500</v>
      </c>
      <c r="E492" t="s">
        <v>12</v>
      </c>
      <c r="F492">
        <v>500</v>
      </c>
    </row>
    <row r="493" spans="1:6" x14ac:dyDescent="0.35">
      <c r="A493" t="s">
        <v>569</v>
      </c>
      <c r="B493">
        <v>1393</v>
      </c>
      <c r="C493" t="s">
        <v>1071</v>
      </c>
      <c r="D493">
        <v>500</v>
      </c>
      <c r="E493" t="s">
        <v>12</v>
      </c>
      <c r="F493">
        <v>500</v>
      </c>
    </row>
    <row r="494" spans="1:6" x14ac:dyDescent="0.35">
      <c r="A494" t="s">
        <v>570</v>
      </c>
      <c r="B494">
        <v>1393</v>
      </c>
      <c r="C494" t="s">
        <v>1072</v>
      </c>
      <c r="D494">
        <v>500</v>
      </c>
      <c r="E494" t="s">
        <v>12</v>
      </c>
      <c r="F494">
        <v>500</v>
      </c>
    </row>
    <row r="495" spans="1:6" x14ac:dyDescent="0.35">
      <c r="A495" t="s">
        <v>571</v>
      </c>
      <c r="B495">
        <v>1393</v>
      </c>
      <c r="C495" t="s">
        <v>1073</v>
      </c>
      <c r="D495">
        <v>500</v>
      </c>
      <c r="E495" t="s">
        <v>12</v>
      </c>
      <c r="F495">
        <v>500</v>
      </c>
    </row>
    <row r="496" spans="1:6" x14ac:dyDescent="0.35">
      <c r="A496" t="s">
        <v>572</v>
      </c>
      <c r="B496">
        <v>1393</v>
      </c>
      <c r="C496" t="s">
        <v>1074</v>
      </c>
      <c r="D496">
        <v>500</v>
      </c>
      <c r="E496" t="s">
        <v>12</v>
      </c>
      <c r="F496">
        <v>500</v>
      </c>
    </row>
    <row r="497" spans="1:6" x14ac:dyDescent="0.35">
      <c r="A497" t="s">
        <v>573</v>
      </c>
      <c r="B497">
        <v>1393</v>
      </c>
      <c r="C497" t="s">
        <v>1075</v>
      </c>
      <c r="D497">
        <v>500</v>
      </c>
      <c r="E497" t="s">
        <v>12</v>
      </c>
      <c r="F497">
        <v>500</v>
      </c>
    </row>
    <row r="498" spans="1:6" x14ac:dyDescent="0.35">
      <c r="A498" t="s">
        <v>574</v>
      </c>
      <c r="B498">
        <v>1393</v>
      </c>
      <c r="C498" t="s">
        <v>1076</v>
      </c>
      <c r="D498">
        <v>500</v>
      </c>
      <c r="E498" t="s">
        <v>12</v>
      </c>
      <c r="F498">
        <v>500</v>
      </c>
    </row>
    <row r="499" spans="1:6" x14ac:dyDescent="0.35">
      <c r="A499" t="s">
        <v>575</v>
      </c>
      <c r="B499">
        <v>1397</v>
      </c>
      <c r="C499" t="s">
        <v>1078</v>
      </c>
      <c r="D499">
        <v>50</v>
      </c>
      <c r="E499" t="s">
        <v>12</v>
      </c>
      <c r="F499">
        <v>50</v>
      </c>
    </row>
    <row r="500" spans="1:6" x14ac:dyDescent="0.35">
      <c r="A500" t="s">
        <v>576</v>
      </c>
      <c r="B500">
        <v>1397</v>
      </c>
      <c r="C500" t="s">
        <v>1081</v>
      </c>
      <c r="D500">
        <v>50</v>
      </c>
      <c r="E500" t="s">
        <v>12</v>
      </c>
      <c r="F500">
        <v>50</v>
      </c>
    </row>
    <row r="501" spans="1:6" x14ac:dyDescent="0.35">
      <c r="A501" t="s">
        <v>577</v>
      </c>
      <c r="B501">
        <v>1397</v>
      </c>
      <c r="C501" t="s">
        <v>1084</v>
      </c>
      <c r="D501">
        <v>50</v>
      </c>
      <c r="E501" t="s">
        <v>12</v>
      </c>
      <c r="F501">
        <v>50</v>
      </c>
    </row>
    <row r="502" spans="1:6" x14ac:dyDescent="0.35">
      <c r="A502" t="s">
        <v>578</v>
      </c>
      <c r="B502">
        <v>1397</v>
      </c>
      <c r="C502" t="s">
        <v>1082</v>
      </c>
      <c r="D502">
        <v>50</v>
      </c>
      <c r="E502" t="s">
        <v>12</v>
      </c>
      <c r="F502">
        <v>50</v>
      </c>
    </row>
    <row r="503" spans="1:6" x14ac:dyDescent="0.35">
      <c r="A503" t="s">
        <v>579</v>
      </c>
      <c r="B503">
        <v>1397</v>
      </c>
      <c r="C503" t="s">
        <v>1083</v>
      </c>
      <c r="D503">
        <v>50</v>
      </c>
      <c r="E503" t="s">
        <v>12</v>
      </c>
      <c r="F503">
        <v>50</v>
      </c>
    </row>
    <row r="504" spans="1:6" x14ac:dyDescent="0.35">
      <c r="A504" t="s">
        <v>580</v>
      </c>
      <c r="B504">
        <v>1397</v>
      </c>
      <c r="C504" t="s">
        <v>1070</v>
      </c>
      <c r="D504">
        <v>50</v>
      </c>
      <c r="E504" t="s">
        <v>12</v>
      </c>
      <c r="F504">
        <v>50</v>
      </c>
    </row>
    <row r="505" spans="1:6" x14ac:dyDescent="0.35">
      <c r="A505" t="s">
        <v>581</v>
      </c>
      <c r="B505">
        <v>1397</v>
      </c>
      <c r="C505" t="s">
        <v>1071</v>
      </c>
      <c r="D505">
        <v>50</v>
      </c>
      <c r="E505" t="s">
        <v>12</v>
      </c>
      <c r="F505">
        <v>50</v>
      </c>
    </row>
    <row r="506" spans="1:6" x14ac:dyDescent="0.35">
      <c r="A506" t="s">
        <v>582</v>
      </c>
      <c r="B506">
        <v>1397</v>
      </c>
      <c r="C506" t="s">
        <v>1072</v>
      </c>
      <c r="D506">
        <v>50</v>
      </c>
      <c r="E506" t="s">
        <v>12</v>
      </c>
      <c r="F506">
        <v>50</v>
      </c>
    </row>
    <row r="507" spans="1:6" x14ac:dyDescent="0.35">
      <c r="A507" t="s">
        <v>583</v>
      </c>
      <c r="B507">
        <v>1397</v>
      </c>
      <c r="C507" t="s">
        <v>1073</v>
      </c>
      <c r="D507">
        <v>50</v>
      </c>
      <c r="E507" t="s">
        <v>12</v>
      </c>
      <c r="F507">
        <v>50</v>
      </c>
    </row>
    <row r="508" spans="1:6" x14ac:dyDescent="0.35">
      <c r="A508" t="s">
        <v>584</v>
      </c>
      <c r="B508">
        <v>1397</v>
      </c>
      <c r="C508" t="s">
        <v>1074</v>
      </c>
      <c r="D508">
        <v>50</v>
      </c>
      <c r="E508" t="s">
        <v>12</v>
      </c>
      <c r="F508">
        <v>50</v>
      </c>
    </row>
    <row r="509" spans="1:6" x14ac:dyDescent="0.35">
      <c r="A509" t="s">
        <v>585</v>
      </c>
      <c r="B509">
        <v>1397</v>
      </c>
      <c r="C509" t="s">
        <v>1075</v>
      </c>
      <c r="D509">
        <v>50</v>
      </c>
      <c r="E509" t="s">
        <v>12</v>
      </c>
      <c r="F509">
        <v>50</v>
      </c>
    </row>
    <row r="510" spans="1:6" x14ac:dyDescent="0.35">
      <c r="A510" t="s">
        <v>586</v>
      </c>
      <c r="B510">
        <v>1397</v>
      </c>
      <c r="C510" t="s">
        <v>1076</v>
      </c>
      <c r="D510">
        <v>50</v>
      </c>
      <c r="E510" t="s">
        <v>12</v>
      </c>
      <c r="F510">
        <v>50</v>
      </c>
    </row>
    <row r="511" spans="1:6" x14ac:dyDescent="0.35">
      <c r="A511" t="s">
        <v>587</v>
      </c>
      <c r="B511">
        <v>1401</v>
      </c>
      <c r="C511" t="s">
        <v>1073</v>
      </c>
      <c r="D511">
        <v>500</v>
      </c>
      <c r="E511" t="s">
        <v>12</v>
      </c>
      <c r="F511">
        <v>500</v>
      </c>
    </row>
    <row r="512" spans="1:6" x14ac:dyDescent="0.35">
      <c r="A512" t="s">
        <v>588</v>
      </c>
      <c r="B512">
        <v>1401</v>
      </c>
      <c r="C512" t="s">
        <v>1074</v>
      </c>
      <c r="D512">
        <v>500</v>
      </c>
      <c r="E512" t="s">
        <v>12</v>
      </c>
      <c r="F512">
        <v>500</v>
      </c>
    </row>
    <row r="513" spans="1:6" x14ac:dyDescent="0.35">
      <c r="A513" t="s">
        <v>589</v>
      </c>
      <c r="B513">
        <v>1401</v>
      </c>
      <c r="C513" t="s">
        <v>1075</v>
      </c>
      <c r="D513">
        <v>500</v>
      </c>
      <c r="E513" t="s">
        <v>12</v>
      </c>
      <c r="F513">
        <v>500</v>
      </c>
    </row>
    <row r="514" spans="1:6" x14ac:dyDescent="0.35">
      <c r="A514" t="s">
        <v>590</v>
      </c>
      <c r="B514">
        <v>1401</v>
      </c>
      <c r="C514" t="s">
        <v>1076</v>
      </c>
      <c r="D514">
        <v>500</v>
      </c>
      <c r="E514" t="s">
        <v>12</v>
      </c>
      <c r="F514">
        <v>500</v>
      </c>
    </row>
    <row r="515" spans="1:6" x14ac:dyDescent="0.35">
      <c r="A515" t="s">
        <v>591</v>
      </c>
      <c r="B515">
        <v>1401</v>
      </c>
      <c r="C515" t="s">
        <v>1079</v>
      </c>
      <c r="D515">
        <v>500</v>
      </c>
      <c r="E515" t="s">
        <v>12</v>
      </c>
      <c r="F515">
        <v>500</v>
      </c>
    </row>
    <row r="516" spans="1:6" x14ac:dyDescent="0.35">
      <c r="A516" t="s">
        <v>592</v>
      </c>
      <c r="B516">
        <v>1403</v>
      </c>
      <c r="C516" t="s">
        <v>1075</v>
      </c>
      <c r="D516">
        <v>200</v>
      </c>
      <c r="E516" t="s">
        <v>12</v>
      </c>
      <c r="F516">
        <v>200</v>
      </c>
    </row>
    <row r="517" spans="1:6" x14ac:dyDescent="0.35">
      <c r="A517" t="s">
        <v>593</v>
      </c>
      <c r="B517">
        <v>1403</v>
      </c>
      <c r="C517" t="s">
        <v>1076</v>
      </c>
      <c r="D517">
        <v>200</v>
      </c>
      <c r="E517" t="s">
        <v>12</v>
      </c>
      <c r="F517">
        <v>200</v>
      </c>
    </row>
    <row r="518" spans="1:6" x14ac:dyDescent="0.35">
      <c r="A518" t="s">
        <v>594</v>
      </c>
      <c r="B518">
        <v>1404</v>
      </c>
      <c r="C518" t="s">
        <v>1076</v>
      </c>
      <c r="D518">
        <v>50</v>
      </c>
      <c r="E518" t="s">
        <v>12</v>
      </c>
      <c r="F518">
        <v>50</v>
      </c>
    </row>
    <row r="519" spans="1:6" x14ac:dyDescent="0.35">
      <c r="A519" t="s">
        <v>595</v>
      </c>
      <c r="B519">
        <v>1404</v>
      </c>
      <c r="C519" t="s">
        <v>1079</v>
      </c>
      <c r="D519">
        <v>50</v>
      </c>
      <c r="E519" t="s">
        <v>12</v>
      </c>
      <c r="F519">
        <v>50</v>
      </c>
    </row>
    <row r="520" spans="1:6" x14ac:dyDescent="0.35">
      <c r="A520" t="s">
        <v>596</v>
      </c>
      <c r="B520">
        <v>1414</v>
      </c>
      <c r="C520" t="s">
        <v>1074</v>
      </c>
      <c r="D520">
        <v>500</v>
      </c>
      <c r="E520" t="s">
        <v>12</v>
      </c>
      <c r="F520">
        <v>500</v>
      </c>
    </row>
    <row r="521" spans="1:6" x14ac:dyDescent="0.35">
      <c r="A521" t="s">
        <v>597</v>
      </c>
      <c r="B521">
        <v>1414</v>
      </c>
      <c r="C521" t="s">
        <v>1075</v>
      </c>
      <c r="D521">
        <v>500</v>
      </c>
      <c r="E521" t="s">
        <v>12</v>
      </c>
      <c r="F521">
        <v>500</v>
      </c>
    </row>
    <row r="522" spans="1:6" x14ac:dyDescent="0.35">
      <c r="A522" t="s">
        <v>598</v>
      </c>
      <c r="B522">
        <v>1414</v>
      </c>
      <c r="C522" t="s">
        <v>1076</v>
      </c>
      <c r="D522">
        <v>500</v>
      </c>
      <c r="E522" t="s">
        <v>12</v>
      </c>
      <c r="F522">
        <v>500</v>
      </c>
    </row>
    <row r="523" spans="1:6" x14ac:dyDescent="0.35">
      <c r="A523" t="s">
        <v>599</v>
      </c>
      <c r="B523">
        <v>1414</v>
      </c>
      <c r="C523" t="s">
        <v>1079</v>
      </c>
      <c r="D523">
        <v>500</v>
      </c>
      <c r="E523" t="s">
        <v>12</v>
      </c>
      <c r="F523">
        <v>500</v>
      </c>
    </row>
    <row r="524" spans="1:6" x14ac:dyDescent="0.35">
      <c r="A524" t="s">
        <v>600</v>
      </c>
      <c r="B524">
        <v>1419</v>
      </c>
      <c r="C524" t="s">
        <v>1073</v>
      </c>
      <c r="D524">
        <v>200</v>
      </c>
      <c r="E524" t="s">
        <v>12</v>
      </c>
      <c r="F524">
        <v>200</v>
      </c>
    </row>
    <row r="525" spans="1:6" x14ac:dyDescent="0.35">
      <c r="A525" t="s">
        <v>601</v>
      </c>
      <c r="B525">
        <v>1419</v>
      </c>
      <c r="C525" t="s">
        <v>1074</v>
      </c>
      <c r="D525">
        <v>200</v>
      </c>
      <c r="E525" t="s">
        <v>12</v>
      </c>
      <c r="F525">
        <v>200</v>
      </c>
    </row>
    <row r="526" spans="1:6" x14ac:dyDescent="0.35">
      <c r="A526" t="s">
        <v>602</v>
      </c>
      <c r="B526">
        <v>1419</v>
      </c>
      <c r="C526" t="s">
        <v>1075</v>
      </c>
      <c r="D526">
        <v>200</v>
      </c>
      <c r="E526" t="s">
        <v>12</v>
      </c>
      <c r="F526">
        <v>200</v>
      </c>
    </row>
    <row r="527" spans="1:6" x14ac:dyDescent="0.35">
      <c r="A527" t="s">
        <v>603</v>
      </c>
      <c r="B527">
        <v>1424</v>
      </c>
      <c r="C527" t="s">
        <v>1076</v>
      </c>
      <c r="D527">
        <v>500</v>
      </c>
      <c r="E527" t="s">
        <v>12</v>
      </c>
      <c r="F527">
        <v>500</v>
      </c>
    </row>
    <row r="528" spans="1:6" x14ac:dyDescent="0.35">
      <c r="A528" t="s">
        <v>604</v>
      </c>
      <c r="B528">
        <v>1424</v>
      </c>
      <c r="C528" t="s">
        <v>1079</v>
      </c>
      <c r="D528">
        <v>500</v>
      </c>
      <c r="E528" t="s">
        <v>12</v>
      </c>
      <c r="F528">
        <v>500</v>
      </c>
    </row>
    <row r="529" spans="1:6" x14ac:dyDescent="0.35">
      <c r="A529" t="s">
        <v>605</v>
      </c>
      <c r="B529">
        <v>1428</v>
      </c>
      <c r="C529" t="s">
        <v>1081</v>
      </c>
      <c r="D529">
        <v>500</v>
      </c>
      <c r="E529" t="s">
        <v>12</v>
      </c>
      <c r="F529">
        <v>500</v>
      </c>
    </row>
    <row r="530" spans="1:6" x14ac:dyDescent="0.35">
      <c r="A530" t="s">
        <v>606</v>
      </c>
      <c r="B530">
        <v>1428</v>
      </c>
      <c r="C530" t="s">
        <v>1084</v>
      </c>
      <c r="D530">
        <v>500</v>
      </c>
      <c r="E530" t="s">
        <v>12</v>
      </c>
      <c r="F530">
        <v>500</v>
      </c>
    </row>
    <row r="531" spans="1:6" x14ac:dyDescent="0.35">
      <c r="A531" t="s">
        <v>607</v>
      </c>
      <c r="B531">
        <v>1428</v>
      </c>
      <c r="C531" t="s">
        <v>1082</v>
      </c>
      <c r="D531">
        <v>500</v>
      </c>
      <c r="E531" t="s">
        <v>12</v>
      </c>
      <c r="F531">
        <v>500</v>
      </c>
    </row>
    <row r="532" spans="1:6" x14ac:dyDescent="0.35">
      <c r="A532" t="s">
        <v>608</v>
      </c>
      <c r="B532">
        <v>1428</v>
      </c>
      <c r="C532" t="s">
        <v>1083</v>
      </c>
      <c r="D532">
        <v>500</v>
      </c>
      <c r="E532" t="s">
        <v>12</v>
      </c>
      <c r="F532">
        <v>500</v>
      </c>
    </row>
    <row r="533" spans="1:6" x14ac:dyDescent="0.35">
      <c r="A533" t="s">
        <v>609</v>
      </c>
      <c r="B533">
        <v>1428</v>
      </c>
      <c r="C533" t="s">
        <v>1070</v>
      </c>
      <c r="D533">
        <v>500</v>
      </c>
      <c r="E533" t="s">
        <v>12</v>
      </c>
      <c r="F533">
        <v>500</v>
      </c>
    </row>
    <row r="534" spans="1:6" x14ac:dyDescent="0.35">
      <c r="A534" t="s">
        <v>610</v>
      </c>
      <c r="B534">
        <v>1428</v>
      </c>
      <c r="C534" t="s">
        <v>1071</v>
      </c>
      <c r="D534">
        <v>500</v>
      </c>
      <c r="E534" t="s">
        <v>12</v>
      </c>
      <c r="F534">
        <v>500</v>
      </c>
    </row>
    <row r="535" spans="1:6" x14ac:dyDescent="0.35">
      <c r="A535" t="s">
        <v>611</v>
      </c>
      <c r="B535">
        <v>1428</v>
      </c>
      <c r="C535" t="s">
        <v>1072</v>
      </c>
      <c r="D535">
        <v>500</v>
      </c>
      <c r="E535" t="s">
        <v>12</v>
      </c>
      <c r="F535">
        <v>500</v>
      </c>
    </row>
    <row r="536" spans="1:6" x14ac:dyDescent="0.35">
      <c r="A536" t="s">
        <v>612</v>
      </c>
      <c r="B536">
        <v>1428</v>
      </c>
      <c r="C536" t="s">
        <v>1073</v>
      </c>
      <c r="D536">
        <v>500</v>
      </c>
      <c r="E536" t="s">
        <v>12</v>
      </c>
      <c r="F536">
        <v>500</v>
      </c>
    </row>
    <row r="537" spans="1:6" x14ac:dyDescent="0.35">
      <c r="A537" t="s">
        <v>613</v>
      </c>
      <c r="B537">
        <v>1428</v>
      </c>
      <c r="C537" t="s">
        <v>1074</v>
      </c>
      <c r="D537">
        <v>500</v>
      </c>
      <c r="E537" t="s">
        <v>12</v>
      </c>
      <c r="F537">
        <v>500</v>
      </c>
    </row>
    <row r="538" spans="1:6" x14ac:dyDescent="0.35">
      <c r="A538" t="s">
        <v>614</v>
      </c>
      <c r="B538">
        <v>1438</v>
      </c>
      <c r="C538" t="s">
        <v>1075</v>
      </c>
      <c r="D538">
        <v>200</v>
      </c>
      <c r="E538" t="s">
        <v>12</v>
      </c>
      <c r="F538">
        <v>200</v>
      </c>
    </row>
    <row r="539" spans="1:6" x14ac:dyDescent="0.35">
      <c r="A539" t="s">
        <v>615</v>
      </c>
      <c r="B539">
        <v>1438</v>
      </c>
      <c r="C539" t="s">
        <v>1076</v>
      </c>
      <c r="D539">
        <v>200</v>
      </c>
      <c r="E539" t="s">
        <v>12</v>
      </c>
      <c r="F539">
        <v>200</v>
      </c>
    </row>
    <row r="540" spans="1:6" x14ac:dyDescent="0.35">
      <c r="A540" t="s">
        <v>616</v>
      </c>
      <c r="B540">
        <v>1442</v>
      </c>
      <c r="C540" t="s">
        <v>1073</v>
      </c>
      <c r="D540">
        <v>50</v>
      </c>
      <c r="E540" t="s">
        <v>12</v>
      </c>
      <c r="F540">
        <v>50</v>
      </c>
    </row>
    <row r="541" spans="1:6" x14ac:dyDescent="0.35">
      <c r="A541" t="s">
        <v>617</v>
      </c>
      <c r="B541">
        <v>1442</v>
      </c>
      <c r="C541" t="s">
        <v>1074</v>
      </c>
      <c r="D541">
        <v>50</v>
      </c>
      <c r="E541" t="s">
        <v>12</v>
      </c>
      <c r="F541">
        <v>50</v>
      </c>
    </row>
    <row r="542" spans="1:6" x14ac:dyDescent="0.35">
      <c r="A542" t="s">
        <v>618</v>
      </c>
      <c r="B542">
        <v>1442</v>
      </c>
      <c r="C542" t="s">
        <v>1075</v>
      </c>
      <c r="D542">
        <v>50</v>
      </c>
      <c r="E542" t="s">
        <v>12</v>
      </c>
      <c r="F542">
        <v>50</v>
      </c>
    </row>
    <row r="543" spans="1:6" x14ac:dyDescent="0.35">
      <c r="A543" t="s">
        <v>619</v>
      </c>
      <c r="B543">
        <v>1443</v>
      </c>
      <c r="C543" t="s">
        <v>1074</v>
      </c>
      <c r="D543">
        <v>500</v>
      </c>
      <c r="E543" t="s">
        <v>12</v>
      </c>
      <c r="F543">
        <v>500</v>
      </c>
    </row>
    <row r="544" spans="1:6" x14ac:dyDescent="0.35">
      <c r="A544" t="s">
        <v>620</v>
      </c>
      <c r="B544">
        <v>1443</v>
      </c>
      <c r="C544" t="s">
        <v>1075</v>
      </c>
      <c r="D544">
        <v>500</v>
      </c>
      <c r="E544" t="s">
        <v>12</v>
      </c>
      <c r="F544">
        <v>500</v>
      </c>
    </row>
    <row r="545" spans="1:6" x14ac:dyDescent="0.35">
      <c r="A545" t="s">
        <v>621</v>
      </c>
      <c r="B545">
        <v>1443</v>
      </c>
      <c r="C545" t="s">
        <v>1076</v>
      </c>
      <c r="D545">
        <v>500</v>
      </c>
      <c r="E545" t="s">
        <v>12</v>
      </c>
      <c r="F545">
        <v>500</v>
      </c>
    </row>
    <row r="546" spans="1:6" x14ac:dyDescent="0.35">
      <c r="A546" t="s">
        <v>622</v>
      </c>
      <c r="B546">
        <v>1443</v>
      </c>
      <c r="C546" t="s">
        <v>1079</v>
      </c>
      <c r="D546">
        <v>500</v>
      </c>
      <c r="E546" t="s">
        <v>12</v>
      </c>
      <c r="F546">
        <v>500</v>
      </c>
    </row>
    <row r="547" spans="1:6" x14ac:dyDescent="0.35">
      <c r="A547" t="s">
        <v>623</v>
      </c>
      <c r="B547">
        <v>1443</v>
      </c>
      <c r="C547" t="s">
        <v>1080</v>
      </c>
      <c r="D547">
        <v>500</v>
      </c>
      <c r="E547" t="s">
        <v>12</v>
      </c>
      <c r="F547">
        <v>500</v>
      </c>
    </row>
    <row r="548" spans="1:6" x14ac:dyDescent="0.35">
      <c r="A548" t="s">
        <v>624</v>
      </c>
      <c r="B548">
        <v>1448</v>
      </c>
      <c r="C548" t="s">
        <v>1081</v>
      </c>
      <c r="D548">
        <v>200</v>
      </c>
      <c r="E548" t="s">
        <v>12</v>
      </c>
      <c r="F548">
        <v>200</v>
      </c>
    </row>
    <row r="549" spans="1:6" x14ac:dyDescent="0.35">
      <c r="A549" t="s">
        <v>625</v>
      </c>
      <c r="B549">
        <v>1448</v>
      </c>
      <c r="C549" t="s">
        <v>1084</v>
      </c>
      <c r="D549">
        <v>200</v>
      </c>
      <c r="E549" t="s">
        <v>12</v>
      </c>
      <c r="F549">
        <v>200</v>
      </c>
    </row>
    <row r="550" spans="1:6" x14ac:dyDescent="0.35">
      <c r="A550" t="s">
        <v>626</v>
      </c>
      <c r="B550">
        <v>1448</v>
      </c>
      <c r="C550" t="s">
        <v>1082</v>
      </c>
      <c r="D550">
        <v>200</v>
      </c>
      <c r="E550" t="s">
        <v>12</v>
      </c>
      <c r="F550">
        <v>200</v>
      </c>
    </row>
    <row r="551" spans="1:6" x14ac:dyDescent="0.35">
      <c r="A551" t="s">
        <v>627</v>
      </c>
      <c r="B551">
        <v>1450</v>
      </c>
      <c r="C551" t="s">
        <v>1087</v>
      </c>
      <c r="D551">
        <v>50</v>
      </c>
      <c r="E551" t="s">
        <v>12</v>
      </c>
      <c r="F551">
        <v>50</v>
      </c>
    </row>
    <row r="552" spans="1:6" x14ac:dyDescent="0.35">
      <c r="A552" t="s">
        <v>628</v>
      </c>
      <c r="B552">
        <v>1450</v>
      </c>
      <c r="C552" t="s">
        <v>1077</v>
      </c>
      <c r="D552">
        <v>50</v>
      </c>
      <c r="E552" t="s">
        <v>12</v>
      </c>
      <c r="F552">
        <v>50</v>
      </c>
    </row>
    <row r="553" spans="1:6" x14ac:dyDescent="0.35">
      <c r="A553" t="s">
        <v>629</v>
      </c>
      <c r="B553">
        <v>1450</v>
      </c>
      <c r="C553" t="s">
        <v>1078</v>
      </c>
      <c r="D553">
        <v>50</v>
      </c>
      <c r="E553" t="s">
        <v>12</v>
      </c>
      <c r="F553">
        <v>50</v>
      </c>
    </row>
    <row r="554" spans="1:6" x14ac:dyDescent="0.35">
      <c r="A554" t="s">
        <v>630</v>
      </c>
      <c r="B554">
        <v>1450</v>
      </c>
      <c r="C554" t="s">
        <v>1081</v>
      </c>
      <c r="D554">
        <v>50</v>
      </c>
      <c r="E554" t="s">
        <v>12</v>
      </c>
      <c r="F554">
        <v>50</v>
      </c>
    </row>
    <row r="555" spans="1:6" x14ac:dyDescent="0.35">
      <c r="A555" t="s">
        <v>631</v>
      </c>
      <c r="B555">
        <v>1450</v>
      </c>
      <c r="C555" t="s">
        <v>1084</v>
      </c>
      <c r="D555">
        <v>50</v>
      </c>
      <c r="E555" t="s">
        <v>12</v>
      </c>
      <c r="F555">
        <v>50</v>
      </c>
    </row>
    <row r="556" spans="1:6" x14ac:dyDescent="0.35">
      <c r="A556" t="s">
        <v>632</v>
      </c>
      <c r="B556">
        <v>1450</v>
      </c>
      <c r="C556" t="s">
        <v>1082</v>
      </c>
      <c r="D556">
        <v>50</v>
      </c>
      <c r="E556" t="s">
        <v>12</v>
      </c>
      <c r="F556">
        <v>50</v>
      </c>
    </row>
    <row r="557" spans="1:6" x14ac:dyDescent="0.35">
      <c r="A557" t="s">
        <v>633</v>
      </c>
      <c r="B557">
        <v>1450</v>
      </c>
      <c r="C557" t="s">
        <v>1083</v>
      </c>
      <c r="D557">
        <v>50</v>
      </c>
      <c r="E557" t="s">
        <v>12</v>
      </c>
      <c r="F557">
        <v>50</v>
      </c>
    </row>
    <row r="558" spans="1:6" x14ac:dyDescent="0.35">
      <c r="A558" t="s">
        <v>634</v>
      </c>
      <c r="B558">
        <v>1450</v>
      </c>
      <c r="C558" t="s">
        <v>1070</v>
      </c>
      <c r="D558">
        <v>50</v>
      </c>
      <c r="E558" t="s">
        <v>12</v>
      </c>
      <c r="F558">
        <v>50</v>
      </c>
    </row>
    <row r="559" spans="1:6" x14ac:dyDescent="0.35">
      <c r="A559" t="s">
        <v>635</v>
      </c>
      <c r="B559">
        <v>1450</v>
      </c>
      <c r="C559" t="s">
        <v>1071</v>
      </c>
      <c r="D559">
        <v>50</v>
      </c>
      <c r="E559" t="s">
        <v>12</v>
      </c>
      <c r="F559">
        <v>50</v>
      </c>
    </row>
    <row r="560" spans="1:6" x14ac:dyDescent="0.35">
      <c r="A560" t="s">
        <v>636</v>
      </c>
      <c r="B560">
        <v>1450</v>
      </c>
      <c r="C560" t="s">
        <v>1072</v>
      </c>
      <c r="D560">
        <v>50</v>
      </c>
      <c r="E560" t="s">
        <v>12</v>
      </c>
      <c r="F560">
        <v>50</v>
      </c>
    </row>
    <row r="561" spans="1:6" x14ac:dyDescent="0.35">
      <c r="A561" t="s">
        <v>637</v>
      </c>
      <c r="B561">
        <v>1450</v>
      </c>
      <c r="C561" t="s">
        <v>1073</v>
      </c>
      <c r="D561">
        <v>50</v>
      </c>
      <c r="E561" t="s">
        <v>12</v>
      </c>
      <c r="F561">
        <v>50</v>
      </c>
    </row>
    <row r="562" spans="1:6" x14ac:dyDescent="0.35">
      <c r="A562" t="s">
        <v>638</v>
      </c>
      <c r="B562">
        <v>1450</v>
      </c>
      <c r="C562" t="s">
        <v>1074</v>
      </c>
      <c r="D562">
        <v>50</v>
      </c>
      <c r="E562" t="s">
        <v>12</v>
      </c>
      <c r="F562">
        <v>50</v>
      </c>
    </row>
    <row r="563" spans="1:6" x14ac:dyDescent="0.35">
      <c r="A563" t="s">
        <v>639</v>
      </c>
      <c r="B563">
        <v>1450</v>
      </c>
      <c r="C563" t="s">
        <v>1075</v>
      </c>
      <c r="D563">
        <v>50</v>
      </c>
      <c r="E563" t="s">
        <v>12</v>
      </c>
      <c r="F563">
        <v>50</v>
      </c>
    </row>
    <row r="564" spans="1:6" x14ac:dyDescent="0.35">
      <c r="A564" t="s">
        <v>640</v>
      </c>
      <c r="B564">
        <v>1450</v>
      </c>
      <c r="C564" t="s">
        <v>1076</v>
      </c>
      <c r="D564">
        <v>50</v>
      </c>
      <c r="E564" t="s">
        <v>12</v>
      </c>
      <c r="F564">
        <v>50</v>
      </c>
    </row>
    <row r="565" spans="1:6" x14ac:dyDescent="0.35">
      <c r="A565" t="s">
        <v>641</v>
      </c>
      <c r="B565">
        <v>1453</v>
      </c>
      <c r="C565" t="s">
        <v>1076</v>
      </c>
      <c r="D565">
        <v>500</v>
      </c>
      <c r="E565" t="s">
        <v>12</v>
      </c>
      <c r="F565">
        <v>500</v>
      </c>
    </row>
    <row r="566" spans="1:6" x14ac:dyDescent="0.35">
      <c r="A566" t="s">
        <v>642</v>
      </c>
      <c r="B566">
        <v>1453</v>
      </c>
      <c r="C566" t="s">
        <v>1079</v>
      </c>
      <c r="D566">
        <v>500</v>
      </c>
      <c r="E566" t="s">
        <v>12</v>
      </c>
      <c r="F566">
        <v>500</v>
      </c>
    </row>
    <row r="567" spans="1:6" x14ac:dyDescent="0.35">
      <c r="A567" t="s">
        <v>643</v>
      </c>
      <c r="B567">
        <v>1457</v>
      </c>
      <c r="C567" t="s">
        <v>1073</v>
      </c>
      <c r="D567">
        <v>500</v>
      </c>
      <c r="E567" t="s">
        <v>12</v>
      </c>
      <c r="F567">
        <v>500</v>
      </c>
    </row>
    <row r="568" spans="1:6" x14ac:dyDescent="0.35">
      <c r="A568" t="s">
        <v>644</v>
      </c>
      <c r="B568">
        <v>1457</v>
      </c>
      <c r="C568" t="s">
        <v>1074</v>
      </c>
      <c r="D568">
        <v>500</v>
      </c>
      <c r="E568" t="s">
        <v>12</v>
      </c>
      <c r="F568">
        <v>500</v>
      </c>
    </row>
    <row r="569" spans="1:6" x14ac:dyDescent="0.35">
      <c r="A569" t="s">
        <v>645</v>
      </c>
      <c r="B569">
        <v>1457</v>
      </c>
      <c r="C569" t="s">
        <v>1075</v>
      </c>
      <c r="D569">
        <v>500</v>
      </c>
      <c r="E569" t="s">
        <v>12</v>
      </c>
      <c r="F569">
        <v>500</v>
      </c>
    </row>
    <row r="570" spans="1:6" x14ac:dyDescent="0.35">
      <c r="A570" t="s">
        <v>646</v>
      </c>
      <c r="B570">
        <v>1457</v>
      </c>
      <c r="C570" t="s">
        <v>1076</v>
      </c>
      <c r="D570">
        <v>500</v>
      </c>
      <c r="E570" t="s">
        <v>12</v>
      </c>
      <c r="F570">
        <v>500</v>
      </c>
    </row>
    <row r="571" spans="1:6" x14ac:dyDescent="0.35">
      <c r="A571" t="s">
        <v>647</v>
      </c>
      <c r="B571">
        <v>1457</v>
      </c>
      <c r="C571" t="s">
        <v>1079</v>
      </c>
      <c r="D571">
        <v>500</v>
      </c>
      <c r="E571" t="s">
        <v>12</v>
      </c>
      <c r="F571">
        <v>500</v>
      </c>
    </row>
    <row r="572" spans="1:6" x14ac:dyDescent="0.35">
      <c r="A572" t="s">
        <v>648</v>
      </c>
      <c r="B572">
        <v>1465</v>
      </c>
      <c r="C572" t="s">
        <v>1083</v>
      </c>
      <c r="D572">
        <v>50</v>
      </c>
      <c r="E572" t="s">
        <v>12</v>
      </c>
      <c r="F572">
        <v>50</v>
      </c>
    </row>
    <row r="573" spans="1:6" x14ac:dyDescent="0.35">
      <c r="A573" t="s">
        <v>649</v>
      </c>
      <c r="B573">
        <v>1465</v>
      </c>
      <c r="C573" t="s">
        <v>1070</v>
      </c>
      <c r="D573">
        <v>50</v>
      </c>
      <c r="E573" t="s">
        <v>12</v>
      </c>
      <c r="F573">
        <v>50</v>
      </c>
    </row>
    <row r="574" spans="1:6" x14ac:dyDescent="0.35">
      <c r="A574" t="s">
        <v>650</v>
      </c>
      <c r="B574">
        <v>1465</v>
      </c>
      <c r="C574" t="s">
        <v>1071</v>
      </c>
      <c r="D574">
        <v>50</v>
      </c>
      <c r="E574" t="s">
        <v>12</v>
      </c>
      <c r="F574">
        <v>50</v>
      </c>
    </row>
    <row r="575" spans="1:6" x14ac:dyDescent="0.35">
      <c r="A575" t="s">
        <v>651</v>
      </c>
      <c r="B575">
        <v>1471</v>
      </c>
      <c r="C575" t="s">
        <v>1085</v>
      </c>
      <c r="D575">
        <v>200</v>
      </c>
      <c r="E575" t="s">
        <v>12</v>
      </c>
      <c r="F575">
        <v>200</v>
      </c>
    </row>
    <row r="576" spans="1:6" x14ac:dyDescent="0.35">
      <c r="A576" t="s">
        <v>652</v>
      </c>
      <c r="B576">
        <v>1471</v>
      </c>
      <c r="C576" t="s">
        <v>1086</v>
      </c>
      <c r="D576">
        <v>200</v>
      </c>
      <c r="E576" t="s">
        <v>12</v>
      </c>
      <c r="F576">
        <v>200</v>
      </c>
    </row>
    <row r="577" spans="1:6" x14ac:dyDescent="0.35">
      <c r="A577" t="s">
        <v>653</v>
      </c>
      <c r="B577">
        <v>1471</v>
      </c>
      <c r="C577" t="s">
        <v>1087</v>
      </c>
      <c r="D577">
        <v>200</v>
      </c>
      <c r="E577" t="s">
        <v>12</v>
      </c>
      <c r="F577">
        <v>200</v>
      </c>
    </row>
    <row r="578" spans="1:6" x14ac:dyDescent="0.35">
      <c r="A578" t="s">
        <v>654</v>
      </c>
      <c r="B578">
        <v>1471</v>
      </c>
      <c r="C578" t="s">
        <v>1077</v>
      </c>
      <c r="D578">
        <v>200</v>
      </c>
      <c r="E578" t="s">
        <v>12</v>
      </c>
      <c r="F578">
        <v>200</v>
      </c>
    </row>
    <row r="579" spans="1:6" x14ac:dyDescent="0.35">
      <c r="A579" t="s">
        <v>655</v>
      </c>
      <c r="B579">
        <v>1471</v>
      </c>
      <c r="C579" t="s">
        <v>1078</v>
      </c>
      <c r="D579">
        <v>200</v>
      </c>
      <c r="E579" t="s">
        <v>12</v>
      </c>
      <c r="F579">
        <v>200</v>
      </c>
    </row>
    <row r="580" spans="1:6" x14ac:dyDescent="0.35">
      <c r="A580" t="s">
        <v>656</v>
      </c>
      <c r="B580">
        <v>1475</v>
      </c>
      <c r="C580" t="s">
        <v>1082</v>
      </c>
      <c r="D580">
        <v>200</v>
      </c>
      <c r="E580" t="s">
        <v>12</v>
      </c>
      <c r="F580">
        <v>200</v>
      </c>
    </row>
    <row r="581" spans="1:6" x14ac:dyDescent="0.35">
      <c r="A581" t="s">
        <v>657</v>
      </c>
      <c r="B581">
        <v>1475</v>
      </c>
      <c r="C581" t="s">
        <v>1083</v>
      </c>
      <c r="D581">
        <v>200</v>
      </c>
      <c r="E581" t="s">
        <v>12</v>
      </c>
      <c r="F581">
        <v>200</v>
      </c>
    </row>
    <row r="582" spans="1:6" x14ac:dyDescent="0.35">
      <c r="A582" t="s">
        <v>658</v>
      </c>
      <c r="B582">
        <v>1475</v>
      </c>
      <c r="C582" t="s">
        <v>1070</v>
      </c>
      <c r="D582">
        <v>200</v>
      </c>
      <c r="E582" t="s">
        <v>12</v>
      </c>
      <c r="F582">
        <v>200</v>
      </c>
    </row>
    <row r="583" spans="1:6" x14ac:dyDescent="0.35">
      <c r="A583" t="s">
        <v>659</v>
      </c>
      <c r="B583">
        <v>1475</v>
      </c>
      <c r="C583" t="s">
        <v>1071</v>
      </c>
      <c r="D583">
        <v>200</v>
      </c>
      <c r="E583" t="s">
        <v>12</v>
      </c>
      <c r="F583">
        <v>200</v>
      </c>
    </row>
    <row r="584" spans="1:6" x14ac:dyDescent="0.35">
      <c r="A584" t="s">
        <v>660</v>
      </c>
      <c r="B584">
        <v>1475</v>
      </c>
      <c r="C584" t="s">
        <v>1072</v>
      </c>
      <c r="D584">
        <v>200</v>
      </c>
      <c r="E584" t="s">
        <v>12</v>
      </c>
      <c r="F584">
        <v>200</v>
      </c>
    </row>
    <row r="585" spans="1:6" x14ac:dyDescent="0.35">
      <c r="A585" t="s">
        <v>661</v>
      </c>
      <c r="B585">
        <v>1475</v>
      </c>
      <c r="C585" t="s">
        <v>1073</v>
      </c>
      <c r="D585">
        <v>200</v>
      </c>
      <c r="E585" t="s">
        <v>12</v>
      </c>
      <c r="F585">
        <v>200</v>
      </c>
    </row>
    <row r="586" spans="1:6" x14ac:dyDescent="0.35">
      <c r="A586" t="s">
        <v>662</v>
      </c>
      <c r="B586">
        <v>1475</v>
      </c>
      <c r="C586" t="s">
        <v>1074</v>
      </c>
      <c r="D586">
        <v>200</v>
      </c>
      <c r="E586" t="s">
        <v>12</v>
      </c>
      <c r="F586">
        <v>200</v>
      </c>
    </row>
    <row r="587" spans="1:6" x14ac:dyDescent="0.35">
      <c r="A587" t="s">
        <v>663</v>
      </c>
      <c r="B587">
        <v>1475</v>
      </c>
      <c r="C587" t="s">
        <v>1075</v>
      </c>
      <c r="D587">
        <v>200</v>
      </c>
      <c r="E587" t="s">
        <v>12</v>
      </c>
      <c r="F587">
        <v>200</v>
      </c>
    </row>
    <row r="588" spans="1:6" x14ac:dyDescent="0.35">
      <c r="A588" t="s">
        <v>664</v>
      </c>
      <c r="B588">
        <v>1478</v>
      </c>
      <c r="C588" t="s">
        <v>1087</v>
      </c>
      <c r="D588">
        <v>200</v>
      </c>
      <c r="E588" t="s">
        <v>12</v>
      </c>
      <c r="F588">
        <v>200</v>
      </c>
    </row>
    <row r="589" spans="1:6" x14ac:dyDescent="0.35">
      <c r="A589" t="s">
        <v>665</v>
      </c>
      <c r="B589">
        <v>1478</v>
      </c>
      <c r="C589" t="s">
        <v>1077</v>
      </c>
      <c r="D589">
        <v>200</v>
      </c>
      <c r="E589" t="s">
        <v>12</v>
      </c>
      <c r="F589">
        <v>200</v>
      </c>
    </row>
    <row r="590" spans="1:6" x14ac:dyDescent="0.35">
      <c r="A590" t="s">
        <v>666</v>
      </c>
      <c r="B590">
        <v>1478</v>
      </c>
      <c r="C590" t="s">
        <v>1078</v>
      </c>
      <c r="D590">
        <v>200</v>
      </c>
      <c r="E590" t="s">
        <v>12</v>
      </c>
      <c r="F590">
        <v>200</v>
      </c>
    </row>
    <row r="591" spans="1:6" x14ac:dyDescent="0.35">
      <c r="A591" t="s">
        <v>667</v>
      </c>
      <c r="B591">
        <v>1478</v>
      </c>
      <c r="C591" t="s">
        <v>1081</v>
      </c>
      <c r="D591">
        <v>200</v>
      </c>
      <c r="E591" t="s">
        <v>12</v>
      </c>
      <c r="F591">
        <v>200</v>
      </c>
    </row>
    <row r="592" spans="1:6" x14ac:dyDescent="0.35">
      <c r="A592" t="s">
        <v>668</v>
      </c>
      <c r="B592">
        <v>1478</v>
      </c>
      <c r="C592" t="s">
        <v>1084</v>
      </c>
      <c r="D592">
        <v>200</v>
      </c>
      <c r="E592" t="s">
        <v>12</v>
      </c>
      <c r="F592">
        <v>200</v>
      </c>
    </row>
    <row r="593" spans="1:6" x14ac:dyDescent="0.35">
      <c r="A593" t="s">
        <v>669</v>
      </c>
      <c r="B593">
        <v>1478</v>
      </c>
      <c r="C593" t="s">
        <v>1082</v>
      </c>
      <c r="D593">
        <v>200</v>
      </c>
      <c r="E593" t="s">
        <v>12</v>
      </c>
      <c r="F593">
        <v>200</v>
      </c>
    </row>
    <row r="594" spans="1:6" x14ac:dyDescent="0.35">
      <c r="A594" t="s">
        <v>670</v>
      </c>
      <c r="B594">
        <v>1478</v>
      </c>
      <c r="C594" t="s">
        <v>1083</v>
      </c>
      <c r="D594">
        <v>200</v>
      </c>
      <c r="E594" t="s">
        <v>12</v>
      </c>
      <c r="F594">
        <v>200</v>
      </c>
    </row>
    <row r="595" spans="1:6" x14ac:dyDescent="0.35">
      <c r="A595" t="s">
        <v>671</v>
      </c>
      <c r="B595">
        <v>1501</v>
      </c>
      <c r="C595" t="s">
        <v>1075</v>
      </c>
      <c r="D595">
        <v>500</v>
      </c>
      <c r="E595" t="s">
        <v>12</v>
      </c>
      <c r="F595">
        <v>500</v>
      </c>
    </row>
    <row r="596" spans="1:6" x14ac:dyDescent="0.35">
      <c r="A596" t="s">
        <v>672</v>
      </c>
      <c r="B596">
        <v>1501</v>
      </c>
      <c r="C596" t="s">
        <v>1076</v>
      </c>
      <c r="D596">
        <v>500</v>
      </c>
      <c r="E596" t="s">
        <v>12</v>
      </c>
      <c r="F596">
        <v>500</v>
      </c>
    </row>
    <row r="597" spans="1:6" x14ac:dyDescent="0.35">
      <c r="A597" t="s">
        <v>673</v>
      </c>
      <c r="B597">
        <v>1501</v>
      </c>
      <c r="C597" t="s">
        <v>1079</v>
      </c>
      <c r="D597">
        <v>500</v>
      </c>
      <c r="E597" t="s">
        <v>12</v>
      </c>
      <c r="F597">
        <v>500</v>
      </c>
    </row>
    <row r="598" spans="1:6" x14ac:dyDescent="0.35">
      <c r="A598" t="s">
        <v>674</v>
      </c>
      <c r="B598">
        <v>1510</v>
      </c>
      <c r="C598" t="s">
        <v>1085</v>
      </c>
      <c r="D598">
        <v>500</v>
      </c>
      <c r="E598" t="s">
        <v>12</v>
      </c>
      <c r="F598">
        <v>500</v>
      </c>
    </row>
    <row r="599" spans="1:6" x14ac:dyDescent="0.35">
      <c r="A599" t="s">
        <v>675</v>
      </c>
      <c r="B599">
        <v>1510</v>
      </c>
      <c r="C599" t="s">
        <v>1086</v>
      </c>
      <c r="D599">
        <v>500</v>
      </c>
      <c r="E599" t="s">
        <v>12</v>
      </c>
      <c r="F599">
        <v>500</v>
      </c>
    </row>
    <row r="600" spans="1:6" x14ac:dyDescent="0.35">
      <c r="A600" t="s">
        <v>676</v>
      </c>
      <c r="B600">
        <v>1510</v>
      </c>
      <c r="C600" t="s">
        <v>1087</v>
      </c>
      <c r="D600">
        <v>500</v>
      </c>
      <c r="E600" t="s">
        <v>12</v>
      </c>
      <c r="F600">
        <v>500</v>
      </c>
    </row>
    <row r="601" spans="1:6" x14ac:dyDescent="0.35">
      <c r="A601" t="s">
        <v>677</v>
      </c>
      <c r="B601">
        <v>1510</v>
      </c>
      <c r="C601" t="s">
        <v>1077</v>
      </c>
      <c r="D601">
        <v>500</v>
      </c>
      <c r="E601" t="s">
        <v>12</v>
      </c>
      <c r="F601">
        <v>500</v>
      </c>
    </row>
    <row r="602" spans="1:6" x14ac:dyDescent="0.35">
      <c r="A602" t="s">
        <v>678</v>
      </c>
      <c r="B602">
        <v>1510</v>
      </c>
      <c r="C602" t="s">
        <v>1078</v>
      </c>
      <c r="D602">
        <v>500</v>
      </c>
      <c r="E602" t="s">
        <v>12</v>
      </c>
      <c r="F602">
        <v>500</v>
      </c>
    </row>
    <row r="603" spans="1:6" x14ac:dyDescent="0.35">
      <c r="A603" t="s">
        <v>679</v>
      </c>
      <c r="B603">
        <v>1510</v>
      </c>
      <c r="C603" t="s">
        <v>1081</v>
      </c>
      <c r="D603">
        <v>500</v>
      </c>
      <c r="E603" t="s">
        <v>12</v>
      </c>
      <c r="F603">
        <v>500</v>
      </c>
    </row>
    <row r="604" spans="1:6" x14ac:dyDescent="0.35">
      <c r="A604" t="s">
        <v>680</v>
      </c>
      <c r="B604">
        <v>1510</v>
      </c>
      <c r="C604" t="s">
        <v>1084</v>
      </c>
      <c r="D604">
        <v>500</v>
      </c>
      <c r="E604" t="s">
        <v>12</v>
      </c>
      <c r="F604">
        <v>500</v>
      </c>
    </row>
    <row r="605" spans="1:6" x14ac:dyDescent="0.35">
      <c r="A605" t="s">
        <v>681</v>
      </c>
      <c r="B605">
        <v>1510</v>
      </c>
      <c r="C605" t="s">
        <v>1082</v>
      </c>
      <c r="D605">
        <v>500</v>
      </c>
      <c r="E605" t="s">
        <v>12</v>
      </c>
      <c r="F605">
        <v>500</v>
      </c>
    </row>
    <row r="606" spans="1:6" x14ac:dyDescent="0.35">
      <c r="A606" t="s">
        <v>682</v>
      </c>
      <c r="B606">
        <v>1510</v>
      </c>
      <c r="C606" t="s">
        <v>1083</v>
      </c>
      <c r="D606">
        <v>500</v>
      </c>
      <c r="E606" t="s">
        <v>12</v>
      </c>
      <c r="F606">
        <v>500</v>
      </c>
    </row>
    <row r="607" spans="1:6" x14ac:dyDescent="0.35">
      <c r="A607" t="s">
        <v>683</v>
      </c>
      <c r="B607">
        <v>1510</v>
      </c>
      <c r="C607" t="s">
        <v>1070</v>
      </c>
      <c r="D607">
        <v>500</v>
      </c>
      <c r="E607" t="s">
        <v>12</v>
      </c>
      <c r="F607">
        <v>500</v>
      </c>
    </row>
    <row r="608" spans="1:6" x14ac:dyDescent="0.35">
      <c r="A608" t="s">
        <v>684</v>
      </c>
      <c r="B608">
        <v>1510</v>
      </c>
      <c r="C608" t="s">
        <v>1071</v>
      </c>
      <c r="D608">
        <v>500</v>
      </c>
      <c r="E608" t="s">
        <v>12</v>
      </c>
      <c r="F608">
        <v>500</v>
      </c>
    </row>
    <row r="609" spans="1:6" x14ac:dyDescent="0.35">
      <c r="A609" t="s">
        <v>685</v>
      </c>
      <c r="B609">
        <v>1519</v>
      </c>
      <c r="C609" t="s">
        <v>1086</v>
      </c>
      <c r="D609">
        <v>500</v>
      </c>
      <c r="E609" t="s">
        <v>12</v>
      </c>
      <c r="F609">
        <v>500</v>
      </c>
    </row>
    <row r="610" spans="1:6" x14ac:dyDescent="0.35">
      <c r="A610" t="s">
        <v>686</v>
      </c>
      <c r="B610">
        <v>1519</v>
      </c>
      <c r="C610" t="s">
        <v>1087</v>
      </c>
      <c r="D610">
        <v>500</v>
      </c>
      <c r="E610" t="s">
        <v>12</v>
      </c>
      <c r="F610">
        <v>500</v>
      </c>
    </row>
    <row r="611" spans="1:6" x14ac:dyDescent="0.35">
      <c r="A611" t="s">
        <v>687</v>
      </c>
      <c r="B611">
        <v>1519</v>
      </c>
      <c r="C611" t="s">
        <v>1077</v>
      </c>
      <c r="D611">
        <v>500</v>
      </c>
      <c r="E611" t="s">
        <v>12</v>
      </c>
      <c r="F611">
        <v>500</v>
      </c>
    </row>
    <row r="612" spans="1:6" x14ac:dyDescent="0.35">
      <c r="A612" t="s">
        <v>688</v>
      </c>
      <c r="B612">
        <v>1519</v>
      </c>
      <c r="C612" t="s">
        <v>1078</v>
      </c>
      <c r="D612">
        <v>500</v>
      </c>
      <c r="E612" t="s">
        <v>12</v>
      </c>
      <c r="F612">
        <v>500</v>
      </c>
    </row>
    <row r="613" spans="1:6" x14ac:dyDescent="0.35">
      <c r="A613" t="s">
        <v>689</v>
      </c>
      <c r="B613">
        <v>1519</v>
      </c>
      <c r="C613" t="s">
        <v>1081</v>
      </c>
      <c r="D613">
        <v>500</v>
      </c>
      <c r="E613" t="s">
        <v>12</v>
      </c>
      <c r="F613">
        <v>500</v>
      </c>
    </row>
    <row r="614" spans="1:6" x14ac:dyDescent="0.35">
      <c r="A614" t="s">
        <v>690</v>
      </c>
      <c r="B614">
        <v>1519</v>
      </c>
      <c r="C614" t="s">
        <v>1084</v>
      </c>
      <c r="D614">
        <v>500</v>
      </c>
      <c r="E614" t="s">
        <v>12</v>
      </c>
      <c r="F614">
        <v>500</v>
      </c>
    </row>
    <row r="615" spans="1:6" x14ac:dyDescent="0.35">
      <c r="A615" t="s">
        <v>691</v>
      </c>
      <c r="B615">
        <v>1519</v>
      </c>
      <c r="C615" t="s">
        <v>1082</v>
      </c>
      <c r="D615">
        <v>500</v>
      </c>
      <c r="E615" t="s">
        <v>12</v>
      </c>
      <c r="F615">
        <v>500</v>
      </c>
    </row>
    <row r="616" spans="1:6" x14ac:dyDescent="0.35">
      <c r="A616" t="s">
        <v>692</v>
      </c>
      <c r="B616">
        <v>1519</v>
      </c>
      <c r="C616" t="s">
        <v>1083</v>
      </c>
      <c r="D616">
        <v>500</v>
      </c>
      <c r="E616" t="s">
        <v>12</v>
      </c>
      <c r="F616">
        <v>500</v>
      </c>
    </row>
    <row r="617" spans="1:6" x14ac:dyDescent="0.35">
      <c r="A617" t="s">
        <v>693</v>
      </c>
      <c r="B617">
        <v>1519</v>
      </c>
      <c r="C617" t="s">
        <v>1070</v>
      </c>
      <c r="D617">
        <v>500</v>
      </c>
      <c r="E617" t="s">
        <v>12</v>
      </c>
      <c r="F617">
        <v>500</v>
      </c>
    </row>
    <row r="618" spans="1:6" x14ac:dyDescent="0.35">
      <c r="A618" t="s">
        <v>694</v>
      </c>
      <c r="B618">
        <v>1519</v>
      </c>
      <c r="C618" t="s">
        <v>1071</v>
      </c>
      <c r="D618">
        <v>500</v>
      </c>
      <c r="E618" t="s">
        <v>12</v>
      </c>
      <c r="F618">
        <v>500</v>
      </c>
    </row>
    <row r="619" spans="1:6" x14ac:dyDescent="0.35">
      <c r="A619" t="s">
        <v>695</v>
      </c>
      <c r="B619">
        <v>1519</v>
      </c>
      <c r="C619" t="s">
        <v>1072</v>
      </c>
      <c r="D619">
        <v>500</v>
      </c>
      <c r="E619" t="s">
        <v>12</v>
      </c>
      <c r="F619">
        <v>500</v>
      </c>
    </row>
    <row r="620" spans="1:6" x14ac:dyDescent="0.35">
      <c r="A620" t="s">
        <v>696</v>
      </c>
      <c r="B620">
        <v>1519</v>
      </c>
      <c r="C620" t="s">
        <v>1073</v>
      </c>
      <c r="D620">
        <v>500</v>
      </c>
      <c r="E620" t="s">
        <v>12</v>
      </c>
      <c r="F620">
        <v>500</v>
      </c>
    </row>
    <row r="621" spans="1:6" x14ac:dyDescent="0.35">
      <c r="A621" t="s">
        <v>697</v>
      </c>
      <c r="B621">
        <v>1519</v>
      </c>
      <c r="C621" t="s">
        <v>1074</v>
      </c>
      <c r="D621">
        <v>500</v>
      </c>
      <c r="E621" t="s">
        <v>12</v>
      </c>
      <c r="F621">
        <v>500</v>
      </c>
    </row>
    <row r="622" spans="1:6" x14ac:dyDescent="0.35">
      <c r="A622" t="s">
        <v>698</v>
      </c>
      <c r="B622">
        <v>1519</v>
      </c>
      <c r="C622" t="s">
        <v>1075</v>
      </c>
      <c r="D622">
        <v>500</v>
      </c>
      <c r="E622" t="s">
        <v>12</v>
      </c>
      <c r="F622">
        <v>500</v>
      </c>
    </row>
    <row r="623" spans="1:6" x14ac:dyDescent="0.35">
      <c r="A623" t="s">
        <v>699</v>
      </c>
      <c r="B623">
        <v>1519</v>
      </c>
      <c r="C623" t="s">
        <v>1076</v>
      </c>
      <c r="D623">
        <v>500</v>
      </c>
      <c r="E623" t="s">
        <v>12</v>
      </c>
      <c r="F623">
        <v>500</v>
      </c>
    </row>
    <row r="624" spans="1:6" x14ac:dyDescent="0.35">
      <c r="A624" t="s">
        <v>700</v>
      </c>
      <c r="B624">
        <v>1519</v>
      </c>
      <c r="C624" t="s">
        <v>1079</v>
      </c>
      <c r="D624">
        <v>500</v>
      </c>
      <c r="E624" t="s">
        <v>12</v>
      </c>
      <c r="F624">
        <v>500</v>
      </c>
    </row>
    <row r="625" spans="1:6" x14ac:dyDescent="0.35">
      <c r="A625" t="s">
        <v>701</v>
      </c>
      <c r="B625">
        <v>1525</v>
      </c>
      <c r="C625" t="s">
        <v>1074</v>
      </c>
      <c r="D625">
        <v>500</v>
      </c>
      <c r="E625" t="s">
        <v>12</v>
      </c>
      <c r="F625">
        <v>500</v>
      </c>
    </row>
    <row r="626" spans="1:6" x14ac:dyDescent="0.35">
      <c r="A626" t="s">
        <v>702</v>
      </c>
      <c r="B626">
        <v>1525</v>
      </c>
      <c r="C626" t="s">
        <v>1075</v>
      </c>
      <c r="D626">
        <v>500</v>
      </c>
      <c r="E626" t="s">
        <v>12</v>
      </c>
      <c r="F626">
        <v>500</v>
      </c>
    </row>
    <row r="627" spans="1:6" x14ac:dyDescent="0.35">
      <c r="A627" t="s">
        <v>703</v>
      </c>
      <c r="B627">
        <v>1525</v>
      </c>
      <c r="C627" t="s">
        <v>1076</v>
      </c>
      <c r="D627">
        <v>500</v>
      </c>
      <c r="E627" t="s">
        <v>12</v>
      </c>
      <c r="F627">
        <v>500</v>
      </c>
    </row>
    <row r="628" spans="1:6" x14ac:dyDescent="0.35">
      <c r="A628" t="s">
        <v>704</v>
      </c>
      <c r="B628">
        <v>1544</v>
      </c>
      <c r="C628" t="s">
        <v>1071</v>
      </c>
      <c r="D628">
        <v>200</v>
      </c>
      <c r="E628" t="s">
        <v>12</v>
      </c>
      <c r="F628">
        <v>200</v>
      </c>
    </row>
    <row r="629" spans="1:6" x14ac:dyDescent="0.35">
      <c r="A629" t="s">
        <v>705</v>
      </c>
      <c r="B629">
        <v>1544</v>
      </c>
      <c r="C629" t="s">
        <v>1072</v>
      </c>
      <c r="D629">
        <v>200</v>
      </c>
      <c r="E629" t="s">
        <v>12</v>
      </c>
      <c r="F629">
        <v>200</v>
      </c>
    </row>
    <row r="630" spans="1:6" x14ac:dyDescent="0.35">
      <c r="A630" t="s">
        <v>706</v>
      </c>
      <c r="B630">
        <v>1544</v>
      </c>
      <c r="C630" t="s">
        <v>1073</v>
      </c>
      <c r="D630">
        <v>200</v>
      </c>
      <c r="E630" t="s">
        <v>12</v>
      </c>
      <c r="F630">
        <v>200</v>
      </c>
    </row>
    <row r="631" spans="1:6" x14ac:dyDescent="0.35">
      <c r="A631" t="s">
        <v>707</v>
      </c>
      <c r="B631">
        <v>1544</v>
      </c>
      <c r="C631" t="s">
        <v>1074</v>
      </c>
      <c r="D631">
        <v>200</v>
      </c>
      <c r="E631" t="s">
        <v>12</v>
      </c>
      <c r="F631">
        <v>200</v>
      </c>
    </row>
    <row r="632" spans="1:6" x14ac:dyDescent="0.35">
      <c r="A632" t="s">
        <v>708</v>
      </c>
      <c r="B632">
        <v>1544</v>
      </c>
      <c r="C632" t="s">
        <v>1075</v>
      </c>
      <c r="D632">
        <v>200</v>
      </c>
      <c r="E632" t="s">
        <v>12</v>
      </c>
      <c r="F632">
        <v>200</v>
      </c>
    </row>
    <row r="633" spans="1:6" x14ac:dyDescent="0.35">
      <c r="A633" t="s">
        <v>709</v>
      </c>
      <c r="B633">
        <v>1544</v>
      </c>
      <c r="C633" t="s">
        <v>1076</v>
      </c>
      <c r="D633">
        <v>200</v>
      </c>
      <c r="E633" t="s">
        <v>12</v>
      </c>
      <c r="F633">
        <v>200</v>
      </c>
    </row>
    <row r="634" spans="1:6" x14ac:dyDescent="0.35">
      <c r="A634" t="s">
        <v>710</v>
      </c>
      <c r="B634">
        <v>1552</v>
      </c>
      <c r="C634" t="s">
        <v>1084</v>
      </c>
      <c r="D634">
        <v>500</v>
      </c>
      <c r="E634" t="s">
        <v>12</v>
      </c>
      <c r="F634">
        <v>500</v>
      </c>
    </row>
    <row r="635" spans="1:6" x14ac:dyDescent="0.35">
      <c r="A635" t="s">
        <v>711</v>
      </c>
      <c r="B635">
        <v>1552</v>
      </c>
      <c r="C635" t="s">
        <v>1082</v>
      </c>
      <c r="D635">
        <v>500</v>
      </c>
      <c r="E635" t="s">
        <v>12</v>
      </c>
      <c r="F635">
        <v>500</v>
      </c>
    </row>
    <row r="636" spans="1:6" x14ac:dyDescent="0.35">
      <c r="A636" t="s">
        <v>712</v>
      </c>
      <c r="B636">
        <v>1552</v>
      </c>
      <c r="C636" t="s">
        <v>1083</v>
      </c>
      <c r="D636">
        <v>500</v>
      </c>
      <c r="E636" t="s">
        <v>12</v>
      </c>
      <c r="F636">
        <v>500</v>
      </c>
    </row>
    <row r="637" spans="1:6" x14ac:dyDescent="0.35">
      <c r="A637" t="s">
        <v>713</v>
      </c>
      <c r="B637">
        <v>1552</v>
      </c>
      <c r="C637" t="s">
        <v>1070</v>
      </c>
      <c r="D637">
        <v>500</v>
      </c>
      <c r="E637" t="s">
        <v>12</v>
      </c>
      <c r="F637">
        <v>500</v>
      </c>
    </row>
    <row r="638" spans="1:6" x14ac:dyDescent="0.35">
      <c r="A638" t="s">
        <v>714</v>
      </c>
      <c r="B638">
        <v>1552</v>
      </c>
      <c r="C638" t="s">
        <v>1071</v>
      </c>
      <c r="D638">
        <v>500</v>
      </c>
      <c r="E638" t="s">
        <v>12</v>
      </c>
      <c r="F638">
        <v>500</v>
      </c>
    </row>
    <row r="639" spans="1:6" x14ac:dyDescent="0.35">
      <c r="A639" t="s">
        <v>715</v>
      </c>
      <c r="B639">
        <v>1552</v>
      </c>
      <c r="C639" t="s">
        <v>1072</v>
      </c>
      <c r="D639">
        <v>500</v>
      </c>
      <c r="E639" t="s">
        <v>12</v>
      </c>
      <c r="F639">
        <v>500</v>
      </c>
    </row>
    <row r="640" spans="1:6" x14ac:dyDescent="0.35">
      <c r="A640" t="s">
        <v>716</v>
      </c>
      <c r="B640">
        <v>1552</v>
      </c>
      <c r="C640" t="s">
        <v>1073</v>
      </c>
      <c r="D640">
        <v>500</v>
      </c>
      <c r="E640" t="s">
        <v>12</v>
      </c>
      <c r="F640">
        <v>500</v>
      </c>
    </row>
    <row r="641" spans="1:6" x14ac:dyDescent="0.35">
      <c r="A641" t="s">
        <v>717</v>
      </c>
      <c r="B641">
        <v>1552</v>
      </c>
      <c r="C641" t="s">
        <v>1074</v>
      </c>
      <c r="D641">
        <v>500</v>
      </c>
      <c r="E641" t="s">
        <v>12</v>
      </c>
      <c r="F641">
        <v>500</v>
      </c>
    </row>
    <row r="642" spans="1:6" x14ac:dyDescent="0.35">
      <c r="A642" t="s">
        <v>718</v>
      </c>
      <c r="B642">
        <v>1552</v>
      </c>
      <c r="C642" t="s">
        <v>1075</v>
      </c>
      <c r="D642">
        <v>500</v>
      </c>
      <c r="E642" t="s">
        <v>12</v>
      </c>
      <c r="F642">
        <v>500</v>
      </c>
    </row>
    <row r="643" spans="1:6" x14ac:dyDescent="0.35">
      <c r="A643" t="s">
        <v>719</v>
      </c>
      <c r="B643">
        <v>1557</v>
      </c>
      <c r="C643" t="s">
        <v>1075</v>
      </c>
      <c r="D643">
        <v>500</v>
      </c>
      <c r="E643" t="s">
        <v>12</v>
      </c>
      <c r="F643">
        <v>500</v>
      </c>
    </row>
    <row r="644" spans="1:6" x14ac:dyDescent="0.35">
      <c r="A644" t="s">
        <v>720</v>
      </c>
      <c r="B644">
        <v>1557</v>
      </c>
      <c r="C644" t="s">
        <v>1076</v>
      </c>
      <c r="D644">
        <v>500</v>
      </c>
      <c r="E644" t="s">
        <v>12</v>
      </c>
      <c r="F644">
        <v>500</v>
      </c>
    </row>
    <row r="645" spans="1:6" x14ac:dyDescent="0.35">
      <c r="A645" t="s">
        <v>721</v>
      </c>
      <c r="B645">
        <v>1558</v>
      </c>
      <c r="C645" t="s">
        <v>1086</v>
      </c>
      <c r="D645">
        <v>500</v>
      </c>
      <c r="E645" t="s">
        <v>12</v>
      </c>
      <c r="F645">
        <v>500</v>
      </c>
    </row>
    <row r="646" spans="1:6" x14ac:dyDescent="0.35">
      <c r="A646" t="s">
        <v>722</v>
      </c>
      <c r="B646">
        <v>1558</v>
      </c>
      <c r="C646" t="s">
        <v>1087</v>
      </c>
      <c r="D646">
        <v>500</v>
      </c>
      <c r="E646" t="s">
        <v>12</v>
      </c>
      <c r="F646">
        <v>500</v>
      </c>
    </row>
    <row r="647" spans="1:6" x14ac:dyDescent="0.35">
      <c r="A647" t="s">
        <v>723</v>
      </c>
      <c r="B647">
        <v>1565</v>
      </c>
      <c r="C647" t="s">
        <v>1087</v>
      </c>
      <c r="D647">
        <v>200</v>
      </c>
      <c r="E647" t="s">
        <v>12</v>
      </c>
      <c r="F647">
        <v>200</v>
      </c>
    </row>
    <row r="648" spans="1:6" x14ac:dyDescent="0.35">
      <c r="A648" t="s">
        <v>724</v>
      </c>
      <c r="B648">
        <v>1565</v>
      </c>
      <c r="C648" t="s">
        <v>1077</v>
      </c>
      <c r="D648">
        <v>200</v>
      </c>
      <c r="E648" t="s">
        <v>12</v>
      </c>
      <c r="F648">
        <v>200</v>
      </c>
    </row>
    <row r="649" spans="1:6" x14ac:dyDescent="0.35">
      <c r="A649" t="s">
        <v>725</v>
      </c>
      <c r="B649">
        <v>1565</v>
      </c>
      <c r="C649" t="s">
        <v>1078</v>
      </c>
      <c r="D649">
        <v>200</v>
      </c>
      <c r="E649" t="s">
        <v>12</v>
      </c>
      <c r="F649">
        <v>200</v>
      </c>
    </row>
    <row r="650" spans="1:6" x14ac:dyDescent="0.35">
      <c r="A650" t="s">
        <v>726</v>
      </c>
      <c r="B650">
        <v>1570</v>
      </c>
      <c r="C650" t="s">
        <v>1086</v>
      </c>
      <c r="D650">
        <v>500</v>
      </c>
      <c r="E650" t="s">
        <v>12</v>
      </c>
      <c r="F650">
        <v>500</v>
      </c>
    </row>
    <row r="651" spans="1:6" x14ac:dyDescent="0.35">
      <c r="A651" t="s">
        <v>727</v>
      </c>
      <c r="B651">
        <v>1570</v>
      </c>
      <c r="C651" t="s">
        <v>1087</v>
      </c>
      <c r="D651">
        <v>500</v>
      </c>
      <c r="E651" t="s">
        <v>12</v>
      </c>
      <c r="F651">
        <v>500</v>
      </c>
    </row>
    <row r="652" spans="1:6" x14ac:dyDescent="0.35">
      <c r="A652" t="s">
        <v>728</v>
      </c>
      <c r="B652">
        <v>1570</v>
      </c>
      <c r="C652" t="s">
        <v>1077</v>
      </c>
      <c r="D652">
        <v>500</v>
      </c>
      <c r="E652" t="s">
        <v>12</v>
      </c>
      <c r="F652">
        <v>500</v>
      </c>
    </row>
    <row r="653" spans="1:6" x14ac:dyDescent="0.35">
      <c r="A653" t="s">
        <v>729</v>
      </c>
      <c r="B653">
        <v>1570</v>
      </c>
      <c r="C653" t="s">
        <v>1078</v>
      </c>
      <c r="D653">
        <v>500</v>
      </c>
      <c r="E653" t="s">
        <v>12</v>
      </c>
      <c r="F653">
        <v>500</v>
      </c>
    </row>
    <row r="654" spans="1:6" x14ac:dyDescent="0.35">
      <c r="A654" t="s">
        <v>730</v>
      </c>
      <c r="B654">
        <v>1570</v>
      </c>
      <c r="C654" t="s">
        <v>1081</v>
      </c>
      <c r="D654">
        <v>500</v>
      </c>
      <c r="E654" t="s">
        <v>12</v>
      </c>
      <c r="F654">
        <v>500</v>
      </c>
    </row>
    <row r="655" spans="1:6" x14ac:dyDescent="0.35">
      <c r="A655" t="s">
        <v>731</v>
      </c>
      <c r="B655">
        <v>1570</v>
      </c>
      <c r="C655" t="s">
        <v>1084</v>
      </c>
      <c r="D655">
        <v>500</v>
      </c>
      <c r="E655" t="s">
        <v>12</v>
      </c>
      <c r="F655">
        <v>500</v>
      </c>
    </row>
    <row r="656" spans="1:6" x14ac:dyDescent="0.35">
      <c r="A656" t="s">
        <v>732</v>
      </c>
      <c r="B656">
        <v>1570</v>
      </c>
      <c r="C656" t="s">
        <v>1082</v>
      </c>
      <c r="D656">
        <v>500</v>
      </c>
      <c r="E656" t="s">
        <v>12</v>
      </c>
      <c r="F656">
        <v>500</v>
      </c>
    </row>
    <row r="657" spans="1:6" x14ac:dyDescent="0.35">
      <c r="A657" t="s">
        <v>733</v>
      </c>
      <c r="B657">
        <v>1570</v>
      </c>
      <c r="C657" t="s">
        <v>1083</v>
      </c>
      <c r="D657">
        <v>500</v>
      </c>
      <c r="E657" t="s">
        <v>12</v>
      </c>
      <c r="F657">
        <v>500</v>
      </c>
    </row>
    <row r="658" spans="1:6" x14ac:dyDescent="0.35">
      <c r="A658" t="s">
        <v>734</v>
      </c>
      <c r="B658">
        <v>1570</v>
      </c>
      <c r="C658" t="s">
        <v>1070</v>
      </c>
      <c r="D658">
        <v>500</v>
      </c>
      <c r="E658" t="s">
        <v>12</v>
      </c>
      <c r="F658">
        <v>500</v>
      </c>
    </row>
    <row r="659" spans="1:6" x14ac:dyDescent="0.35">
      <c r="A659" t="s">
        <v>735</v>
      </c>
      <c r="B659">
        <v>1570</v>
      </c>
      <c r="C659" t="s">
        <v>1071</v>
      </c>
      <c r="D659">
        <v>500</v>
      </c>
      <c r="E659" t="s">
        <v>12</v>
      </c>
      <c r="F659">
        <v>500</v>
      </c>
    </row>
    <row r="660" spans="1:6" x14ac:dyDescent="0.35">
      <c r="A660" t="s">
        <v>736</v>
      </c>
      <c r="B660">
        <v>1570</v>
      </c>
      <c r="C660" t="s">
        <v>1072</v>
      </c>
      <c r="D660">
        <v>500</v>
      </c>
      <c r="E660" t="s">
        <v>12</v>
      </c>
      <c r="F660">
        <v>500</v>
      </c>
    </row>
    <row r="661" spans="1:6" x14ac:dyDescent="0.35">
      <c r="A661" t="s">
        <v>737</v>
      </c>
      <c r="B661">
        <v>1570</v>
      </c>
      <c r="C661" t="s">
        <v>1073</v>
      </c>
      <c r="D661">
        <v>500</v>
      </c>
      <c r="E661" t="s">
        <v>12</v>
      </c>
      <c r="F661">
        <v>500</v>
      </c>
    </row>
    <row r="662" spans="1:6" x14ac:dyDescent="0.35">
      <c r="A662" t="s">
        <v>738</v>
      </c>
      <c r="B662">
        <v>1570</v>
      </c>
      <c r="C662" t="s">
        <v>1074</v>
      </c>
      <c r="D662">
        <v>500</v>
      </c>
      <c r="E662" t="s">
        <v>12</v>
      </c>
      <c r="F662">
        <v>500</v>
      </c>
    </row>
    <row r="663" spans="1:6" x14ac:dyDescent="0.35">
      <c r="A663" t="s">
        <v>739</v>
      </c>
      <c r="B663">
        <v>1570</v>
      </c>
      <c r="C663" t="s">
        <v>1075</v>
      </c>
      <c r="D663">
        <v>500</v>
      </c>
      <c r="E663" t="s">
        <v>12</v>
      </c>
      <c r="F663">
        <v>500</v>
      </c>
    </row>
    <row r="664" spans="1:6" x14ac:dyDescent="0.35">
      <c r="A664" t="s">
        <v>740</v>
      </c>
      <c r="B664">
        <v>1576</v>
      </c>
      <c r="C664" t="s">
        <v>1081</v>
      </c>
      <c r="D664">
        <v>200</v>
      </c>
      <c r="E664" t="s">
        <v>12</v>
      </c>
      <c r="F664">
        <v>200</v>
      </c>
    </row>
    <row r="665" spans="1:6" x14ac:dyDescent="0.35">
      <c r="A665" t="s">
        <v>741</v>
      </c>
      <c r="B665">
        <v>1576</v>
      </c>
      <c r="C665" t="s">
        <v>1084</v>
      </c>
      <c r="D665">
        <v>200</v>
      </c>
      <c r="E665" t="s">
        <v>12</v>
      </c>
      <c r="F665">
        <v>200</v>
      </c>
    </row>
    <row r="666" spans="1:6" x14ac:dyDescent="0.35">
      <c r="A666" t="s">
        <v>742</v>
      </c>
      <c r="B666">
        <v>1576</v>
      </c>
      <c r="C666" t="s">
        <v>1082</v>
      </c>
      <c r="D666">
        <v>200</v>
      </c>
      <c r="E666" t="s">
        <v>12</v>
      </c>
      <c r="F666">
        <v>200</v>
      </c>
    </row>
    <row r="667" spans="1:6" x14ac:dyDescent="0.35">
      <c r="A667" t="s">
        <v>743</v>
      </c>
      <c r="B667">
        <v>1576</v>
      </c>
      <c r="C667" t="s">
        <v>1083</v>
      </c>
      <c r="D667">
        <v>200</v>
      </c>
      <c r="E667" t="s">
        <v>12</v>
      </c>
      <c r="F667">
        <v>200</v>
      </c>
    </row>
    <row r="668" spans="1:6" x14ac:dyDescent="0.35">
      <c r="A668" t="s">
        <v>744</v>
      </c>
      <c r="B668">
        <v>1576</v>
      </c>
      <c r="C668" t="s">
        <v>1070</v>
      </c>
      <c r="D668">
        <v>200</v>
      </c>
      <c r="E668" t="s">
        <v>12</v>
      </c>
      <c r="F668">
        <v>200</v>
      </c>
    </row>
    <row r="669" spans="1:6" x14ac:dyDescent="0.35">
      <c r="A669" t="s">
        <v>745</v>
      </c>
      <c r="B669">
        <v>1576</v>
      </c>
      <c r="C669" t="s">
        <v>1071</v>
      </c>
      <c r="D669">
        <v>200</v>
      </c>
      <c r="E669" t="s">
        <v>12</v>
      </c>
      <c r="F669">
        <v>200</v>
      </c>
    </row>
    <row r="670" spans="1:6" x14ac:dyDescent="0.35">
      <c r="A670" t="s">
        <v>746</v>
      </c>
      <c r="B670">
        <v>1576</v>
      </c>
      <c r="C670" t="s">
        <v>1072</v>
      </c>
      <c r="D670">
        <v>200</v>
      </c>
      <c r="E670" t="s">
        <v>12</v>
      </c>
      <c r="F670">
        <v>200</v>
      </c>
    </row>
    <row r="671" spans="1:6" x14ac:dyDescent="0.35">
      <c r="A671" t="s">
        <v>747</v>
      </c>
      <c r="B671">
        <v>1576</v>
      </c>
      <c r="C671" t="s">
        <v>1073</v>
      </c>
      <c r="D671">
        <v>200</v>
      </c>
      <c r="E671" t="s">
        <v>12</v>
      </c>
      <c r="F671">
        <v>200</v>
      </c>
    </row>
    <row r="672" spans="1:6" x14ac:dyDescent="0.35">
      <c r="A672" t="s">
        <v>748</v>
      </c>
      <c r="B672">
        <v>1576</v>
      </c>
      <c r="C672" t="s">
        <v>1074</v>
      </c>
      <c r="D672">
        <v>200</v>
      </c>
      <c r="E672" t="s">
        <v>12</v>
      </c>
      <c r="F672">
        <v>200</v>
      </c>
    </row>
    <row r="673" spans="1:6" x14ac:dyDescent="0.35">
      <c r="A673" t="s">
        <v>749</v>
      </c>
      <c r="B673">
        <v>1576</v>
      </c>
      <c r="C673" t="s">
        <v>1075</v>
      </c>
      <c r="D673">
        <v>200</v>
      </c>
      <c r="E673" t="s">
        <v>12</v>
      </c>
      <c r="F673">
        <v>200</v>
      </c>
    </row>
    <row r="674" spans="1:6" x14ac:dyDescent="0.35">
      <c r="A674" t="s">
        <v>750</v>
      </c>
      <c r="B674">
        <v>1579</v>
      </c>
      <c r="C674" t="s">
        <v>1074</v>
      </c>
      <c r="D674">
        <v>50</v>
      </c>
      <c r="E674" t="s">
        <v>12</v>
      </c>
      <c r="F674">
        <v>50</v>
      </c>
    </row>
    <row r="675" spans="1:6" x14ac:dyDescent="0.35">
      <c r="A675" t="s">
        <v>751</v>
      </c>
      <c r="B675">
        <v>1579</v>
      </c>
      <c r="C675" t="s">
        <v>1075</v>
      </c>
      <c r="D675">
        <v>50</v>
      </c>
      <c r="E675" t="s">
        <v>12</v>
      </c>
      <c r="F675">
        <v>50</v>
      </c>
    </row>
    <row r="676" spans="1:6" x14ac:dyDescent="0.35">
      <c r="A676" t="s">
        <v>752</v>
      </c>
      <c r="B676">
        <v>1579</v>
      </c>
      <c r="C676" t="s">
        <v>1076</v>
      </c>
      <c r="D676">
        <v>50</v>
      </c>
      <c r="E676" t="s">
        <v>12</v>
      </c>
      <c r="F676">
        <v>50</v>
      </c>
    </row>
    <row r="677" spans="1:6" x14ac:dyDescent="0.35">
      <c r="A677" t="s">
        <v>753</v>
      </c>
      <c r="B677">
        <v>1586</v>
      </c>
      <c r="C677" t="s">
        <v>1074</v>
      </c>
      <c r="D677">
        <v>200</v>
      </c>
      <c r="E677" t="s">
        <v>12</v>
      </c>
      <c r="F677">
        <v>200</v>
      </c>
    </row>
    <row r="678" spans="1:6" x14ac:dyDescent="0.35">
      <c r="A678" t="s">
        <v>754</v>
      </c>
      <c r="B678">
        <v>1586</v>
      </c>
      <c r="C678" t="s">
        <v>1075</v>
      </c>
      <c r="D678">
        <v>200</v>
      </c>
      <c r="E678" t="s">
        <v>12</v>
      </c>
      <c r="F678">
        <v>200</v>
      </c>
    </row>
    <row r="679" spans="1:6" x14ac:dyDescent="0.35">
      <c r="A679" t="s">
        <v>755</v>
      </c>
      <c r="B679">
        <v>1586</v>
      </c>
      <c r="C679" t="s">
        <v>1076</v>
      </c>
      <c r="D679">
        <v>200</v>
      </c>
      <c r="E679" t="s">
        <v>12</v>
      </c>
      <c r="F679">
        <v>200</v>
      </c>
    </row>
    <row r="680" spans="1:6" x14ac:dyDescent="0.35">
      <c r="A680" t="s">
        <v>756</v>
      </c>
      <c r="B680">
        <v>1586</v>
      </c>
      <c r="C680" t="s">
        <v>1079</v>
      </c>
      <c r="D680">
        <v>200</v>
      </c>
      <c r="E680" t="s">
        <v>12</v>
      </c>
      <c r="F680">
        <v>200</v>
      </c>
    </row>
    <row r="681" spans="1:6" x14ac:dyDescent="0.35">
      <c r="A681" t="s">
        <v>757</v>
      </c>
      <c r="B681">
        <v>1586</v>
      </c>
      <c r="C681" t="s">
        <v>1080</v>
      </c>
      <c r="D681">
        <v>200</v>
      </c>
      <c r="E681" t="s">
        <v>12</v>
      </c>
      <c r="F681">
        <v>200</v>
      </c>
    </row>
    <row r="682" spans="1:6" x14ac:dyDescent="0.35">
      <c r="A682" t="s">
        <v>758</v>
      </c>
      <c r="B682">
        <v>1593</v>
      </c>
      <c r="C682" t="s">
        <v>1079</v>
      </c>
      <c r="D682">
        <v>50</v>
      </c>
      <c r="E682" t="s">
        <v>12</v>
      </c>
      <c r="F682">
        <v>50</v>
      </c>
    </row>
    <row r="683" spans="1:6" x14ac:dyDescent="0.35">
      <c r="A683" t="s">
        <v>759</v>
      </c>
      <c r="B683">
        <v>1595</v>
      </c>
      <c r="C683" t="s">
        <v>1078</v>
      </c>
      <c r="D683">
        <v>200</v>
      </c>
      <c r="E683" t="s">
        <v>12</v>
      </c>
      <c r="F683">
        <v>200</v>
      </c>
    </row>
    <row r="684" spans="1:6" x14ac:dyDescent="0.35">
      <c r="A684" t="s">
        <v>760</v>
      </c>
      <c r="B684">
        <v>1595</v>
      </c>
      <c r="C684" t="s">
        <v>1081</v>
      </c>
      <c r="D684">
        <v>200</v>
      </c>
      <c r="E684" t="s">
        <v>12</v>
      </c>
      <c r="F684">
        <v>200</v>
      </c>
    </row>
    <row r="685" spans="1:6" x14ac:dyDescent="0.35">
      <c r="A685" t="s">
        <v>761</v>
      </c>
      <c r="B685">
        <v>1595</v>
      </c>
      <c r="C685" t="s">
        <v>1084</v>
      </c>
      <c r="D685">
        <v>200</v>
      </c>
      <c r="E685" t="s">
        <v>12</v>
      </c>
      <c r="F685">
        <v>200</v>
      </c>
    </row>
    <row r="686" spans="1:6" x14ac:dyDescent="0.35">
      <c r="A686" t="s">
        <v>762</v>
      </c>
      <c r="B686">
        <v>1595</v>
      </c>
      <c r="C686" t="s">
        <v>1082</v>
      </c>
      <c r="D686">
        <v>200</v>
      </c>
      <c r="E686" t="s">
        <v>12</v>
      </c>
      <c r="F686">
        <v>200</v>
      </c>
    </row>
    <row r="687" spans="1:6" x14ac:dyDescent="0.35">
      <c r="A687" t="s">
        <v>763</v>
      </c>
      <c r="B687">
        <v>1599</v>
      </c>
      <c r="C687" t="s">
        <v>1081</v>
      </c>
      <c r="D687">
        <v>200</v>
      </c>
      <c r="E687" t="s">
        <v>12</v>
      </c>
      <c r="F687">
        <v>200</v>
      </c>
    </row>
    <row r="688" spans="1:6" x14ac:dyDescent="0.35">
      <c r="A688" t="s">
        <v>764</v>
      </c>
      <c r="B688">
        <v>1599</v>
      </c>
      <c r="C688" t="s">
        <v>1084</v>
      </c>
      <c r="D688">
        <v>200</v>
      </c>
      <c r="E688" t="s">
        <v>12</v>
      </c>
      <c r="F688">
        <v>200</v>
      </c>
    </row>
    <row r="689" spans="1:6" x14ac:dyDescent="0.35">
      <c r="A689" t="s">
        <v>765</v>
      </c>
      <c r="B689">
        <v>1599</v>
      </c>
      <c r="C689" t="s">
        <v>1082</v>
      </c>
      <c r="D689">
        <v>200</v>
      </c>
      <c r="E689" t="s">
        <v>12</v>
      </c>
      <c r="F689">
        <v>200</v>
      </c>
    </row>
    <row r="690" spans="1:6" x14ac:dyDescent="0.35">
      <c r="A690" t="s">
        <v>766</v>
      </c>
      <c r="B690">
        <v>1599</v>
      </c>
      <c r="C690" t="s">
        <v>1083</v>
      </c>
      <c r="D690">
        <v>200</v>
      </c>
      <c r="E690" t="s">
        <v>12</v>
      </c>
      <c r="F690">
        <v>200</v>
      </c>
    </row>
    <row r="691" spans="1:6" x14ac:dyDescent="0.35">
      <c r="A691" t="s">
        <v>767</v>
      </c>
      <c r="B691">
        <v>1599</v>
      </c>
      <c r="C691" t="s">
        <v>1070</v>
      </c>
      <c r="D691">
        <v>200</v>
      </c>
      <c r="E691" t="s">
        <v>12</v>
      </c>
      <c r="F691">
        <v>200</v>
      </c>
    </row>
    <row r="692" spans="1:6" x14ac:dyDescent="0.35">
      <c r="A692" t="s">
        <v>768</v>
      </c>
      <c r="B692">
        <v>1599</v>
      </c>
      <c r="C692" t="s">
        <v>1071</v>
      </c>
      <c r="D692">
        <v>200</v>
      </c>
      <c r="E692" t="s">
        <v>12</v>
      </c>
      <c r="F692">
        <v>200</v>
      </c>
    </row>
    <row r="693" spans="1:6" x14ac:dyDescent="0.35">
      <c r="A693" t="s">
        <v>769</v>
      </c>
      <c r="B693">
        <v>1599</v>
      </c>
      <c r="C693" t="s">
        <v>1072</v>
      </c>
      <c r="D693">
        <v>200</v>
      </c>
      <c r="E693" t="s">
        <v>12</v>
      </c>
      <c r="F693">
        <v>200</v>
      </c>
    </row>
    <row r="694" spans="1:6" x14ac:dyDescent="0.35">
      <c r="A694" t="s">
        <v>770</v>
      </c>
      <c r="B694">
        <v>1599</v>
      </c>
      <c r="C694" t="s">
        <v>1073</v>
      </c>
      <c r="D694">
        <v>200</v>
      </c>
      <c r="E694" t="s">
        <v>12</v>
      </c>
      <c r="F694">
        <v>200</v>
      </c>
    </row>
    <row r="695" spans="1:6" x14ac:dyDescent="0.35">
      <c r="A695" t="s">
        <v>771</v>
      </c>
      <c r="B695">
        <v>1599</v>
      </c>
      <c r="C695" t="s">
        <v>1074</v>
      </c>
      <c r="D695">
        <v>200</v>
      </c>
      <c r="E695" t="s">
        <v>12</v>
      </c>
      <c r="F695">
        <v>200</v>
      </c>
    </row>
    <row r="696" spans="1:6" x14ac:dyDescent="0.35">
      <c r="A696" t="s">
        <v>772</v>
      </c>
      <c r="B696">
        <v>1602</v>
      </c>
      <c r="C696" t="s">
        <v>1080</v>
      </c>
      <c r="D696">
        <v>50</v>
      </c>
      <c r="E696" t="s">
        <v>12</v>
      </c>
      <c r="F696">
        <v>50</v>
      </c>
    </row>
    <row r="697" spans="1:6" x14ac:dyDescent="0.35">
      <c r="A697" t="s">
        <v>773</v>
      </c>
      <c r="B697">
        <v>1607</v>
      </c>
      <c r="C697" t="s">
        <v>1075</v>
      </c>
      <c r="D697">
        <v>200</v>
      </c>
      <c r="E697" t="s">
        <v>12</v>
      </c>
      <c r="F697">
        <v>200</v>
      </c>
    </row>
    <row r="698" spans="1:6" x14ac:dyDescent="0.35">
      <c r="A698" t="s">
        <v>774</v>
      </c>
      <c r="B698">
        <v>1607</v>
      </c>
      <c r="C698" t="s">
        <v>1076</v>
      </c>
      <c r="D698">
        <v>200</v>
      </c>
      <c r="E698" t="s">
        <v>12</v>
      </c>
      <c r="F698">
        <v>200</v>
      </c>
    </row>
    <row r="699" spans="1:6" x14ac:dyDescent="0.35">
      <c r="A699" t="s">
        <v>775</v>
      </c>
      <c r="B699">
        <v>1607</v>
      </c>
      <c r="C699" t="s">
        <v>1079</v>
      </c>
      <c r="D699">
        <v>200</v>
      </c>
      <c r="E699" t="s">
        <v>12</v>
      </c>
      <c r="F699">
        <v>200</v>
      </c>
    </row>
    <row r="700" spans="1:6" x14ac:dyDescent="0.35">
      <c r="A700" t="s">
        <v>776</v>
      </c>
      <c r="B700">
        <v>1616</v>
      </c>
      <c r="C700" t="s">
        <v>1077</v>
      </c>
      <c r="D700">
        <v>500</v>
      </c>
      <c r="E700" t="s">
        <v>12</v>
      </c>
      <c r="F700">
        <v>500</v>
      </c>
    </row>
    <row r="701" spans="1:6" x14ac:dyDescent="0.35">
      <c r="A701" t="s">
        <v>777</v>
      </c>
      <c r="B701">
        <v>1616</v>
      </c>
      <c r="C701" t="s">
        <v>1078</v>
      </c>
      <c r="D701">
        <v>500</v>
      </c>
      <c r="E701" t="s">
        <v>12</v>
      </c>
      <c r="F701">
        <v>500</v>
      </c>
    </row>
    <row r="702" spans="1:6" x14ac:dyDescent="0.35">
      <c r="A702" t="s">
        <v>778</v>
      </c>
      <c r="B702">
        <v>1616</v>
      </c>
      <c r="C702" t="s">
        <v>1081</v>
      </c>
      <c r="D702">
        <v>500</v>
      </c>
      <c r="E702" t="s">
        <v>12</v>
      </c>
      <c r="F702">
        <v>500</v>
      </c>
    </row>
    <row r="703" spans="1:6" x14ac:dyDescent="0.35">
      <c r="A703" t="s">
        <v>779</v>
      </c>
      <c r="B703">
        <v>1616</v>
      </c>
      <c r="C703" t="s">
        <v>1084</v>
      </c>
      <c r="D703">
        <v>500</v>
      </c>
      <c r="E703" t="s">
        <v>12</v>
      </c>
      <c r="F703">
        <v>500</v>
      </c>
    </row>
    <row r="704" spans="1:6" x14ac:dyDescent="0.35">
      <c r="A704" t="s">
        <v>780</v>
      </c>
      <c r="B704">
        <v>1616</v>
      </c>
      <c r="C704" t="s">
        <v>1082</v>
      </c>
      <c r="D704">
        <v>500</v>
      </c>
      <c r="E704" t="s">
        <v>12</v>
      </c>
      <c r="F704">
        <v>500</v>
      </c>
    </row>
    <row r="705" spans="1:6" x14ac:dyDescent="0.35">
      <c r="A705" t="s">
        <v>781</v>
      </c>
      <c r="B705">
        <v>1616</v>
      </c>
      <c r="C705" t="s">
        <v>1083</v>
      </c>
      <c r="D705">
        <v>500</v>
      </c>
      <c r="E705" t="s">
        <v>12</v>
      </c>
      <c r="F705">
        <v>500</v>
      </c>
    </row>
    <row r="706" spans="1:6" x14ac:dyDescent="0.35">
      <c r="A706" t="s">
        <v>782</v>
      </c>
      <c r="B706">
        <v>1616</v>
      </c>
      <c r="C706" t="s">
        <v>1070</v>
      </c>
      <c r="D706">
        <v>500</v>
      </c>
      <c r="E706" t="s">
        <v>12</v>
      </c>
      <c r="F706">
        <v>500</v>
      </c>
    </row>
    <row r="707" spans="1:6" x14ac:dyDescent="0.35">
      <c r="A707" t="s">
        <v>783</v>
      </c>
      <c r="B707">
        <v>1616</v>
      </c>
      <c r="C707" t="s">
        <v>1071</v>
      </c>
      <c r="D707">
        <v>500</v>
      </c>
      <c r="E707" t="s">
        <v>12</v>
      </c>
      <c r="F707">
        <v>500</v>
      </c>
    </row>
    <row r="708" spans="1:6" x14ac:dyDescent="0.35">
      <c r="A708" t="s">
        <v>784</v>
      </c>
      <c r="B708">
        <v>1616</v>
      </c>
      <c r="C708" t="s">
        <v>1072</v>
      </c>
      <c r="D708">
        <v>500</v>
      </c>
      <c r="E708" t="s">
        <v>12</v>
      </c>
      <c r="F708">
        <v>500</v>
      </c>
    </row>
    <row r="709" spans="1:6" x14ac:dyDescent="0.35">
      <c r="A709" t="s">
        <v>785</v>
      </c>
      <c r="B709">
        <v>1616</v>
      </c>
      <c r="C709" t="s">
        <v>1073</v>
      </c>
      <c r="D709">
        <v>500</v>
      </c>
      <c r="E709" t="s">
        <v>12</v>
      </c>
      <c r="F709">
        <v>500</v>
      </c>
    </row>
    <row r="710" spans="1:6" x14ac:dyDescent="0.35">
      <c r="A710" t="s">
        <v>786</v>
      </c>
      <c r="B710">
        <v>1616</v>
      </c>
      <c r="C710" t="s">
        <v>1074</v>
      </c>
      <c r="D710">
        <v>500</v>
      </c>
      <c r="E710" t="s">
        <v>12</v>
      </c>
      <c r="F710">
        <v>500</v>
      </c>
    </row>
    <row r="711" spans="1:6" x14ac:dyDescent="0.35">
      <c r="A711" t="s">
        <v>787</v>
      </c>
      <c r="B711">
        <v>1616</v>
      </c>
      <c r="C711" t="s">
        <v>1075</v>
      </c>
      <c r="D711">
        <v>500</v>
      </c>
      <c r="E711" t="s">
        <v>12</v>
      </c>
      <c r="F711">
        <v>500</v>
      </c>
    </row>
    <row r="712" spans="1:6" x14ac:dyDescent="0.35">
      <c r="A712" t="s">
        <v>788</v>
      </c>
      <c r="B712">
        <v>1617</v>
      </c>
      <c r="C712" t="s">
        <v>1085</v>
      </c>
      <c r="D712">
        <v>50</v>
      </c>
      <c r="E712" t="s">
        <v>12</v>
      </c>
      <c r="F712">
        <v>50</v>
      </c>
    </row>
    <row r="713" spans="1:6" x14ac:dyDescent="0.35">
      <c r="A713" t="s">
        <v>789</v>
      </c>
      <c r="B713">
        <v>1617</v>
      </c>
      <c r="C713" t="s">
        <v>1086</v>
      </c>
      <c r="D713">
        <v>50</v>
      </c>
      <c r="E713" t="s">
        <v>12</v>
      </c>
      <c r="F713">
        <v>50</v>
      </c>
    </row>
    <row r="714" spans="1:6" x14ac:dyDescent="0.35">
      <c r="A714" t="s">
        <v>790</v>
      </c>
      <c r="B714">
        <v>1617</v>
      </c>
      <c r="C714" t="s">
        <v>1087</v>
      </c>
      <c r="D714">
        <v>50</v>
      </c>
      <c r="E714" t="s">
        <v>12</v>
      </c>
      <c r="F714">
        <v>50</v>
      </c>
    </row>
    <row r="715" spans="1:6" x14ac:dyDescent="0.35">
      <c r="A715" t="s">
        <v>791</v>
      </c>
      <c r="B715">
        <v>1617</v>
      </c>
      <c r="C715" t="s">
        <v>1077</v>
      </c>
      <c r="D715">
        <v>50</v>
      </c>
      <c r="E715" t="s">
        <v>12</v>
      </c>
      <c r="F715">
        <v>50</v>
      </c>
    </row>
    <row r="716" spans="1:6" x14ac:dyDescent="0.35">
      <c r="A716" t="s">
        <v>792</v>
      </c>
      <c r="B716">
        <v>1617</v>
      </c>
      <c r="C716" t="s">
        <v>1078</v>
      </c>
      <c r="D716">
        <v>50</v>
      </c>
      <c r="E716" t="s">
        <v>12</v>
      </c>
      <c r="F716">
        <v>50</v>
      </c>
    </row>
    <row r="717" spans="1:6" x14ac:dyDescent="0.35">
      <c r="A717" t="s">
        <v>793</v>
      </c>
      <c r="B717">
        <v>1617</v>
      </c>
      <c r="C717" t="s">
        <v>1081</v>
      </c>
      <c r="D717">
        <v>50</v>
      </c>
      <c r="E717" t="s">
        <v>12</v>
      </c>
      <c r="F717">
        <v>50</v>
      </c>
    </row>
    <row r="718" spans="1:6" x14ac:dyDescent="0.35">
      <c r="A718" t="s">
        <v>794</v>
      </c>
      <c r="B718">
        <v>1617</v>
      </c>
      <c r="C718" t="s">
        <v>1084</v>
      </c>
      <c r="D718">
        <v>50</v>
      </c>
      <c r="E718" t="s">
        <v>12</v>
      </c>
      <c r="F718">
        <v>50</v>
      </c>
    </row>
    <row r="719" spans="1:6" x14ac:dyDescent="0.35">
      <c r="A719" t="s">
        <v>795</v>
      </c>
      <c r="B719">
        <v>1617</v>
      </c>
      <c r="C719" t="s">
        <v>1082</v>
      </c>
      <c r="D719">
        <v>50</v>
      </c>
      <c r="E719" t="s">
        <v>12</v>
      </c>
      <c r="F719">
        <v>50</v>
      </c>
    </row>
    <row r="720" spans="1:6" x14ac:dyDescent="0.35">
      <c r="A720" t="s">
        <v>796</v>
      </c>
      <c r="B720">
        <v>1617</v>
      </c>
      <c r="C720" t="s">
        <v>1083</v>
      </c>
      <c r="D720">
        <v>50</v>
      </c>
      <c r="E720" t="s">
        <v>12</v>
      </c>
      <c r="F720">
        <v>50</v>
      </c>
    </row>
    <row r="721" spans="1:6" x14ac:dyDescent="0.35">
      <c r="A721" t="s">
        <v>797</v>
      </c>
      <c r="B721">
        <v>1617</v>
      </c>
      <c r="C721" t="s">
        <v>1070</v>
      </c>
      <c r="D721">
        <v>50</v>
      </c>
      <c r="E721" t="s">
        <v>12</v>
      </c>
      <c r="F721">
        <v>50</v>
      </c>
    </row>
    <row r="722" spans="1:6" x14ac:dyDescent="0.35">
      <c r="A722" t="s">
        <v>798</v>
      </c>
      <c r="B722">
        <v>1617</v>
      </c>
      <c r="C722" t="s">
        <v>1071</v>
      </c>
      <c r="D722">
        <v>50</v>
      </c>
      <c r="E722" t="s">
        <v>12</v>
      </c>
      <c r="F722">
        <v>50</v>
      </c>
    </row>
    <row r="723" spans="1:6" x14ac:dyDescent="0.35">
      <c r="A723" t="s">
        <v>799</v>
      </c>
      <c r="B723">
        <v>1617</v>
      </c>
      <c r="C723" t="s">
        <v>1072</v>
      </c>
      <c r="D723">
        <v>50</v>
      </c>
      <c r="E723" t="s">
        <v>12</v>
      </c>
      <c r="F723">
        <v>50</v>
      </c>
    </row>
    <row r="724" spans="1:6" x14ac:dyDescent="0.35">
      <c r="A724" t="s">
        <v>800</v>
      </c>
      <c r="B724">
        <v>1617</v>
      </c>
      <c r="C724" t="s">
        <v>1073</v>
      </c>
      <c r="D724">
        <v>50</v>
      </c>
      <c r="E724" t="s">
        <v>12</v>
      </c>
      <c r="F724">
        <v>50</v>
      </c>
    </row>
    <row r="725" spans="1:6" x14ac:dyDescent="0.35">
      <c r="A725" t="s">
        <v>801</v>
      </c>
      <c r="B725">
        <v>1617</v>
      </c>
      <c r="C725" t="s">
        <v>1074</v>
      </c>
      <c r="D725">
        <v>50</v>
      </c>
      <c r="E725" t="s">
        <v>12</v>
      </c>
      <c r="F725">
        <v>50</v>
      </c>
    </row>
    <row r="726" spans="1:6" x14ac:dyDescent="0.35">
      <c r="A726" t="s">
        <v>802</v>
      </c>
      <c r="B726">
        <v>1624</v>
      </c>
      <c r="C726" t="s">
        <v>1084</v>
      </c>
      <c r="D726">
        <v>500</v>
      </c>
      <c r="E726" t="s">
        <v>12</v>
      </c>
      <c r="F726">
        <v>500</v>
      </c>
    </row>
    <row r="727" spans="1:6" x14ac:dyDescent="0.35">
      <c r="A727" t="s">
        <v>803</v>
      </c>
      <c r="B727">
        <v>1624</v>
      </c>
      <c r="C727" t="s">
        <v>1082</v>
      </c>
      <c r="D727">
        <v>500</v>
      </c>
      <c r="E727" t="s">
        <v>12</v>
      </c>
      <c r="F727">
        <v>500</v>
      </c>
    </row>
    <row r="728" spans="1:6" x14ac:dyDescent="0.35">
      <c r="A728" t="s">
        <v>804</v>
      </c>
      <c r="B728">
        <v>1629</v>
      </c>
      <c r="C728" t="s">
        <v>1071</v>
      </c>
      <c r="D728">
        <v>200</v>
      </c>
      <c r="E728" t="s">
        <v>12</v>
      </c>
      <c r="F728">
        <v>200</v>
      </c>
    </row>
    <row r="729" spans="1:6" x14ac:dyDescent="0.35">
      <c r="A729" t="s">
        <v>805</v>
      </c>
      <c r="B729">
        <v>1629</v>
      </c>
      <c r="C729" t="s">
        <v>1072</v>
      </c>
      <c r="D729">
        <v>200</v>
      </c>
      <c r="E729" t="s">
        <v>12</v>
      </c>
      <c r="F729">
        <v>200</v>
      </c>
    </row>
    <row r="730" spans="1:6" x14ac:dyDescent="0.35">
      <c r="A730" t="s">
        <v>806</v>
      </c>
      <c r="B730">
        <v>1629</v>
      </c>
      <c r="C730" t="s">
        <v>1073</v>
      </c>
      <c r="D730">
        <v>200</v>
      </c>
      <c r="E730" t="s">
        <v>12</v>
      </c>
      <c r="F730">
        <v>200</v>
      </c>
    </row>
    <row r="731" spans="1:6" x14ac:dyDescent="0.35">
      <c r="A731" t="s">
        <v>807</v>
      </c>
      <c r="B731">
        <v>1629</v>
      </c>
      <c r="C731" t="s">
        <v>1074</v>
      </c>
      <c r="D731">
        <v>200</v>
      </c>
      <c r="E731" t="s">
        <v>12</v>
      </c>
      <c r="F731">
        <v>200</v>
      </c>
    </row>
    <row r="732" spans="1:6" x14ac:dyDescent="0.35">
      <c r="A732" t="s">
        <v>808</v>
      </c>
      <c r="B732">
        <v>1629</v>
      </c>
      <c r="C732" t="s">
        <v>1075</v>
      </c>
      <c r="D732">
        <v>200</v>
      </c>
      <c r="E732" t="s">
        <v>12</v>
      </c>
      <c r="F732">
        <v>200</v>
      </c>
    </row>
    <row r="733" spans="1:6" x14ac:dyDescent="0.35">
      <c r="A733" t="s">
        <v>809</v>
      </c>
      <c r="B733">
        <v>1629</v>
      </c>
      <c r="C733" t="s">
        <v>1076</v>
      </c>
      <c r="D733">
        <v>200</v>
      </c>
      <c r="E733" t="s">
        <v>12</v>
      </c>
      <c r="F733">
        <v>200</v>
      </c>
    </row>
    <row r="734" spans="1:6" x14ac:dyDescent="0.35">
      <c r="A734" t="s">
        <v>810</v>
      </c>
      <c r="B734">
        <v>1656</v>
      </c>
      <c r="C734" t="s">
        <v>1070</v>
      </c>
      <c r="D734">
        <v>200</v>
      </c>
      <c r="E734" t="s">
        <v>12</v>
      </c>
      <c r="F734">
        <v>200</v>
      </c>
    </row>
    <row r="735" spans="1:6" x14ac:dyDescent="0.35">
      <c r="A735" t="s">
        <v>811</v>
      </c>
      <c r="B735">
        <v>1656</v>
      </c>
      <c r="C735" t="s">
        <v>1071</v>
      </c>
      <c r="D735">
        <v>200</v>
      </c>
      <c r="E735" t="s">
        <v>12</v>
      </c>
      <c r="F735">
        <v>200</v>
      </c>
    </row>
    <row r="736" spans="1:6" x14ac:dyDescent="0.35">
      <c r="A736" t="s">
        <v>812</v>
      </c>
      <c r="B736">
        <v>1656</v>
      </c>
      <c r="C736" t="s">
        <v>1072</v>
      </c>
      <c r="D736">
        <v>200</v>
      </c>
      <c r="E736" t="s">
        <v>12</v>
      </c>
      <c r="F736">
        <v>200</v>
      </c>
    </row>
    <row r="737" spans="1:6" x14ac:dyDescent="0.35">
      <c r="A737" t="s">
        <v>813</v>
      </c>
      <c r="B737">
        <v>1656</v>
      </c>
      <c r="C737" t="s">
        <v>1073</v>
      </c>
      <c r="D737">
        <v>200</v>
      </c>
      <c r="E737" t="s">
        <v>12</v>
      </c>
      <c r="F737">
        <v>200</v>
      </c>
    </row>
    <row r="738" spans="1:6" x14ac:dyDescent="0.35">
      <c r="A738" t="s">
        <v>814</v>
      </c>
      <c r="B738">
        <v>1672</v>
      </c>
      <c r="C738" t="s">
        <v>1082</v>
      </c>
      <c r="D738">
        <v>50</v>
      </c>
      <c r="E738" t="s">
        <v>12</v>
      </c>
      <c r="F738">
        <v>50</v>
      </c>
    </row>
    <row r="739" spans="1:6" x14ac:dyDescent="0.35">
      <c r="A739" t="s">
        <v>815</v>
      </c>
      <c r="B739">
        <v>1672</v>
      </c>
      <c r="C739" t="s">
        <v>1083</v>
      </c>
      <c r="D739">
        <v>50</v>
      </c>
      <c r="E739" t="s">
        <v>12</v>
      </c>
      <c r="F739">
        <v>50</v>
      </c>
    </row>
    <row r="740" spans="1:6" x14ac:dyDescent="0.35">
      <c r="A740" t="s">
        <v>816</v>
      </c>
      <c r="B740">
        <v>1683</v>
      </c>
      <c r="C740" t="s">
        <v>1087</v>
      </c>
      <c r="D740">
        <v>200</v>
      </c>
      <c r="E740" t="s">
        <v>12</v>
      </c>
      <c r="F740">
        <v>200</v>
      </c>
    </row>
    <row r="741" spans="1:6" x14ac:dyDescent="0.35">
      <c r="A741" t="s">
        <v>817</v>
      </c>
      <c r="B741">
        <v>1683</v>
      </c>
      <c r="C741" t="s">
        <v>1077</v>
      </c>
      <c r="D741">
        <v>200</v>
      </c>
      <c r="E741" t="s">
        <v>12</v>
      </c>
      <c r="F741">
        <v>200</v>
      </c>
    </row>
    <row r="742" spans="1:6" x14ac:dyDescent="0.35">
      <c r="A742" t="s">
        <v>818</v>
      </c>
      <c r="B742">
        <v>1683</v>
      </c>
      <c r="C742" t="s">
        <v>1078</v>
      </c>
      <c r="D742">
        <v>200</v>
      </c>
      <c r="E742" t="s">
        <v>12</v>
      </c>
      <c r="F742">
        <v>200</v>
      </c>
    </row>
    <row r="743" spans="1:6" x14ac:dyDescent="0.35">
      <c r="A743" t="s">
        <v>819</v>
      </c>
      <c r="B743">
        <v>1683</v>
      </c>
      <c r="C743" t="s">
        <v>1081</v>
      </c>
      <c r="D743">
        <v>200</v>
      </c>
      <c r="E743" t="s">
        <v>12</v>
      </c>
      <c r="F743">
        <v>200</v>
      </c>
    </row>
    <row r="744" spans="1:6" x14ac:dyDescent="0.35">
      <c r="A744" t="s">
        <v>820</v>
      </c>
      <c r="B744">
        <v>1683</v>
      </c>
      <c r="C744" t="s">
        <v>1084</v>
      </c>
      <c r="D744">
        <v>200</v>
      </c>
      <c r="E744" t="s">
        <v>12</v>
      </c>
      <c r="F744">
        <v>200</v>
      </c>
    </row>
    <row r="745" spans="1:6" x14ac:dyDescent="0.35">
      <c r="A745" t="s">
        <v>821</v>
      </c>
      <c r="B745">
        <v>1683</v>
      </c>
      <c r="C745" t="s">
        <v>1082</v>
      </c>
      <c r="D745">
        <v>200</v>
      </c>
      <c r="E745" t="s">
        <v>12</v>
      </c>
      <c r="F745">
        <v>200</v>
      </c>
    </row>
    <row r="746" spans="1:6" x14ac:dyDescent="0.35">
      <c r="A746" t="s">
        <v>822</v>
      </c>
      <c r="B746">
        <v>1683</v>
      </c>
      <c r="C746" t="s">
        <v>1083</v>
      </c>
      <c r="D746">
        <v>200</v>
      </c>
      <c r="E746" t="s">
        <v>12</v>
      </c>
      <c r="F746">
        <v>200</v>
      </c>
    </row>
    <row r="747" spans="1:6" x14ac:dyDescent="0.35">
      <c r="A747" t="s">
        <v>823</v>
      </c>
      <c r="B747">
        <v>1683</v>
      </c>
      <c r="C747" t="s">
        <v>1070</v>
      </c>
      <c r="D747">
        <v>200</v>
      </c>
      <c r="E747" t="s">
        <v>12</v>
      </c>
      <c r="F747">
        <v>200</v>
      </c>
    </row>
    <row r="748" spans="1:6" x14ac:dyDescent="0.35">
      <c r="A748" t="s">
        <v>824</v>
      </c>
      <c r="B748">
        <v>1683</v>
      </c>
      <c r="C748" t="s">
        <v>1071</v>
      </c>
      <c r="D748">
        <v>200</v>
      </c>
      <c r="E748" t="s">
        <v>12</v>
      </c>
      <c r="F748">
        <v>200</v>
      </c>
    </row>
    <row r="749" spans="1:6" x14ac:dyDescent="0.35">
      <c r="A749" t="s">
        <v>825</v>
      </c>
      <c r="B749">
        <v>1683</v>
      </c>
      <c r="C749" t="s">
        <v>1072</v>
      </c>
      <c r="D749">
        <v>200</v>
      </c>
      <c r="E749" t="s">
        <v>12</v>
      </c>
      <c r="F749">
        <v>200</v>
      </c>
    </row>
    <row r="750" spans="1:6" x14ac:dyDescent="0.35">
      <c r="A750" t="s">
        <v>826</v>
      </c>
      <c r="B750">
        <v>1683</v>
      </c>
      <c r="C750" t="s">
        <v>1073</v>
      </c>
      <c r="D750">
        <v>200</v>
      </c>
      <c r="E750" t="s">
        <v>12</v>
      </c>
      <c r="F750">
        <v>200</v>
      </c>
    </row>
    <row r="751" spans="1:6" x14ac:dyDescent="0.35">
      <c r="A751" t="s">
        <v>827</v>
      </c>
      <c r="B751">
        <v>1683</v>
      </c>
      <c r="C751" t="s">
        <v>1074</v>
      </c>
      <c r="D751">
        <v>200</v>
      </c>
      <c r="E751" t="s">
        <v>12</v>
      </c>
      <c r="F751">
        <v>200</v>
      </c>
    </row>
    <row r="752" spans="1:6" x14ac:dyDescent="0.35">
      <c r="A752" t="s">
        <v>828</v>
      </c>
      <c r="B752">
        <v>1683</v>
      </c>
      <c r="C752" t="s">
        <v>1075</v>
      </c>
      <c r="D752">
        <v>200</v>
      </c>
      <c r="E752" t="s">
        <v>12</v>
      </c>
      <c r="F752">
        <v>200</v>
      </c>
    </row>
    <row r="753" spans="1:6" x14ac:dyDescent="0.35">
      <c r="A753" t="s">
        <v>829</v>
      </c>
      <c r="B753">
        <v>1683</v>
      </c>
      <c r="C753" t="s">
        <v>1076</v>
      </c>
      <c r="D753">
        <v>200</v>
      </c>
      <c r="E753" t="s">
        <v>12</v>
      </c>
      <c r="F753">
        <v>200</v>
      </c>
    </row>
    <row r="754" spans="1:6" x14ac:dyDescent="0.35">
      <c r="A754" t="s">
        <v>830</v>
      </c>
      <c r="B754">
        <v>1683</v>
      </c>
      <c r="C754" t="s">
        <v>1079</v>
      </c>
      <c r="D754">
        <v>200</v>
      </c>
      <c r="E754" t="s">
        <v>12</v>
      </c>
      <c r="F754">
        <v>200</v>
      </c>
    </row>
    <row r="755" spans="1:6" x14ac:dyDescent="0.35">
      <c r="A755" t="s">
        <v>831</v>
      </c>
      <c r="B755">
        <v>1683</v>
      </c>
      <c r="C755" t="s">
        <v>1080</v>
      </c>
      <c r="D755">
        <v>200</v>
      </c>
      <c r="E755" t="s">
        <v>12</v>
      </c>
      <c r="F755">
        <v>200</v>
      </c>
    </row>
    <row r="756" spans="1:6" x14ac:dyDescent="0.35">
      <c r="A756" t="s">
        <v>832</v>
      </c>
      <c r="B756">
        <v>1686</v>
      </c>
      <c r="C756" t="s">
        <v>1077</v>
      </c>
      <c r="D756">
        <v>50</v>
      </c>
      <c r="E756" t="s">
        <v>12</v>
      </c>
      <c r="F756">
        <v>50</v>
      </c>
    </row>
    <row r="757" spans="1:6" x14ac:dyDescent="0.35">
      <c r="A757" t="s">
        <v>833</v>
      </c>
      <c r="B757">
        <v>1686</v>
      </c>
      <c r="C757" t="s">
        <v>1078</v>
      </c>
      <c r="D757">
        <v>50</v>
      </c>
      <c r="E757" t="s">
        <v>12</v>
      </c>
      <c r="F757">
        <v>50</v>
      </c>
    </row>
    <row r="758" spans="1:6" x14ac:dyDescent="0.35">
      <c r="A758" t="s">
        <v>834</v>
      </c>
      <c r="B758">
        <v>1686</v>
      </c>
      <c r="C758" t="s">
        <v>1081</v>
      </c>
      <c r="D758">
        <v>50</v>
      </c>
      <c r="E758" t="s">
        <v>12</v>
      </c>
      <c r="F758">
        <v>50</v>
      </c>
    </row>
    <row r="759" spans="1:6" x14ac:dyDescent="0.35">
      <c r="A759" t="s">
        <v>835</v>
      </c>
      <c r="B759">
        <v>1686</v>
      </c>
      <c r="C759" t="s">
        <v>1084</v>
      </c>
      <c r="D759">
        <v>50</v>
      </c>
      <c r="E759" t="s">
        <v>12</v>
      </c>
      <c r="F759">
        <v>50</v>
      </c>
    </row>
    <row r="760" spans="1:6" x14ac:dyDescent="0.35">
      <c r="A760" t="s">
        <v>836</v>
      </c>
      <c r="B760">
        <v>1686</v>
      </c>
      <c r="C760" t="s">
        <v>1082</v>
      </c>
      <c r="D760">
        <v>50</v>
      </c>
      <c r="E760" t="s">
        <v>12</v>
      </c>
      <c r="F760">
        <v>50</v>
      </c>
    </row>
    <row r="761" spans="1:6" x14ac:dyDescent="0.35">
      <c r="A761" t="s">
        <v>837</v>
      </c>
      <c r="B761">
        <v>1686</v>
      </c>
      <c r="C761" t="s">
        <v>1083</v>
      </c>
      <c r="D761">
        <v>50</v>
      </c>
      <c r="E761" t="s">
        <v>12</v>
      </c>
      <c r="F761">
        <v>50</v>
      </c>
    </row>
    <row r="762" spans="1:6" x14ac:dyDescent="0.35">
      <c r="A762" t="s">
        <v>838</v>
      </c>
      <c r="B762">
        <v>1686</v>
      </c>
      <c r="C762" t="s">
        <v>1070</v>
      </c>
      <c r="D762">
        <v>50</v>
      </c>
      <c r="E762" t="s">
        <v>12</v>
      </c>
      <c r="F762">
        <v>50</v>
      </c>
    </row>
    <row r="763" spans="1:6" x14ac:dyDescent="0.35">
      <c r="A763" t="s">
        <v>839</v>
      </c>
      <c r="B763">
        <v>1686</v>
      </c>
      <c r="C763" t="s">
        <v>1071</v>
      </c>
      <c r="D763">
        <v>50</v>
      </c>
      <c r="E763" t="s">
        <v>12</v>
      </c>
      <c r="F763">
        <v>50</v>
      </c>
    </row>
    <row r="764" spans="1:6" x14ac:dyDescent="0.35">
      <c r="A764" t="s">
        <v>840</v>
      </c>
      <c r="B764">
        <v>1686</v>
      </c>
      <c r="C764" t="s">
        <v>1072</v>
      </c>
      <c r="D764">
        <v>50</v>
      </c>
      <c r="E764" t="s">
        <v>12</v>
      </c>
      <c r="F764">
        <v>50</v>
      </c>
    </row>
    <row r="765" spans="1:6" x14ac:dyDescent="0.35">
      <c r="A765" t="s">
        <v>841</v>
      </c>
      <c r="B765">
        <v>1686</v>
      </c>
      <c r="C765" t="s">
        <v>1073</v>
      </c>
      <c r="D765">
        <v>50</v>
      </c>
      <c r="E765" t="s">
        <v>12</v>
      </c>
      <c r="F765">
        <v>50</v>
      </c>
    </row>
    <row r="766" spans="1:6" x14ac:dyDescent="0.35">
      <c r="A766" t="s">
        <v>842</v>
      </c>
      <c r="B766">
        <v>1686</v>
      </c>
      <c r="C766" t="s">
        <v>1074</v>
      </c>
      <c r="D766">
        <v>50</v>
      </c>
      <c r="E766" t="s">
        <v>12</v>
      </c>
      <c r="F766">
        <v>50</v>
      </c>
    </row>
    <row r="767" spans="1:6" x14ac:dyDescent="0.35">
      <c r="A767" t="s">
        <v>843</v>
      </c>
      <c r="B767">
        <v>1686</v>
      </c>
      <c r="C767" t="s">
        <v>1075</v>
      </c>
      <c r="D767">
        <v>50</v>
      </c>
      <c r="E767" t="s">
        <v>12</v>
      </c>
      <c r="F767">
        <v>50</v>
      </c>
    </row>
    <row r="768" spans="1:6" x14ac:dyDescent="0.35">
      <c r="A768" t="s">
        <v>844</v>
      </c>
      <c r="B768">
        <v>1686</v>
      </c>
      <c r="C768" t="s">
        <v>1076</v>
      </c>
      <c r="D768">
        <v>50</v>
      </c>
      <c r="E768" t="s">
        <v>12</v>
      </c>
      <c r="F768">
        <v>50</v>
      </c>
    </row>
    <row r="769" spans="1:6" x14ac:dyDescent="0.35">
      <c r="A769" t="s">
        <v>845</v>
      </c>
      <c r="B769">
        <v>1697</v>
      </c>
      <c r="C769" t="s">
        <v>1076</v>
      </c>
      <c r="D769">
        <v>50</v>
      </c>
      <c r="E769" t="s">
        <v>12</v>
      </c>
      <c r="F769">
        <v>50</v>
      </c>
    </row>
    <row r="770" spans="1:6" x14ac:dyDescent="0.35">
      <c r="A770" t="s">
        <v>846</v>
      </c>
      <c r="B770">
        <v>1697</v>
      </c>
      <c r="C770" t="s">
        <v>1079</v>
      </c>
      <c r="D770">
        <v>50</v>
      </c>
      <c r="E770" t="s">
        <v>12</v>
      </c>
      <c r="F770">
        <v>50</v>
      </c>
    </row>
    <row r="771" spans="1:6" x14ac:dyDescent="0.35">
      <c r="A771" t="s">
        <v>847</v>
      </c>
      <c r="B771">
        <v>1709</v>
      </c>
      <c r="C771" t="s">
        <v>1084</v>
      </c>
      <c r="D771">
        <v>200</v>
      </c>
      <c r="E771" t="s">
        <v>12</v>
      </c>
      <c r="F771">
        <v>200</v>
      </c>
    </row>
    <row r="772" spans="1:6" x14ac:dyDescent="0.35">
      <c r="A772" t="s">
        <v>848</v>
      </c>
      <c r="B772">
        <v>1709</v>
      </c>
      <c r="C772" t="s">
        <v>1082</v>
      </c>
      <c r="D772">
        <v>200</v>
      </c>
      <c r="E772" t="s">
        <v>12</v>
      </c>
      <c r="F772">
        <v>200</v>
      </c>
    </row>
    <row r="773" spans="1:6" x14ac:dyDescent="0.35">
      <c r="A773" t="s">
        <v>849</v>
      </c>
      <c r="B773">
        <v>1709</v>
      </c>
      <c r="C773" t="s">
        <v>1083</v>
      </c>
      <c r="D773">
        <v>200</v>
      </c>
      <c r="E773" t="s">
        <v>12</v>
      </c>
      <c r="F773">
        <v>200</v>
      </c>
    </row>
    <row r="774" spans="1:6" x14ac:dyDescent="0.35">
      <c r="A774" t="s">
        <v>850</v>
      </c>
      <c r="B774">
        <v>1709</v>
      </c>
      <c r="C774" t="s">
        <v>1070</v>
      </c>
      <c r="D774">
        <v>200</v>
      </c>
      <c r="E774" t="s">
        <v>12</v>
      </c>
      <c r="F774">
        <v>200</v>
      </c>
    </row>
    <row r="775" spans="1:6" x14ac:dyDescent="0.35">
      <c r="A775" t="s">
        <v>851</v>
      </c>
      <c r="B775">
        <v>1709</v>
      </c>
      <c r="C775" t="s">
        <v>1071</v>
      </c>
      <c r="D775">
        <v>200</v>
      </c>
      <c r="E775" t="s">
        <v>12</v>
      </c>
      <c r="F775">
        <v>200</v>
      </c>
    </row>
    <row r="776" spans="1:6" x14ac:dyDescent="0.35">
      <c r="A776" t="s">
        <v>852</v>
      </c>
      <c r="B776">
        <v>1709</v>
      </c>
      <c r="C776" t="s">
        <v>1072</v>
      </c>
      <c r="D776">
        <v>200</v>
      </c>
      <c r="E776" t="s">
        <v>12</v>
      </c>
      <c r="F776">
        <v>200</v>
      </c>
    </row>
    <row r="777" spans="1:6" x14ac:dyDescent="0.35">
      <c r="A777" t="s">
        <v>853</v>
      </c>
      <c r="B777">
        <v>1709</v>
      </c>
      <c r="C777" t="s">
        <v>1073</v>
      </c>
      <c r="D777">
        <v>200</v>
      </c>
      <c r="E777" t="s">
        <v>12</v>
      </c>
      <c r="F777">
        <v>200</v>
      </c>
    </row>
    <row r="778" spans="1:6" x14ac:dyDescent="0.35">
      <c r="A778" t="s">
        <v>854</v>
      </c>
      <c r="B778">
        <v>1709</v>
      </c>
      <c r="C778" t="s">
        <v>1074</v>
      </c>
      <c r="D778">
        <v>200</v>
      </c>
      <c r="E778" t="s">
        <v>12</v>
      </c>
      <c r="F778">
        <v>200</v>
      </c>
    </row>
    <row r="779" spans="1:6" x14ac:dyDescent="0.35">
      <c r="A779" t="s">
        <v>855</v>
      </c>
      <c r="B779">
        <v>1713</v>
      </c>
      <c r="C779" t="s">
        <v>1083</v>
      </c>
      <c r="D779">
        <v>500</v>
      </c>
      <c r="E779" t="s">
        <v>12</v>
      </c>
      <c r="F779">
        <v>500</v>
      </c>
    </row>
    <row r="780" spans="1:6" x14ac:dyDescent="0.35">
      <c r="A780" t="s">
        <v>856</v>
      </c>
      <c r="B780">
        <v>1713</v>
      </c>
      <c r="C780" t="s">
        <v>1070</v>
      </c>
      <c r="D780">
        <v>500</v>
      </c>
      <c r="E780" t="s">
        <v>12</v>
      </c>
      <c r="F780">
        <v>500</v>
      </c>
    </row>
    <row r="781" spans="1:6" x14ac:dyDescent="0.35">
      <c r="A781" t="s">
        <v>857</v>
      </c>
      <c r="B781">
        <v>1714</v>
      </c>
      <c r="C781" t="s">
        <v>1084</v>
      </c>
      <c r="D781">
        <v>500</v>
      </c>
      <c r="E781" t="s">
        <v>12</v>
      </c>
      <c r="F781">
        <v>500</v>
      </c>
    </row>
    <row r="782" spans="1:6" x14ac:dyDescent="0.35">
      <c r="A782" t="s">
        <v>858</v>
      </c>
      <c r="B782">
        <v>1714</v>
      </c>
      <c r="C782" t="s">
        <v>1082</v>
      </c>
      <c r="D782">
        <v>500</v>
      </c>
      <c r="E782" t="s">
        <v>12</v>
      </c>
      <c r="F782">
        <v>500</v>
      </c>
    </row>
    <row r="783" spans="1:6" x14ac:dyDescent="0.35">
      <c r="A783" t="s">
        <v>859</v>
      </c>
      <c r="B783">
        <v>1717</v>
      </c>
      <c r="C783" t="s">
        <v>1080</v>
      </c>
      <c r="D783">
        <v>50</v>
      </c>
      <c r="E783" t="s">
        <v>12</v>
      </c>
      <c r="F783">
        <v>50</v>
      </c>
    </row>
    <row r="784" spans="1:6" x14ac:dyDescent="0.35">
      <c r="A784" t="s">
        <v>860</v>
      </c>
      <c r="B784">
        <v>1721</v>
      </c>
      <c r="C784" t="s">
        <v>1070</v>
      </c>
      <c r="D784">
        <v>50</v>
      </c>
      <c r="E784" t="s">
        <v>12</v>
      </c>
      <c r="F784">
        <v>50</v>
      </c>
    </row>
    <row r="785" spans="1:6" x14ac:dyDescent="0.35">
      <c r="A785" t="s">
        <v>861</v>
      </c>
      <c r="B785">
        <v>1721</v>
      </c>
      <c r="C785" t="s">
        <v>1071</v>
      </c>
      <c r="D785">
        <v>50</v>
      </c>
      <c r="E785" t="s">
        <v>12</v>
      </c>
      <c r="F785">
        <v>50</v>
      </c>
    </row>
    <row r="786" spans="1:6" x14ac:dyDescent="0.35">
      <c r="A786" t="s">
        <v>862</v>
      </c>
      <c r="B786">
        <v>1721</v>
      </c>
      <c r="C786" t="s">
        <v>1072</v>
      </c>
      <c r="D786">
        <v>50</v>
      </c>
      <c r="E786" t="s">
        <v>12</v>
      </c>
      <c r="F786">
        <v>50</v>
      </c>
    </row>
    <row r="787" spans="1:6" x14ac:dyDescent="0.35">
      <c r="A787" t="s">
        <v>863</v>
      </c>
      <c r="B787">
        <v>1721</v>
      </c>
      <c r="C787" t="s">
        <v>1073</v>
      </c>
      <c r="D787">
        <v>50</v>
      </c>
      <c r="E787" t="s">
        <v>12</v>
      </c>
      <c r="F787">
        <v>50</v>
      </c>
    </row>
    <row r="788" spans="1:6" x14ac:dyDescent="0.35">
      <c r="A788" t="s">
        <v>864</v>
      </c>
      <c r="B788">
        <v>1721</v>
      </c>
      <c r="C788" t="s">
        <v>1074</v>
      </c>
      <c r="D788">
        <v>50</v>
      </c>
      <c r="E788" t="s">
        <v>12</v>
      </c>
      <c r="F788">
        <v>50</v>
      </c>
    </row>
    <row r="789" spans="1:6" x14ac:dyDescent="0.35">
      <c r="A789" t="s">
        <v>865</v>
      </c>
      <c r="B789">
        <v>1721</v>
      </c>
      <c r="C789" t="s">
        <v>1075</v>
      </c>
      <c r="D789">
        <v>50</v>
      </c>
      <c r="E789" t="s">
        <v>12</v>
      </c>
      <c r="F789">
        <v>50</v>
      </c>
    </row>
    <row r="790" spans="1:6" x14ac:dyDescent="0.35">
      <c r="A790" t="s">
        <v>866</v>
      </c>
      <c r="B790">
        <v>1724</v>
      </c>
      <c r="C790" t="s">
        <v>1071</v>
      </c>
      <c r="D790">
        <v>500</v>
      </c>
      <c r="E790" t="s">
        <v>12</v>
      </c>
      <c r="F790">
        <v>500</v>
      </c>
    </row>
    <row r="791" spans="1:6" x14ac:dyDescent="0.35">
      <c r="A791" t="s">
        <v>867</v>
      </c>
      <c r="B791">
        <v>1724</v>
      </c>
      <c r="C791" t="s">
        <v>1072</v>
      </c>
      <c r="D791">
        <v>500</v>
      </c>
      <c r="E791" t="s">
        <v>12</v>
      </c>
      <c r="F791">
        <v>500</v>
      </c>
    </row>
    <row r="792" spans="1:6" x14ac:dyDescent="0.35">
      <c r="A792" t="s">
        <v>868</v>
      </c>
      <c r="B792">
        <v>1724</v>
      </c>
      <c r="C792" t="s">
        <v>1073</v>
      </c>
      <c r="D792">
        <v>500</v>
      </c>
      <c r="E792" t="s">
        <v>12</v>
      </c>
      <c r="F792">
        <v>500</v>
      </c>
    </row>
    <row r="793" spans="1:6" x14ac:dyDescent="0.35">
      <c r="A793" t="s">
        <v>869</v>
      </c>
      <c r="B793">
        <v>1724</v>
      </c>
      <c r="C793" t="s">
        <v>1074</v>
      </c>
      <c r="D793">
        <v>500</v>
      </c>
      <c r="E793" t="s">
        <v>12</v>
      </c>
      <c r="F793">
        <v>500</v>
      </c>
    </row>
    <row r="794" spans="1:6" x14ac:dyDescent="0.35">
      <c r="A794" t="s">
        <v>870</v>
      </c>
      <c r="B794">
        <v>1724</v>
      </c>
      <c r="C794" t="s">
        <v>1075</v>
      </c>
      <c r="D794">
        <v>500</v>
      </c>
      <c r="E794" t="s">
        <v>12</v>
      </c>
      <c r="F794">
        <v>500</v>
      </c>
    </row>
    <row r="795" spans="1:6" x14ac:dyDescent="0.35">
      <c r="A795" t="s">
        <v>871</v>
      </c>
      <c r="B795">
        <v>1726</v>
      </c>
      <c r="C795" t="s">
        <v>1075</v>
      </c>
      <c r="D795">
        <v>50</v>
      </c>
      <c r="E795" t="s">
        <v>12</v>
      </c>
      <c r="F795">
        <v>50</v>
      </c>
    </row>
    <row r="796" spans="1:6" x14ac:dyDescent="0.35">
      <c r="A796" t="s">
        <v>872</v>
      </c>
      <c r="B796">
        <v>1726</v>
      </c>
      <c r="C796" t="s">
        <v>1076</v>
      </c>
      <c r="D796">
        <v>50</v>
      </c>
      <c r="E796" t="s">
        <v>12</v>
      </c>
      <c r="F796">
        <v>50</v>
      </c>
    </row>
    <row r="797" spans="1:6" x14ac:dyDescent="0.35">
      <c r="A797" t="s">
        <v>873</v>
      </c>
      <c r="B797">
        <v>1727</v>
      </c>
      <c r="C797" t="s">
        <v>1073</v>
      </c>
      <c r="D797">
        <v>200</v>
      </c>
      <c r="E797" t="s">
        <v>12</v>
      </c>
      <c r="F797">
        <v>200</v>
      </c>
    </row>
    <row r="798" spans="1:6" x14ac:dyDescent="0.35">
      <c r="A798" t="s">
        <v>874</v>
      </c>
      <c r="B798">
        <v>1727</v>
      </c>
      <c r="C798" t="s">
        <v>1074</v>
      </c>
      <c r="D798">
        <v>200</v>
      </c>
      <c r="E798" t="s">
        <v>12</v>
      </c>
      <c r="F798">
        <v>200</v>
      </c>
    </row>
    <row r="799" spans="1:6" x14ac:dyDescent="0.35">
      <c r="A799" t="s">
        <v>875</v>
      </c>
      <c r="B799">
        <v>1727</v>
      </c>
      <c r="C799" t="s">
        <v>1075</v>
      </c>
      <c r="D799">
        <v>200</v>
      </c>
      <c r="E799" t="s">
        <v>12</v>
      </c>
      <c r="F799">
        <v>200</v>
      </c>
    </row>
    <row r="800" spans="1:6" x14ac:dyDescent="0.35">
      <c r="A800" t="s">
        <v>876</v>
      </c>
      <c r="B800">
        <v>1727</v>
      </c>
      <c r="C800" t="s">
        <v>1076</v>
      </c>
      <c r="D800">
        <v>200</v>
      </c>
      <c r="E800" t="s">
        <v>12</v>
      </c>
      <c r="F800">
        <v>200</v>
      </c>
    </row>
    <row r="801" spans="1:6" x14ac:dyDescent="0.35">
      <c r="A801" t="s">
        <v>877</v>
      </c>
      <c r="B801">
        <v>1727</v>
      </c>
      <c r="C801" t="s">
        <v>1079</v>
      </c>
      <c r="D801">
        <v>200</v>
      </c>
      <c r="E801" t="s">
        <v>12</v>
      </c>
      <c r="F801">
        <v>200</v>
      </c>
    </row>
    <row r="802" spans="1:6" x14ac:dyDescent="0.35">
      <c r="A802" t="s">
        <v>878</v>
      </c>
      <c r="B802">
        <v>1727</v>
      </c>
      <c r="C802" t="s">
        <v>1080</v>
      </c>
      <c r="D802">
        <v>200</v>
      </c>
      <c r="E802" t="s">
        <v>12</v>
      </c>
      <c r="F802">
        <v>200</v>
      </c>
    </row>
    <row r="803" spans="1:6" x14ac:dyDescent="0.35">
      <c r="A803" t="s">
        <v>879</v>
      </c>
      <c r="B803">
        <v>1736</v>
      </c>
      <c r="C803" t="s">
        <v>1072</v>
      </c>
      <c r="D803">
        <v>500</v>
      </c>
      <c r="E803" t="s">
        <v>12</v>
      </c>
      <c r="F803">
        <v>500</v>
      </c>
    </row>
    <row r="804" spans="1:6" x14ac:dyDescent="0.35">
      <c r="A804" t="s">
        <v>880</v>
      </c>
      <c r="B804">
        <v>1736</v>
      </c>
      <c r="C804" t="s">
        <v>1073</v>
      </c>
      <c r="D804">
        <v>500</v>
      </c>
      <c r="E804" t="s">
        <v>12</v>
      </c>
      <c r="F804">
        <v>500</v>
      </c>
    </row>
    <row r="805" spans="1:6" x14ac:dyDescent="0.35">
      <c r="A805" t="s">
        <v>881</v>
      </c>
      <c r="B805">
        <v>1736</v>
      </c>
      <c r="C805" t="s">
        <v>1074</v>
      </c>
      <c r="D805">
        <v>500</v>
      </c>
      <c r="E805" t="s">
        <v>12</v>
      </c>
      <c r="F805">
        <v>500</v>
      </c>
    </row>
    <row r="806" spans="1:6" x14ac:dyDescent="0.35">
      <c r="A806" t="s">
        <v>882</v>
      </c>
      <c r="B806">
        <v>1737</v>
      </c>
      <c r="C806" t="s">
        <v>1081</v>
      </c>
      <c r="D806">
        <v>200</v>
      </c>
      <c r="E806" t="s">
        <v>12</v>
      </c>
      <c r="F806">
        <v>200</v>
      </c>
    </row>
    <row r="807" spans="1:6" x14ac:dyDescent="0.35">
      <c r="A807" t="s">
        <v>883</v>
      </c>
      <c r="B807">
        <v>1737</v>
      </c>
      <c r="C807" t="s">
        <v>1084</v>
      </c>
      <c r="D807">
        <v>200</v>
      </c>
      <c r="E807" t="s">
        <v>12</v>
      </c>
      <c r="F807">
        <v>200</v>
      </c>
    </row>
    <row r="808" spans="1:6" x14ac:dyDescent="0.35">
      <c r="A808" t="s">
        <v>884</v>
      </c>
      <c r="B808">
        <v>1737</v>
      </c>
      <c r="C808" t="s">
        <v>1082</v>
      </c>
      <c r="D808">
        <v>200</v>
      </c>
      <c r="E808" t="s">
        <v>12</v>
      </c>
      <c r="F808">
        <v>200</v>
      </c>
    </row>
    <row r="809" spans="1:6" x14ac:dyDescent="0.35">
      <c r="A809" t="s">
        <v>885</v>
      </c>
      <c r="B809">
        <v>1737</v>
      </c>
      <c r="C809" t="s">
        <v>1083</v>
      </c>
      <c r="D809">
        <v>200</v>
      </c>
      <c r="E809" t="s">
        <v>12</v>
      </c>
      <c r="F809">
        <v>200</v>
      </c>
    </row>
    <row r="810" spans="1:6" x14ac:dyDescent="0.35">
      <c r="A810" t="s">
        <v>886</v>
      </c>
      <c r="B810">
        <v>1737</v>
      </c>
      <c r="C810" t="s">
        <v>1070</v>
      </c>
      <c r="D810">
        <v>200</v>
      </c>
      <c r="E810" t="s">
        <v>12</v>
      </c>
      <c r="F810">
        <v>200</v>
      </c>
    </row>
    <row r="811" spans="1:6" x14ac:dyDescent="0.35">
      <c r="A811" t="s">
        <v>887</v>
      </c>
      <c r="B811">
        <v>1747</v>
      </c>
      <c r="C811" t="s">
        <v>1078</v>
      </c>
      <c r="D811">
        <v>200</v>
      </c>
      <c r="E811" t="s">
        <v>12</v>
      </c>
      <c r="F811">
        <v>200</v>
      </c>
    </row>
    <row r="812" spans="1:6" x14ac:dyDescent="0.35">
      <c r="A812" t="s">
        <v>888</v>
      </c>
      <c r="B812">
        <v>1747</v>
      </c>
      <c r="C812" t="s">
        <v>1081</v>
      </c>
      <c r="D812">
        <v>200</v>
      </c>
      <c r="E812" t="s">
        <v>12</v>
      </c>
      <c r="F812">
        <v>200</v>
      </c>
    </row>
    <row r="813" spans="1:6" x14ac:dyDescent="0.35">
      <c r="A813" t="s">
        <v>889</v>
      </c>
      <c r="B813">
        <v>1747</v>
      </c>
      <c r="C813" t="s">
        <v>1084</v>
      </c>
      <c r="D813">
        <v>200</v>
      </c>
      <c r="E813" t="s">
        <v>12</v>
      </c>
      <c r="F813">
        <v>200</v>
      </c>
    </row>
    <row r="814" spans="1:6" x14ac:dyDescent="0.35">
      <c r="A814" t="s">
        <v>890</v>
      </c>
      <c r="B814">
        <v>1750</v>
      </c>
      <c r="C814" t="s">
        <v>1070</v>
      </c>
      <c r="D814">
        <v>500</v>
      </c>
      <c r="E814" t="s">
        <v>12</v>
      </c>
      <c r="F814">
        <v>500</v>
      </c>
    </row>
    <row r="815" spans="1:6" x14ac:dyDescent="0.35">
      <c r="A815" t="s">
        <v>891</v>
      </c>
      <c r="B815">
        <v>1750</v>
      </c>
      <c r="C815" t="s">
        <v>1071</v>
      </c>
      <c r="D815">
        <v>500</v>
      </c>
      <c r="E815" t="s">
        <v>12</v>
      </c>
      <c r="F815">
        <v>500</v>
      </c>
    </row>
    <row r="816" spans="1:6" x14ac:dyDescent="0.35">
      <c r="A816" t="s">
        <v>892</v>
      </c>
      <c r="B816">
        <v>1750</v>
      </c>
      <c r="C816" t="s">
        <v>1072</v>
      </c>
      <c r="D816">
        <v>500</v>
      </c>
      <c r="E816" t="s">
        <v>12</v>
      </c>
      <c r="F816">
        <v>500</v>
      </c>
    </row>
    <row r="817" spans="1:6" x14ac:dyDescent="0.35">
      <c r="A817" t="s">
        <v>893</v>
      </c>
      <c r="B817">
        <v>1750</v>
      </c>
      <c r="C817" t="s">
        <v>1073</v>
      </c>
      <c r="D817">
        <v>500</v>
      </c>
      <c r="E817" t="s">
        <v>12</v>
      </c>
      <c r="F817">
        <v>500</v>
      </c>
    </row>
    <row r="818" spans="1:6" x14ac:dyDescent="0.35">
      <c r="A818" t="s">
        <v>894</v>
      </c>
      <c r="B818">
        <v>1750</v>
      </c>
      <c r="C818" t="s">
        <v>1074</v>
      </c>
      <c r="D818">
        <v>500</v>
      </c>
      <c r="E818" t="s">
        <v>12</v>
      </c>
      <c r="F818">
        <v>500</v>
      </c>
    </row>
    <row r="819" spans="1:6" x14ac:dyDescent="0.35">
      <c r="A819" t="s">
        <v>895</v>
      </c>
      <c r="B819">
        <v>1750</v>
      </c>
      <c r="C819" t="s">
        <v>1075</v>
      </c>
      <c r="D819">
        <v>500</v>
      </c>
      <c r="E819" t="s">
        <v>12</v>
      </c>
      <c r="F819">
        <v>500</v>
      </c>
    </row>
    <row r="820" spans="1:6" x14ac:dyDescent="0.35">
      <c r="A820" t="s">
        <v>896</v>
      </c>
      <c r="B820">
        <v>1750</v>
      </c>
      <c r="C820" t="s">
        <v>1076</v>
      </c>
      <c r="D820">
        <v>500</v>
      </c>
      <c r="E820" t="s">
        <v>12</v>
      </c>
      <c r="F820">
        <v>500</v>
      </c>
    </row>
    <row r="821" spans="1:6" x14ac:dyDescent="0.35">
      <c r="A821" t="s">
        <v>897</v>
      </c>
      <c r="B821">
        <v>1759</v>
      </c>
      <c r="C821" t="s">
        <v>1078</v>
      </c>
      <c r="D821">
        <v>200</v>
      </c>
      <c r="E821" t="s">
        <v>12</v>
      </c>
      <c r="F821">
        <v>200</v>
      </c>
    </row>
    <row r="822" spans="1:6" x14ac:dyDescent="0.35">
      <c r="A822" t="s">
        <v>898</v>
      </c>
      <c r="B822">
        <v>1759</v>
      </c>
      <c r="C822" t="s">
        <v>1081</v>
      </c>
      <c r="D822">
        <v>200</v>
      </c>
      <c r="E822" t="s">
        <v>12</v>
      </c>
      <c r="F822">
        <v>200</v>
      </c>
    </row>
    <row r="823" spans="1:6" x14ac:dyDescent="0.35">
      <c r="A823" t="s">
        <v>899</v>
      </c>
      <c r="B823">
        <v>1759</v>
      </c>
      <c r="C823" t="s">
        <v>1084</v>
      </c>
      <c r="D823">
        <v>200</v>
      </c>
      <c r="E823" t="s">
        <v>12</v>
      </c>
      <c r="F823">
        <v>200</v>
      </c>
    </row>
    <row r="824" spans="1:6" x14ac:dyDescent="0.35">
      <c r="A824" t="s">
        <v>900</v>
      </c>
      <c r="B824">
        <v>1759</v>
      </c>
      <c r="C824" t="s">
        <v>1082</v>
      </c>
      <c r="D824">
        <v>200</v>
      </c>
      <c r="E824" t="s">
        <v>12</v>
      </c>
      <c r="F824">
        <v>200</v>
      </c>
    </row>
    <row r="825" spans="1:6" x14ac:dyDescent="0.35">
      <c r="A825" t="s">
        <v>901</v>
      </c>
      <c r="B825">
        <v>1759</v>
      </c>
      <c r="C825" t="s">
        <v>1083</v>
      </c>
      <c r="D825">
        <v>200</v>
      </c>
      <c r="E825" t="s">
        <v>12</v>
      </c>
      <c r="F825">
        <v>200</v>
      </c>
    </row>
    <row r="826" spans="1:6" x14ac:dyDescent="0.35">
      <c r="A826" t="s">
        <v>902</v>
      </c>
      <c r="B826">
        <v>1759</v>
      </c>
      <c r="C826" t="s">
        <v>1070</v>
      </c>
      <c r="D826">
        <v>200</v>
      </c>
      <c r="E826" t="s">
        <v>12</v>
      </c>
      <c r="F826">
        <v>200</v>
      </c>
    </row>
    <row r="827" spans="1:6" x14ac:dyDescent="0.35">
      <c r="A827" t="s">
        <v>903</v>
      </c>
      <c r="B827">
        <v>1759</v>
      </c>
      <c r="C827" t="s">
        <v>1071</v>
      </c>
      <c r="D827">
        <v>200</v>
      </c>
      <c r="E827" t="s">
        <v>12</v>
      </c>
      <c r="F827">
        <v>200</v>
      </c>
    </row>
    <row r="828" spans="1:6" x14ac:dyDescent="0.35">
      <c r="A828" t="s">
        <v>904</v>
      </c>
      <c r="B828">
        <v>1759</v>
      </c>
      <c r="C828" t="s">
        <v>1072</v>
      </c>
      <c r="D828">
        <v>200</v>
      </c>
      <c r="E828" t="s">
        <v>12</v>
      </c>
      <c r="F828">
        <v>200</v>
      </c>
    </row>
    <row r="829" spans="1:6" x14ac:dyDescent="0.35">
      <c r="A829" t="s">
        <v>905</v>
      </c>
      <c r="B829">
        <v>1764</v>
      </c>
      <c r="C829" t="s">
        <v>1072</v>
      </c>
      <c r="D829">
        <v>500</v>
      </c>
      <c r="E829" t="s">
        <v>12</v>
      </c>
      <c r="F829">
        <v>500</v>
      </c>
    </row>
    <row r="830" spans="1:6" x14ac:dyDescent="0.35">
      <c r="A830" t="s">
        <v>906</v>
      </c>
      <c r="B830">
        <v>1764</v>
      </c>
      <c r="C830" t="s">
        <v>1073</v>
      </c>
      <c r="D830">
        <v>500</v>
      </c>
      <c r="E830" t="s">
        <v>12</v>
      </c>
      <c r="F830">
        <v>500</v>
      </c>
    </row>
    <row r="831" spans="1:6" x14ac:dyDescent="0.35">
      <c r="A831" t="s">
        <v>907</v>
      </c>
      <c r="B831">
        <v>1765</v>
      </c>
      <c r="C831" t="s">
        <v>1081</v>
      </c>
      <c r="D831">
        <v>50</v>
      </c>
      <c r="E831" t="s">
        <v>12</v>
      </c>
      <c r="F831">
        <v>50</v>
      </c>
    </row>
    <row r="832" spans="1:6" x14ac:dyDescent="0.35">
      <c r="A832" t="s">
        <v>908</v>
      </c>
      <c r="B832">
        <v>1765</v>
      </c>
      <c r="C832" t="s">
        <v>1084</v>
      </c>
      <c r="D832">
        <v>50</v>
      </c>
      <c r="E832" t="s">
        <v>12</v>
      </c>
      <c r="F832">
        <v>50</v>
      </c>
    </row>
    <row r="833" spans="1:6" x14ac:dyDescent="0.35">
      <c r="A833" t="s">
        <v>909</v>
      </c>
      <c r="B833">
        <v>1765</v>
      </c>
      <c r="C833" t="s">
        <v>1082</v>
      </c>
      <c r="D833">
        <v>50</v>
      </c>
      <c r="E833" t="s">
        <v>12</v>
      </c>
      <c r="F833">
        <v>50</v>
      </c>
    </row>
    <row r="834" spans="1:6" x14ac:dyDescent="0.35">
      <c r="A834" t="s">
        <v>910</v>
      </c>
      <c r="B834">
        <v>1765</v>
      </c>
      <c r="C834" t="s">
        <v>1083</v>
      </c>
      <c r="D834">
        <v>50</v>
      </c>
      <c r="E834" t="s">
        <v>12</v>
      </c>
      <c r="F834">
        <v>50</v>
      </c>
    </row>
    <row r="835" spans="1:6" x14ac:dyDescent="0.35">
      <c r="A835" t="s">
        <v>911</v>
      </c>
      <c r="B835">
        <v>1765</v>
      </c>
      <c r="C835" t="s">
        <v>1070</v>
      </c>
      <c r="D835">
        <v>50</v>
      </c>
      <c r="E835" t="s">
        <v>12</v>
      </c>
      <c r="F835">
        <v>50</v>
      </c>
    </row>
    <row r="836" spans="1:6" x14ac:dyDescent="0.35">
      <c r="A836" t="s">
        <v>912</v>
      </c>
      <c r="B836">
        <v>1765</v>
      </c>
      <c r="C836" t="s">
        <v>1071</v>
      </c>
      <c r="D836">
        <v>50</v>
      </c>
      <c r="E836" t="s">
        <v>12</v>
      </c>
      <c r="F836">
        <v>50</v>
      </c>
    </row>
    <row r="837" spans="1:6" x14ac:dyDescent="0.35">
      <c r="A837" t="s">
        <v>913</v>
      </c>
      <c r="B837">
        <v>1767</v>
      </c>
      <c r="C837" t="s">
        <v>1072</v>
      </c>
      <c r="D837">
        <v>200</v>
      </c>
      <c r="E837" t="s">
        <v>12</v>
      </c>
      <c r="F837">
        <v>200</v>
      </c>
    </row>
    <row r="838" spans="1:6" x14ac:dyDescent="0.35">
      <c r="A838" t="s">
        <v>914</v>
      </c>
      <c r="B838">
        <v>1767</v>
      </c>
      <c r="C838" t="s">
        <v>1073</v>
      </c>
      <c r="D838">
        <v>200</v>
      </c>
      <c r="E838" t="s">
        <v>12</v>
      </c>
      <c r="F838">
        <v>200</v>
      </c>
    </row>
    <row r="839" spans="1:6" x14ac:dyDescent="0.35">
      <c r="A839" t="s">
        <v>915</v>
      </c>
      <c r="B839">
        <v>1767</v>
      </c>
      <c r="C839" t="s">
        <v>1074</v>
      </c>
      <c r="D839">
        <v>200</v>
      </c>
      <c r="E839" t="s">
        <v>12</v>
      </c>
      <c r="F839">
        <v>200</v>
      </c>
    </row>
    <row r="840" spans="1:6" x14ac:dyDescent="0.35">
      <c r="A840" t="s">
        <v>916</v>
      </c>
      <c r="B840">
        <v>1767</v>
      </c>
      <c r="C840" t="s">
        <v>1075</v>
      </c>
      <c r="D840">
        <v>200</v>
      </c>
      <c r="E840" t="s">
        <v>12</v>
      </c>
      <c r="F840">
        <v>200</v>
      </c>
    </row>
    <row r="841" spans="1:6" x14ac:dyDescent="0.35">
      <c r="A841" t="s">
        <v>917</v>
      </c>
      <c r="B841">
        <v>1768</v>
      </c>
      <c r="C841" t="s">
        <v>1080</v>
      </c>
      <c r="D841">
        <v>200</v>
      </c>
      <c r="E841" t="s">
        <v>12</v>
      </c>
      <c r="F841">
        <v>200</v>
      </c>
    </row>
    <row r="842" spans="1:6" x14ac:dyDescent="0.35">
      <c r="A842" t="s">
        <v>918</v>
      </c>
      <c r="B842">
        <v>1791</v>
      </c>
      <c r="C842" t="s">
        <v>1079</v>
      </c>
      <c r="D842">
        <v>200</v>
      </c>
      <c r="E842" t="s">
        <v>12</v>
      </c>
      <c r="F842">
        <v>200</v>
      </c>
    </row>
    <row r="843" spans="1:6" x14ac:dyDescent="0.35">
      <c r="A843" t="s">
        <v>919</v>
      </c>
      <c r="B843">
        <v>1806</v>
      </c>
      <c r="C843" t="s">
        <v>1072</v>
      </c>
      <c r="D843">
        <v>500</v>
      </c>
      <c r="E843" t="s">
        <v>12</v>
      </c>
      <c r="F843">
        <v>500</v>
      </c>
    </row>
    <row r="844" spans="1:6" x14ac:dyDescent="0.35">
      <c r="A844" t="s">
        <v>920</v>
      </c>
      <c r="B844">
        <v>1806</v>
      </c>
      <c r="C844" t="s">
        <v>1073</v>
      </c>
      <c r="D844">
        <v>500</v>
      </c>
      <c r="E844" t="s">
        <v>12</v>
      </c>
      <c r="F844">
        <v>500</v>
      </c>
    </row>
    <row r="845" spans="1:6" x14ac:dyDescent="0.35">
      <c r="A845" t="s">
        <v>921</v>
      </c>
      <c r="B845">
        <v>1806</v>
      </c>
      <c r="C845" t="s">
        <v>1074</v>
      </c>
      <c r="D845">
        <v>500</v>
      </c>
      <c r="E845" t="s">
        <v>12</v>
      </c>
      <c r="F845">
        <v>500</v>
      </c>
    </row>
    <row r="846" spans="1:6" x14ac:dyDescent="0.35">
      <c r="A846" t="s">
        <v>922</v>
      </c>
      <c r="B846">
        <v>1806</v>
      </c>
      <c r="C846" t="s">
        <v>1075</v>
      </c>
      <c r="D846">
        <v>500</v>
      </c>
      <c r="E846" t="s">
        <v>12</v>
      </c>
      <c r="F846">
        <v>500</v>
      </c>
    </row>
    <row r="847" spans="1:6" x14ac:dyDescent="0.35">
      <c r="A847" t="s">
        <v>923</v>
      </c>
      <c r="B847">
        <v>1807</v>
      </c>
      <c r="C847" t="s">
        <v>1072</v>
      </c>
      <c r="D847">
        <v>50</v>
      </c>
      <c r="E847" t="s">
        <v>12</v>
      </c>
      <c r="F847">
        <v>50</v>
      </c>
    </row>
    <row r="848" spans="1:6" x14ac:dyDescent="0.35">
      <c r="A848" t="s">
        <v>924</v>
      </c>
      <c r="B848">
        <v>1807</v>
      </c>
      <c r="C848" t="s">
        <v>1073</v>
      </c>
      <c r="D848">
        <v>50</v>
      </c>
      <c r="E848" t="s">
        <v>12</v>
      </c>
      <c r="F848">
        <v>50</v>
      </c>
    </row>
    <row r="849" spans="1:6" x14ac:dyDescent="0.35">
      <c r="A849" t="s">
        <v>925</v>
      </c>
      <c r="B849">
        <v>1807</v>
      </c>
      <c r="C849" t="s">
        <v>1074</v>
      </c>
      <c r="D849">
        <v>50</v>
      </c>
      <c r="E849" t="s">
        <v>12</v>
      </c>
      <c r="F849">
        <v>50</v>
      </c>
    </row>
    <row r="850" spans="1:6" x14ac:dyDescent="0.35">
      <c r="A850" t="s">
        <v>926</v>
      </c>
      <c r="B850">
        <v>1807</v>
      </c>
      <c r="C850" t="s">
        <v>1075</v>
      </c>
      <c r="D850">
        <v>50</v>
      </c>
      <c r="E850" t="s">
        <v>12</v>
      </c>
      <c r="F850">
        <v>50</v>
      </c>
    </row>
    <row r="851" spans="1:6" x14ac:dyDescent="0.35">
      <c r="A851" t="s">
        <v>927</v>
      </c>
      <c r="B851">
        <v>1810</v>
      </c>
      <c r="C851" t="s">
        <v>1072</v>
      </c>
      <c r="D851">
        <v>500</v>
      </c>
      <c r="E851" t="s">
        <v>12</v>
      </c>
      <c r="F851">
        <v>500</v>
      </c>
    </row>
    <row r="852" spans="1:6" x14ac:dyDescent="0.35">
      <c r="A852" t="s">
        <v>928</v>
      </c>
      <c r="B852">
        <v>1810</v>
      </c>
      <c r="C852" t="s">
        <v>1073</v>
      </c>
      <c r="D852">
        <v>500</v>
      </c>
      <c r="E852" t="s">
        <v>12</v>
      </c>
      <c r="F852">
        <v>500</v>
      </c>
    </row>
    <row r="853" spans="1:6" x14ac:dyDescent="0.35">
      <c r="A853" t="s">
        <v>929</v>
      </c>
      <c r="B853">
        <v>1810</v>
      </c>
      <c r="C853" t="s">
        <v>1074</v>
      </c>
      <c r="D853">
        <v>500</v>
      </c>
      <c r="E853" t="s">
        <v>12</v>
      </c>
      <c r="F853">
        <v>500</v>
      </c>
    </row>
    <row r="854" spans="1:6" x14ac:dyDescent="0.35">
      <c r="A854" t="s">
        <v>930</v>
      </c>
      <c r="B854">
        <v>1810</v>
      </c>
      <c r="C854" t="s">
        <v>1075</v>
      </c>
      <c r="D854">
        <v>500</v>
      </c>
      <c r="E854" t="s">
        <v>12</v>
      </c>
      <c r="F854">
        <v>500</v>
      </c>
    </row>
    <row r="855" spans="1:6" x14ac:dyDescent="0.35">
      <c r="A855" t="s">
        <v>931</v>
      </c>
      <c r="B855">
        <v>1817</v>
      </c>
      <c r="C855" t="s">
        <v>1077</v>
      </c>
      <c r="D855">
        <v>500</v>
      </c>
      <c r="E855" t="s">
        <v>12</v>
      </c>
      <c r="F855">
        <v>500</v>
      </c>
    </row>
    <row r="856" spans="1:6" x14ac:dyDescent="0.35">
      <c r="A856" t="s">
        <v>932</v>
      </c>
      <c r="B856">
        <v>1817</v>
      </c>
      <c r="C856" t="s">
        <v>1078</v>
      </c>
      <c r="D856">
        <v>500</v>
      </c>
      <c r="E856" t="s">
        <v>12</v>
      </c>
      <c r="F856">
        <v>500</v>
      </c>
    </row>
    <row r="857" spans="1:6" x14ac:dyDescent="0.35">
      <c r="A857" t="s">
        <v>933</v>
      </c>
      <c r="B857">
        <v>1822</v>
      </c>
      <c r="C857" t="s">
        <v>1074</v>
      </c>
      <c r="D857">
        <v>50</v>
      </c>
      <c r="E857" t="s">
        <v>12</v>
      </c>
      <c r="F857">
        <v>50</v>
      </c>
    </row>
    <row r="858" spans="1:6" x14ac:dyDescent="0.35">
      <c r="A858" t="s">
        <v>934</v>
      </c>
      <c r="B858">
        <v>1822</v>
      </c>
      <c r="C858" t="s">
        <v>1075</v>
      </c>
      <c r="D858">
        <v>50</v>
      </c>
      <c r="E858" t="s">
        <v>12</v>
      </c>
      <c r="F858">
        <v>50</v>
      </c>
    </row>
    <row r="859" spans="1:6" x14ac:dyDescent="0.35">
      <c r="A859" t="s">
        <v>935</v>
      </c>
      <c r="B859">
        <v>1824</v>
      </c>
      <c r="C859" t="s">
        <v>1079</v>
      </c>
      <c r="D859">
        <v>200</v>
      </c>
      <c r="E859" t="s">
        <v>12</v>
      </c>
      <c r="F859">
        <v>200</v>
      </c>
    </row>
    <row r="860" spans="1:6" x14ac:dyDescent="0.35">
      <c r="A860" t="s">
        <v>936</v>
      </c>
      <c r="B860">
        <v>1834</v>
      </c>
      <c r="C860" t="s">
        <v>1075</v>
      </c>
      <c r="D860">
        <v>200</v>
      </c>
      <c r="E860" t="s">
        <v>12</v>
      </c>
      <c r="F860">
        <v>200</v>
      </c>
    </row>
    <row r="861" spans="1:6" x14ac:dyDescent="0.35">
      <c r="A861" t="s">
        <v>937</v>
      </c>
      <c r="B861">
        <v>1834</v>
      </c>
      <c r="C861" t="s">
        <v>1076</v>
      </c>
      <c r="D861">
        <v>200</v>
      </c>
      <c r="E861" t="s">
        <v>12</v>
      </c>
      <c r="F861">
        <v>200</v>
      </c>
    </row>
    <row r="862" spans="1:6" x14ac:dyDescent="0.35">
      <c r="A862" t="s">
        <v>938</v>
      </c>
      <c r="B862">
        <v>1834</v>
      </c>
      <c r="C862" t="s">
        <v>1079</v>
      </c>
      <c r="D862">
        <v>200</v>
      </c>
      <c r="E862" t="s">
        <v>12</v>
      </c>
      <c r="F862">
        <v>200</v>
      </c>
    </row>
    <row r="863" spans="1:6" x14ac:dyDescent="0.35">
      <c r="A863" t="s">
        <v>939</v>
      </c>
      <c r="B863">
        <v>1844</v>
      </c>
      <c r="C863" t="s">
        <v>1086</v>
      </c>
      <c r="D863">
        <v>50</v>
      </c>
      <c r="E863" t="s">
        <v>12</v>
      </c>
      <c r="F863">
        <v>50</v>
      </c>
    </row>
    <row r="864" spans="1:6" x14ac:dyDescent="0.35">
      <c r="A864" t="s">
        <v>940</v>
      </c>
      <c r="B864">
        <v>1844</v>
      </c>
      <c r="C864" t="s">
        <v>1087</v>
      </c>
      <c r="D864">
        <v>50</v>
      </c>
      <c r="E864" t="s">
        <v>12</v>
      </c>
      <c r="F864">
        <v>50</v>
      </c>
    </row>
    <row r="865" spans="1:6" x14ac:dyDescent="0.35">
      <c r="A865" t="s">
        <v>941</v>
      </c>
      <c r="B865">
        <v>1844</v>
      </c>
      <c r="C865" t="s">
        <v>1077</v>
      </c>
      <c r="D865">
        <v>50</v>
      </c>
      <c r="E865" t="s">
        <v>12</v>
      </c>
      <c r="F865">
        <v>50</v>
      </c>
    </row>
    <row r="866" spans="1:6" x14ac:dyDescent="0.35">
      <c r="A866" t="s">
        <v>942</v>
      </c>
      <c r="B866">
        <v>1844</v>
      </c>
      <c r="C866" t="s">
        <v>1078</v>
      </c>
      <c r="D866">
        <v>50</v>
      </c>
      <c r="E866" t="s">
        <v>12</v>
      </c>
      <c r="F866">
        <v>50</v>
      </c>
    </row>
    <row r="867" spans="1:6" x14ac:dyDescent="0.35">
      <c r="A867" t="s">
        <v>943</v>
      </c>
      <c r="B867">
        <v>1844</v>
      </c>
      <c r="C867" t="s">
        <v>1081</v>
      </c>
      <c r="D867">
        <v>50</v>
      </c>
      <c r="E867" t="s">
        <v>12</v>
      </c>
      <c r="F867">
        <v>50</v>
      </c>
    </row>
    <row r="868" spans="1:6" x14ac:dyDescent="0.35">
      <c r="A868" t="s">
        <v>944</v>
      </c>
      <c r="B868">
        <v>1844</v>
      </c>
      <c r="C868" t="s">
        <v>1084</v>
      </c>
      <c r="D868">
        <v>50</v>
      </c>
      <c r="E868" t="s">
        <v>12</v>
      </c>
      <c r="F868">
        <v>50</v>
      </c>
    </row>
    <row r="869" spans="1:6" x14ac:dyDescent="0.35">
      <c r="A869" t="s">
        <v>945</v>
      </c>
      <c r="B869">
        <v>1844</v>
      </c>
      <c r="C869" t="s">
        <v>1082</v>
      </c>
      <c r="D869">
        <v>50</v>
      </c>
      <c r="E869" t="s">
        <v>12</v>
      </c>
      <c r="F869">
        <v>50</v>
      </c>
    </row>
    <row r="870" spans="1:6" x14ac:dyDescent="0.35">
      <c r="A870" t="s">
        <v>946</v>
      </c>
      <c r="B870">
        <v>1844</v>
      </c>
      <c r="C870" t="s">
        <v>1083</v>
      </c>
      <c r="D870">
        <v>50</v>
      </c>
      <c r="E870" t="s">
        <v>12</v>
      </c>
      <c r="F870">
        <v>50</v>
      </c>
    </row>
    <row r="871" spans="1:6" x14ac:dyDescent="0.35">
      <c r="A871" t="s">
        <v>947</v>
      </c>
      <c r="B871">
        <v>1844</v>
      </c>
      <c r="C871" t="s">
        <v>1070</v>
      </c>
      <c r="D871">
        <v>50</v>
      </c>
      <c r="E871" t="s">
        <v>12</v>
      </c>
      <c r="F871">
        <v>50</v>
      </c>
    </row>
    <row r="872" spans="1:6" x14ac:dyDescent="0.35">
      <c r="A872" t="s">
        <v>948</v>
      </c>
      <c r="B872">
        <v>1844</v>
      </c>
      <c r="C872" t="s">
        <v>1071</v>
      </c>
      <c r="D872">
        <v>50</v>
      </c>
      <c r="E872" t="s">
        <v>12</v>
      </c>
      <c r="F872">
        <v>50</v>
      </c>
    </row>
    <row r="873" spans="1:6" x14ac:dyDescent="0.35">
      <c r="A873" t="s">
        <v>949</v>
      </c>
      <c r="B873">
        <v>1844</v>
      </c>
      <c r="C873" t="s">
        <v>1072</v>
      </c>
      <c r="D873">
        <v>50</v>
      </c>
      <c r="E873" t="s">
        <v>12</v>
      </c>
      <c r="F873">
        <v>50</v>
      </c>
    </row>
    <row r="874" spans="1:6" x14ac:dyDescent="0.35">
      <c r="A874" t="s">
        <v>950</v>
      </c>
      <c r="B874">
        <v>1844</v>
      </c>
      <c r="C874" t="s">
        <v>1073</v>
      </c>
      <c r="D874">
        <v>50</v>
      </c>
      <c r="E874" t="s">
        <v>12</v>
      </c>
      <c r="F874">
        <v>50</v>
      </c>
    </row>
    <row r="875" spans="1:6" x14ac:dyDescent="0.35">
      <c r="A875" t="s">
        <v>951</v>
      </c>
      <c r="B875">
        <v>1844</v>
      </c>
      <c r="C875" t="s">
        <v>1074</v>
      </c>
      <c r="D875">
        <v>50</v>
      </c>
      <c r="E875" t="s">
        <v>12</v>
      </c>
      <c r="F875">
        <v>50</v>
      </c>
    </row>
    <row r="876" spans="1:6" x14ac:dyDescent="0.35">
      <c r="A876" t="s">
        <v>952</v>
      </c>
      <c r="B876">
        <v>1844</v>
      </c>
      <c r="C876" t="s">
        <v>1075</v>
      </c>
      <c r="D876">
        <v>50</v>
      </c>
      <c r="E876" t="s">
        <v>12</v>
      </c>
      <c r="F876">
        <v>50</v>
      </c>
    </row>
    <row r="877" spans="1:6" x14ac:dyDescent="0.35">
      <c r="A877" t="s">
        <v>953</v>
      </c>
      <c r="B877">
        <v>1876</v>
      </c>
      <c r="C877" t="s">
        <v>1072</v>
      </c>
      <c r="D877">
        <v>50</v>
      </c>
      <c r="E877" t="s">
        <v>12</v>
      </c>
      <c r="F877">
        <v>50</v>
      </c>
    </row>
    <row r="878" spans="1:6" x14ac:dyDescent="0.35">
      <c r="A878" t="s">
        <v>954</v>
      </c>
      <c r="B878">
        <v>1876</v>
      </c>
      <c r="C878" t="s">
        <v>1073</v>
      </c>
      <c r="D878">
        <v>50</v>
      </c>
      <c r="E878" t="s">
        <v>12</v>
      </c>
      <c r="F878">
        <v>50</v>
      </c>
    </row>
    <row r="879" spans="1:6" x14ac:dyDescent="0.35">
      <c r="A879" t="s">
        <v>955</v>
      </c>
      <c r="B879">
        <v>1876</v>
      </c>
      <c r="C879" t="s">
        <v>1074</v>
      </c>
      <c r="D879">
        <v>50</v>
      </c>
      <c r="E879" t="s">
        <v>12</v>
      </c>
      <c r="F879">
        <v>50</v>
      </c>
    </row>
    <row r="880" spans="1:6" x14ac:dyDescent="0.35">
      <c r="A880" t="s">
        <v>956</v>
      </c>
      <c r="B880">
        <v>1876</v>
      </c>
      <c r="C880" t="s">
        <v>1075</v>
      </c>
      <c r="D880">
        <v>50</v>
      </c>
      <c r="E880" t="s">
        <v>12</v>
      </c>
      <c r="F880">
        <v>50</v>
      </c>
    </row>
    <row r="881" spans="1:6" x14ac:dyDescent="0.35">
      <c r="A881" t="s">
        <v>957</v>
      </c>
      <c r="B881">
        <v>1876</v>
      </c>
      <c r="C881" t="s">
        <v>1076</v>
      </c>
      <c r="D881">
        <v>50</v>
      </c>
      <c r="E881" t="s">
        <v>12</v>
      </c>
      <c r="F881">
        <v>50</v>
      </c>
    </row>
    <row r="882" spans="1:6" x14ac:dyDescent="0.35">
      <c r="A882" t="s">
        <v>958</v>
      </c>
      <c r="B882">
        <v>1876</v>
      </c>
      <c r="C882" t="s">
        <v>1079</v>
      </c>
      <c r="D882">
        <v>50</v>
      </c>
      <c r="E882" t="s">
        <v>12</v>
      </c>
      <c r="F882">
        <v>50</v>
      </c>
    </row>
    <row r="883" spans="1:6" x14ac:dyDescent="0.35">
      <c r="A883" t="s">
        <v>959</v>
      </c>
      <c r="B883">
        <v>1883</v>
      </c>
      <c r="C883" t="s">
        <v>1074</v>
      </c>
      <c r="D883">
        <v>50</v>
      </c>
      <c r="E883" t="s">
        <v>12</v>
      </c>
      <c r="F883">
        <v>50</v>
      </c>
    </row>
    <row r="884" spans="1:6" x14ac:dyDescent="0.35">
      <c r="A884" t="s">
        <v>960</v>
      </c>
      <c r="B884">
        <v>1883</v>
      </c>
      <c r="C884" t="s">
        <v>1075</v>
      </c>
      <c r="D884">
        <v>50</v>
      </c>
      <c r="E884" t="s">
        <v>12</v>
      </c>
      <c r="F884">
        <v>50</v>
      </c>
    </row>
    <row r="885" spans="1:6" x14ac:dyDescent="0.35">
      <c r="A885" t="s">
        <v>961</v>
      </c>
      <c r="B885">
        <v>1889</v>
      </c>
      <c r="C885" t="s">
        <v>1085</v>
      </c>
      <c r="D885">
        <v>50</v>
      </c>
      <c r="E885" t="s">
        <v>12</v>
      </c>
      <c r="F885">
        <v>50</v>
      </c>
    </row>
    <row r="886" spans="1:6" x14ac:dyDescent="0.35">
      <c r="A886" t="s">
        <v>962</v>
      </c>
      <c r="B886">
        <v>1889</v>
      </c>
      <c r="C886" t="s">
        <v>1086</v>
      </c>
      <c r="D886">
        <v>50</v>
      </c>
      <c r="E886" t="s">
        <v>12</v>
      </c>
      <c r="F886">
        <v>50</v>
      </c>
    </row>
    <row r="887" spans="1:6" x14ac:dyDescent="0.35">
      <c r="A887" t="s">
        <v>963</v>
      </c>
      <c r="B887">
        <v>1889</v>
      </c>
      <c r="C887" t="s">
        <v>1087</v>
      </c>
      <c r="D887">
        <v>50</v>
      </c>
      <c r="E887" t="s">
        <v>12</v>
      </c>
      <c r="F887">
        <v>50</v>
      </c>
    </row>
    <row r="888" spans="1:6" x14ac:dyDescent="0.35">
      <c r="A888" t="s">
        <v>964</v>
      </c>
      <c r="B888">
        <v>1889</v>
      </c>
      <c r="C888" t="s">
        <v>1077</v>
      </c>
      <c r="D888">
        <v>50</v>
      </c>
      <c r="E888" t="s">
        <v>12</v>
      </c>
      <c r="F888">
        <v>50</v>
      </c>
    </row>
    <row r="889" spans="1:6" x14ac:dyDescent="0.35">
      <c r="A889" t="s">
        <v>965</v>
      </c>
      <c r="B889">
        <v>1889</v>
      </c>
      <c r="C889" t="s">
        <v>1078</v>
      </c>
      <c r="D889">
        <v>50</v>
      </c>
      <c r="E889" t="s">
        <v>12</v>
      </c>
      <c r="F889">
        <v>50</v>
      </c>
    </row>
    <row r="890" spans="1:6" x14ac:dyDescent="0.35">
      <c r="A890" t="s">
        <v>966</v>
      </c>
      <c r="B890">
        <v>1889</v>
      </c>
      <c r="C890" t="s">
        <v>1081</v>
      </c>
      <c r="D890">
        <v>50</v>
      </c>
      <c r="E890" t="s">
        <v>12</v>
      </c>
      <c r="F890">
        <v>50</v>
      </c>
    </row>
    <row r="891" spans="1:6" x14ac:dyDescent="0.35">
      <c r="A891" t="s">
        <v>967</v>
      </c>
      <c r="B891">
        <v>1889</v>
      </c>
      <c r="C891" t="s">
        <v>1084</v>
      </c>
      <c r="D891">
        <v>50</v>
      </c>
      <c r="E891" t="s">
        <v>12</v>
      </c>
      <c r="F891">
        <v>50</v>
      </c>
    </row>
    <row r="892" spans="1:6" x14ac:dyDescent="0.35">
      <c r="A892" t="s">
        <v>968</v>
      </c>
      <c r="B892">
        <v>1889</v>
      </c>
      <c r="C892" t="s">
        <v>1082</v>
      </c>
      <c r="D892">
        <v>50</v>
      </c>
      <c r="E892" t="s">
        <v>12</v>
      </c>
      <c r="F892">
        <v>50</v>
      </c>
    </row>
    <row r="893" spans="1:6" x14ac:dyDescent="0.35">
      <c r="A893" t="s">
        <v>969</v>
      </c>
      <c r="B893">
        <v>1889</v>
      </c>
      <c r="C893" t="s">
        <v>1083</v>
      </c>
      <c r="D893">
        <v>50</v>
      </c>
      <c r="E893" t="s">
        <v>12</v>
      </c>
      <c r="F893">
        <v>50</v>
      </c>
    </row>
    <row r="894" spans="1:6" x14ac:dyDescent="0.35">
      <c r="A894" t="s">
        <v>970</v>
      </c>
      <c r="B894">
        <v>1889</v>
      </c>
      <c r="C894" t="s">
        <v>1070</v>
      </c>
      <c r="D894">
        <v>50</v>
      </c>
      <c r="E894" t="s">
        <v>12</v>
      </c>
      <c r="F894">
        <v>50</v>
      </c>
    </row>
    <row r="895" spans="1:6" x14ac:dyDescent="0.35">
      <c r="A895" t="s">
        <v>971</v>
      </c>
      <c r="B895">
        <v>1896</v>
      </c>
      <c r="C895" t="s">
        <v>1075</v>
      </c>
      <c r="D895">
        <v>50</v>
      </c>
      <c r="E895" t="s">
        <v>12</v>
      </c>
      <c r="F895">
        <v>50</v>
      </c>
    </row>
    <row r="896" spans="1:6" x14ac:dyDescent="0.35">
      <c r="A896" t="s">
        <v>972</v>
      </c>
      <c r="B896">
        <v>1896</v>
      </c>
      <c r="C896" t="s">
        <v>1076</v>
      </c>
      <c r="D896">
        <v>50</v>
      </c>
      <c r="E896" t="s">
        <v>12</v>
      </c>
      <c r="F896">
        <v>50</v>
      </c>
    </row>
    <row r="897" spans="1:6" x14ac:dyDescent="0.35">
      <c r="A897" t="s">
        <v>973</v>
      </c>
      <c r="B897">
        <v>1896</v>
      </c>
      <c r="C897" t="s">
        <v>1079</v>
      </c>
      <c r="D897">
        <v>50</v>
      </c>
      <c r="E897" t="s">
        <v>12</v>
      </c>
      <c r="F897">
        <v>50</v>
      </c>
    </row>
    <row r="898" spans="1:6" x14ac:dyDescent="0.35">
      <c r="A898" t="s">
        <v>974</v>
      </c>
      <c r="B898">
        <v>1896</v>
      </c>
      <c r="C898" t="s">
        <v>1080</v>
      </c>
      <c r="D898">
        <v>50</v>
      </c>
      <c r="E898" t="s">
        <v>12</v>
      </c>
      <c r="F898">
        <v>50</v>
      </c>
    </row>
    <row r="899" spans="1:6" x14ac:dyDescent="0.35">
      <c r="A899" t="s">
        <v>975</v>
      </c>
      <c r="B899">
        <v>1899</v>
      </c>
      <c r="C899" t="s">
        <v>1085</v>
      </c>
      <c r="D899">
        <v>200</v>
      </c>
      <c r="E899" t="s">
        <v>12</v>
      </c>
      <c r="F899">
        <v>200</v>
      </c>
    </row>
    <row r="900" spans="1:6" x14ac:dyDescent="0.35">
      <c r="A900" t="s">
        <v>976</v>
      </c>
      <c r="B900">
        <v>1899</v>
      </c>
      <c r="C900" t="s">
        <v>1086</v>
      </c>
      <c r="D900">
        <v>200</v>
      </c>
      <c r="E900" t="s">
        <v>12</v>
      </c>
      <c r="F900">
        <v>200</v>
      </c>
    </row>
    <row r="901" spans="1:6" x14ac:dyDescent="0.35">
      <c r="A901" t="s">
        <v>977</v>
      </c>
      <c r="B901">
        <v>1899</v>
      </c>
      <c r="C901" t="s">
        <v>1087</v>
      </c>
      <c r="D901">
        <v>200</v>
      </c>
      <c r="E901" t="s">
        <v>12</v>
      </c>
      <c r="F901">
        <v>200</v>
      </c>
    </row>
    <row r="902" spans="1:6" x14ac:dyDescent="0.35">
      <c r="A902" t="s">
        <v>978</v>
      </c>
      <c r="B902">
        <v>1899</v>
      </c>
      <c r="C902" t="s">
        <v>1077</v>
      </c>
      <c r="D902">
        <v>200</v>
      </c>
      <c r="E902" t="s">
        <v>12</v>
      </c>
      <c r="F902">
        <v>200</v>
      </c>
    </row>
    <row r="903" spans="1:6" x14ac:dyDescent="0.35">
      <c r="A903" t="s">
        <v>979</v>
      </c>
      <c r="B903">
        <v>1899</v>
      </c>
      <c r="C903" t="s">
        <v>1078</v>
      </c>
      <c r="D903">
        <v>200</v>
      </c>
      <c r="E903" t="s">
        <v>12</v>
      </c>
      <c r="F903">
        <v>200</v>
      </c>
    </row>
    <row r="904" spans="1:6" x14ac:dyDescent="0.35">
      <c r="A904" t="s">
        <v>980</v>
      </c>
      <c r="B904">
        <v>1899</v>
      </c>
      <c r="C904" t="s">
        <v>1081</v>
      </c>
      <c r="D904">
        <v>200</v>
      </c>
      <c r="E904" t="s">
        <v>12</v>
      </c>
      <c r="F904">
        <v>200</v>
      </c>
    </row>
    <row r="905" spans="1:6" x14ac:dyDescent="0.35">
      <c r="A905" t="s">
        <v>981</v>
      </c>
      <c r="B905">
        <v>1899</v>
      </c>
      <c r="C905" t="s">
        <v>1084</v>
      </c>
      <c r="D905">
        <v>200</v>
      </c>
      <c r="E905" t="s">
        <v>12</v>
      </c>
      <c r="F905">
        <v>200</v>
      </c>
    </row>
    <row r="906" spans="1:6" x14ac:dyDescent="0.35">
      <c r="A906" t="s">
        <v>982</v>
      </c>
      <c r="B906">
        <v>1899</v>
      </c>
      <c r="C906" t="s">
        <v>1082</v>
      </c>
      <c r="D906">
        <v>200</v>
      </c>
      <c r="E906" t="s">
        <v>12</v>
      </c>
      <c r="F906">
        <v>200</v>
      </c>
    </row>
    <row r="907" spans="1:6" x14ac:dyDescent="0.35">
      <c r="A907" t="s">
        <v>983</v>
      </c>
      <c r="B907">
        <v>1899</v>
      </c>
      <c r="C907" t="s">
        <v>1083</v>
      </c>
      <c r="D907">
        <v>200</v>
      </c>
      <c r="E907" t="s">
        <v>12</v>
      </c>
      <c r="F907">
        <v>200</v>
      </c>
    </row>
    <row r="908" spans="1:6" x14ac:dyDescent="0.35">
      <c r="A908" t="s">
        <v>984</v>
      </c>
      <c r="B908">
        <v>1899</v>
      </c>
      <c r="C908" t="s">
        <v>1070</v>
      </c>
      <c r="D908">
        <v>200</v>
      </c>
      <c r="E908" t="s">
        <v>12</v>
      </c>
      <c r="F908">
        <v>200</v>
      </c>
    </row>
    <row r="909" spans="1:6" x14ac:dyDescent="0.35">
      <c r="A909" t="s">
        <v>985</v>
      </c>
      <c r="B909">
        <v>1899</v>
      </c>
      <c r="C909" t="s">
        <v>1071</v>
      </c>
      <c r="D909">
        <v>200</v>
      </c>
      <c r="E909" t="s">
        <v>12</v>
      </c>
      <c r="F909">
        <v>200</v>
      </c>
    </row>
    <row r="910" spans="1:6" x14ac:dyDescent="0.35">
      <c r="A910" t="s">
        <v>986</v>
      </c>
      <c r="B910">
        <v>1899</v>
      </c>
      <c r="C910" t="s">
        <v>1072</v>
      </c>
      <c r="D910">
        <v>200</v>
      </c>
      <c r="E910" t="s">
        <v>12</v>
      </c>
      <c r="F910">
        <v>200</v>
      </c>
    </row>
    <row r="911" spans="1:6" x14ac:dyDescent="0.35">
      <c r="A911" t="s">
        <v>987</v>
      </c>
      <c r="B911">
        <v>1900</v>
      </c>
      <c r="C911" t="s">
        <v>1075</v>
      </c>
      <c r="D911">
        <v>50</v>
      </c>
      <c r="E911" t="s">
        <v>12</v>
      </c>
      <c r="F911">
        <v>50</v>
      </c>
    </row>
    <row r="912" spans="1:6" x14ac:dyDescent="0.35">
      <c r="A912" t="s">
        <v>988</v>
      </c>
      <c r="B912">
        <v>1900</v>
      </c>
      <c r="C912" t="s">
        <v>1076</v>
      </c>
      <c r="D912">
        <v>50</v>
      </c>
      <c r="E912" t="s">
        <v>12</v>
      </c>
      <c r="F912">
        <v>50</v>
      </c>
    </row>
    <row r="913" spans="1:6" x14ac:dyDescent="0.35">
      <c r="A913" t="s">
        <v>989</v>
      </c>
      <c r="B913">
        <v>1918</v>
      </c>
      <c r="C913" t="s">
        <v>1081</v>
      </c>
      <c r="D913">
        <v>200</v>
      </c>
      <c r="E913" t="s">
        <v>12</v>
      </c>
      <c r="F913">
        <v>200</v>
      </c>
    </row>
    <row r="914" spans="1:6" x14ac:dyDescent="0.35">
      <c r="A914" t="s">
        <v>990</v>
      </c>
      <c r="B914">
        <v>1918</v>
      </c>
      <c r="C914" t="s">
        <v>1084</v>
      </c>
      <c r="D914">
        <v>200</v>
      </c>
      <c r="E914" t="s">
        <v>12</v>
      </c>
      <c r="F914">
        <v>200</v>
      </c>
    </row>
    <row r="915" spans="1:6" x14ac:dyDescent="0.35">
      <c r="A915" t="s">
        <v>991</v>
      </c>
      <c r="B915">
        <v>1918</v>
      </c>
      <c r="C915" t="s">
        <v>1082</v>
      </c>
      <c r="D915">
        <v>200</v>
      </c>
      <c r="E915" t="s">
        <v>12</v>
      </c>
      <c r="F915">
        <v>200</v>
      </c>
    </row>
    <row r="916" spans="1:6" x14ac:dyDescent="0.35">
      <c r="A916" t="s">
        <v>992</v>
      </c>
      <c r="B916">
        <v>1918</v>
      </c>
      <c r="C916" t="s">
        <v>1083</v>
      </c>
      <c r="D916">
        <v>200</v>
      </c>
      <c r="E916" t="s">
        <v>12</v>
      </c>
      <c r="F916">
        <v>200</v>
      </c>
    </row>
    <row r="917" spans="1:6" x14ac:dyDescent="0.35">
      <c r="A917" t="s">
        <v>993</v>
      </c>
      <c r="B917">
        <v>1918</v>
      </c>
      <c r="C917" t="s">
        <v>1070</v>
      </c>
      <c r="D917">
        <v>200</v>
      </c>
      <c r="E917" t="s">
        <v>12</v>
      </c>
      <c r="F917">
        <v>200</v>
      </c>
    </row>
    <row r="918" spans="1:6" x14ac:dyDescent="0.35">
      <c r="A918" t="s">
        <v>994</v>
      </c>
      <c r="B918">
        <v>1918</v>
      </c>
      <c r="C918" t="s">
        <v>1071</v>
      </c>
      <c r="D918">
        <v>200</v>
      </c>
      <c r="E918" t="s">
        <v>12</v>
      </c>
      <c r="F918">
        <v>200</v>
      </c>
    </row>
    <row r="919" spans="1:6" x14ac:dyDescent="0.35">
      <c r="A919" t="s">
        <v>995</v>
      </c>
      <c r="B919">
        <v>1924</v>
      </c>
      <c r="C919" t="s">
        <v>1070</v>
      </c>
      <c r="D919">
        <v>50</v>
      </c>
      <c r="E919" t="s">
        <v>12</v>
      </c>
      <c r="F919">
        <v>50</v>
      </c>
    </row>
    <row r="920" spans="1:6" x14ac:dyDescent="0.35">
      <c r="A920" t="s">
        <v>996</v>
      </c>
      <c r="B920">
        <v>1924</v>
      </c>
      <c r="C920" t="s">
        <v>1071</v>
      </c>
      <c r="D920">
        <v>50</v>
      </c>
      <c r="E920" t="s">
        <v>12</v>
      </c>
      <c r="F920">
        <v>50</v>
      </c>
    </row>
    <row r="921" spans="1:6" x14ac:dyDescent="0.35">
      <c r="A921" t="s">
        <v>997</v>
      </c>
      <c r="B921">
        <v>1924</v>
      </c>
      <c r="C921" t="s">
        <v>1072</v>
      </c>
      <c r="D921">
        <v>50</v>
      </c>
      <c r="E921" t="s">
        <v>12</v>
      </c>
      <c r="F921">
        <v>50</v>
      </c>
    </row>
    <row r="922" spans="1:6" x14ac:dyDescent="0.35">
      <c r="A922" t="s">
        <v>998</v>
      </c>
      <c r="B922">
        <v>1924</v>
      </c>
      <c r="C922" t="s">
        <v>1073</v>
      </c>
      <c r="D922">
        <v>50</v>
      </c>
      <c r="E922" t="s">
        <v>12</v>
      </c>
      <c r="F922">
        <v>50</v>
      </c>
    </row>
    <row r="923" spans="1:6" x14ac:dyDescent="0.35">
      <c r="A923" t="s">
        <v>999</v>
      </c>
      <c r="B923">
        <v>1924</v>
      </c>
      <c r="C923" t="s">
        <v>1074</v>
      </c>
      <c r="D923">
        <v>50</v>
      </c>
      <c r="E923" t="s">
        <v>12</v>
      </c>
      <c r="F923">
        <v>50</v>
      </c>
    </row>
    <row r="924" spans="1:6" x14ac:dyDescent="0.35">
      <c r="A924" t="s">
        <v>1000</v>
      </c>
      <c r="B924">
        <v>1924</v>
      </c>
      <c r="C924" t="s">
        <v>1075</v>
      </c>
      <c r="D924">
        <v>50</v>
      </c>
      <c r="E924" t="s">
        <v>12</v>
      </c>
      <c r="F924">
        <v>50</v>
      </c>
    </row>
    <row r="925" spans="1:6" x14ac:dyDescent="0.35">
      <c r="A925" t="s">
        <v>1001</v>
      </c>
      <c r="B925">
        <v>1924</v>
      </c>
      <c r="C925" t="s">
        <v>1076</v>
      </c>
      <c r="D925">
        <v>50</v>
      </c>
      <c r="E925" t="s">
        <v>12</v>
      </c>
      <c r="F925">
        <v>50</v>
      </c>
    </row>
    <row r="926" spans="1:6" x14ac:dyDescent="0.35">
      <c r="A926" t="s">
        <v>1002</v>
      </c>
      <c r="B926">
        <v>1924</v>
      </c>
      <c r="C926" t="s">
        <v>1079</v>
      </c>
      <c r="D926">
        <v>50</v>
      </c>
      <c r="E926" t="s">
        <v>12</v>
      </c>
      <c r="F926">
        <v>50</v>
      </c>
    </row>
    <row r="927" spans="1:6" x14ac:dyDescent="0.35">
      <c r="A927" t="s">
        <v>1003</v>
      </c>
      <c r="B927">
        <v>1929</v>
      </c>
      <c r="C927" t="s">
        <v>1083</v>
      </c>
      <c r="D927">
        <v>500</v>
      </c>
      <c r="E927" t="s">
        <v>12</v>
      </c>
      <c r="F927">
        <v>500</v>
      </c>
    </row>
    <row r="928" spans="1:6" x14ac:dyDescent="0.35">
      <c r="A928" t="s">
        <v>1004</v>
      </c>
      <c r="B928">
        <v>1929</v>
      </c>
      <c r="C928" t="s">
        <v>1070</v>
      </c>
      <c r="D928">
        <v>500</v>
      </c>
      <c r="E928" t="s">
        <v>12</v>
      </c>
      <c r="F928">
        <v>500</v>
      </c>
    </row>
    <row r="929" spans="1:6" x14ac:dyDescent="0.35">
      <c r="A929" t="s">
        <v>1005</v>
      </c>
      <c r="B929">
        <v>1929</v>
      </c>
      <c r="C929" t="s">
        <v>1071</v>
      </c>
      <c r="D929">
        <v>500</v>
      </c>
      <c r="E929" t="s">
        <v>12</v>
      </c>
      <c r="F929">
        <v>500</v>
      </c>
    </row>
    <row r="930" spans="1:6" x14ac:dyDescent="0.35">
      <c r="A930" t="s">
        <v>1006</v>
      </c>
      <c r="B930">
        <v>1951</v>
      </c>
      <c r="C930" t="s">
        <v>1078</v>
      </c>
      <c r="D930">
        <v>50</v>
      </c>
      <c r="E930" t="s">
        <v>12</v>
      </c>
      <c r="F930">
        <v>50</v>
      </c>
    </row>
    <row r="931" spans="1:6" x14ac:dyDescent="0.35">
      <c r="A931" t="s">
        <v>1007</v>
      </c>
      <c r="B931">
        <v>1951</v>
      </c>
      <c r="C931" t="s">
        <v>1081</v>
      </c>
      <c r="D931">
        <v>50</v>
      </c>
      <c r="E931" t="s">
        <v>12</v>
      </c>
      <c r="F931">
        <v>50</v>
      </c>
    </row>
    <row r="932" spans="1:6" x14ac:dyDescent="0.35">
      <c r="A932" t="s">
        <v>1008</v>
      </c>
      <c r="B932">
        <v>1951</v>
      </c>
      <c r="C932" t="s">
        <v>1084</v>
      </c>
      <c r="D932">
        <v>50</v>
      </c>
      <c r="E932" t="s">
        <v>12</v>
      </c>
      <c r="F932">
        <v>50</v>
      </c>
    </row>
    <row r="933" spans="1:6" x14ac:dyDescent="0.35">
      <c r="A933" t="s">
        <v>1009</v>
      </c>
      <c r="B933">
        <v>1951</v>
      </c>
      <c r="C933" t="s">
        <v>1082</v>
      </c>
      <c r="D933">
        <v>50</v>
      </c>
      <c r="E933" t="s">
        <v>12</v>
      </c>
      <c r="F933">
        <v>50</v>
      </c>
    </row>
    <row r="934" spans="1:6" x14ac:dyDescent="0.35">
      <c r="A934" t="s">
        <v>1010</v>
      </c>
      <c r="B934">
        <v>1951</v>
      </c>
      <c r="C934" t="s">
        <v>1083</v>
      </c>
      <c r="D934">
        <v>50</v>
      </c>
      <c r="E934" t="s">
        <v>12</v>
      </c>
      <c r="F934">
        <v>50</v>
      </c>
    </row>
    <row r="935" spans="1:6" x14ac:dyDescent="0.35">
      <c r="A935" t="s">
        <v>1011</v>
      </c>
      <c r="B935">
        <v>1951</v>
      </c>
      <c r="C935" t="s">
        <v>1070</v>
      </c>
      <c r="D935">
        <v>50</v>
      </c>
      <c r="E935" t="s">
        <v>12</v>
      </c>
      <c r="F935">
        <v>50</v>
      </c>
    </row>
    <row r="936" spans="1:6" x14ac:dyDescent="0.35">
      <c r="A936" t="s">
        <v>1012</v>
      </c>
      <c r="B936">
        <v>1953</v>
      </c>
      <c r="C936" t="s">
        <v>1080</v>
      </c>
      <c r="D936">
        <v>50</v>
      </c>
      <c r="E936" t="s">
        <v>12</v>
      </c>
      <c r="F936">
        <v>50</v>
      </c>
    </row>
    <row r="937" spans="1:6" x14ac:dyDescent="0.35">
      <c r="A937" t="s">
        <v>1013</v>
      </c>
      <c r="B937">
        <v>1965</v>
      </c>
      <c r="C937" t="s">
        <v>1085</v>
      </c>
      <c r="D937">
        <v>50</v>
      </c>
      <c r="E937" t="s">
        <v>12</v>
      </c>
      <c r="F937">
        <v>50</v>
      </c>
    </row>
    <row r="938" spans="1:6" x14ac:dyDescent="0.35">
      <c r="A938" t="s">
        <v>1014</v>
      </c>
      <c r="B938">
        <v>1965</v>
      </c>
      <c r="C938" t="s">
        <v>1086</v>
      </c>
      <c r="D938">
        <v>50</v>
      </c>
      <c r="E938" t="s">
        <v>12</v>
      </c>
      <c r="F938">
        <v>50</v>
      </c>
    </row>
    <row r="939" spans="1:6" x14ac:dyDescent="0.35">
      <c r="A939" t="s">
        <v>1015</v>
      </c>
      <c r="B939">
        <v>1965</v>
      </c>
      <c r="C939" t="s">
        <v>1087</v>
      </c>
      <c r="D939">
        <v>50</v>
      </c>
      <c r="E939" t="s">
        <v>12</v>
      </c>
      <c r="F939">
        <v>50</v>
      </c>
    </row>
    <row r="940" spans="1:6" x14ac:dyDescent="0.35">
      <c r="A940" t="s">
        <v>1016</v>
      </c>
      <c r="B940">
        <v>1965</v>
      </c>
      <c r="C940" t="s">
        <v>1077</v>
      </c>
      <c r="D940">
        <v>50</v>
      </c>
      <c r="E940" t="s">
        <v>12</v>
      </c>
      <c r="F940">
        <v>50</v>
      </c>
    </row>
    <row r="941" spans="1:6" x14ac:dyDescent="0.35">
      <c r="A941" t="s">
        <v>1017</v>
      </c>
      <c r="B941">
        <v>1965</v>
      </c>
      <c r="C941" t="s">
        <v>1078</v>
      </c>
      <c r="D941">
        <v>50</v>
      </c>
      <c r="E941" t="s">
        <v>12</v>
      </c>
      <c r="F941">
        <v>50</v>
      </c>
    </row>
    <row r="942" spans="1:6" x14ac:dyDescent="0.35">
      <c r="A942" t="s">
        <v>1018</v>
      </c>
      <c r="B942">
        <v>1965</v>
      </c>
      <c r="C942" t="s">
        <v>1081</v>
      </c>
      <c r="D942">
        <v>50</v>
      </c>
      <c r="E942" t="s">
        <v>12</v>
      </c>
      <c r="F942">
        <v>50</v>
      </c>
    </row>
    <row r="943" spans="1:6" x14ac:dyDescent="0.35">
      <c r="A943" t="s">
        <v>1019</v>
      </c>
      <c r="B943">
        <v>1965</v>
      </c>
      <c r="C943" t="s">
        <v>1084</v>
      </c>
      <c r="D943">
        <v>50</v>
      </c>
      <c r="E943" t="s">
        <v>12</v>
      </c>
      <c r="F943">
        <v>50</v>
      </c>
    </row>
    <row r="944" spans="1:6" x14ac:dyDescent="0.35">
      <c r="A944" t="s">
        <v>1020</v>
      </c>
      <c r="B944">
        <v>1965</v>
      </c>
      <c r="C944" t="s">
        <v>1082</v>
      </c>
      <c r="D944">
        <v>50</v>
      </c>
      <c r="E944" t="s">
        <v>12</v>
      </c>
      <c r="F944">
        <v>50</v>
      </c>
    </row>
    <row r="945" spans="1:6" x14ac:dyDescent="0.35">
      <c r="A945" t="s">
        <v>1021</v>
      </c>
      <c r="B945">
        <v>1965</v>
      </c>
      <c r="C945" t="s">
        <v>1083</v>
      </c>
      <c r="D945">
        <v>50</v>
      </c>
      <c r="E945" t="s">
        <v>12</v>
      </c>
      <c r="F945">
        <v>50</v>
      </c>
    </row>
    <row r="946" spans="1:6" x14ac:dyDescent="0.35">
      <c r="A946" t="s">
        <v>1022</v>
      </c>
      <c r="B946">
        <v>1965</v>
      </c>
      <c r="C946" t="s">
        <v>1070</v>
      </c>
      <c r="D946">
        <v>50</v>
      </c>
      <c r="E946" t="s">
        <v>12</v>
      </c>
      <c r="F946">
        <v>50</v>
      </c>
    </row>
    <row r="947" spans="1:6" x14ac:dyDescent="0.35">
      <c r="A947" t="s">
        <v>1023</v>
      </c>
      <c r="B947">
        <v>1965</v>
      </c>
      <c r="C947" t="s">
        <v>1071</v>
      </c>
      <c r="D947">
        <v>50</v>
      </c>
      <c r="E947" t="s">
        <v>12</v>
      </c>
      <c r="F947">
        <v>50</v>
      </c>
    </row>
    <row r="948" spans="1:6" x14ac:dyDescent="0.35">
      <c r="A948" t="s">
        <v>1024</v>
      </c>
      <c r="B948">
        <v>1965</v>
      </c>
      <c r="C948" t="s">
        <v>1072</v>
      </c>
      <c r="D948">
        <v>50</v>
      </c>
      <c r="E948" t="s">
        <v>12</v>
      </c>
      <c r="F948">
        <v>50</v>
      </c>
    </row>
    <row r="949" spans="1:6" x14ac:dyDescent="0.35">
      <c r="A949" t="s">
        <v>1025</v>
      </c>
      <c r="B949">
        <v>1965</v>
      </c>
      <c r="C949" t="s">
        <v>1073</v>
      </c>
      <c r="D949">
        <v>50</v>
      </c>
      <c r="E949" t="s">
        <v>12</v>
      </c>
      <c r="F949">
        <v>50</v>
      </c>
    </row>
    <row r="950" spans="1:6" x14ac:dyDescent="0.35">
      <c r="A950" t="s">
        <v>1026</v>
      </c>
      <c r="B950">
        <v>1965</v>
      </c>
      <c r="C950" t="s">
        <v>1074</v>
      </c>
      <c r="D950">
        <v>50</v>
      </c>
      <c r="E950" t="s">
        <v>12</v>
      </c>
      <c r="F950">
        <v>50</v>
      </c>
    </row>
    <row r="951" spans="1:6" x14ac:dyDescent="0.35">
      <c r="A951" t="s">
        <v>1027</v>
      </c>
      <c r="B951">
        <v>1965</v>
      </c>
      <c r="C951" t="s">
        <v>1075</v>
      </c>
      <c r="D951">
        <v>50</v>
      </c>
      <c r="E951" t="s">
        <v>12</v>
      </c>
      <c r="F951">
        <v>50</v>
      </c>
    </row>
    <row r="952" spans="1:6" x14ac:dyDescent="0.35">
      <c r="A952" t="s">
        <v>1028</v>
      </c>
      <c r="B952">
        <v>1965</v>
      </c>
      <c r="C952" t="s">
        <v>1076</v>
      </c>
      <c r="D952">
        <v>50</v>
      </c>
      <c r="E952" t="s">
        <v>12</v>
      </c>
      <c r="F952">
        <v>50</v>
      </c>
    </row>
    <row r="953" spans="1:6" x14ac:dyDescent="0.35">
      <c r="A953" t="s">
        <v>1029</v>
      </c>
      <c r="B953">
        <v>1965</v>
      </c>
      <c r="C953" t="s">
        <v>1079</v>
      </c>
      <c r="D953">
        <v>50</v>
      </c>
      <c r="E953" t="s">
        <v>12</v>
      </c>
      <c r="F953">
        <v>50</v>
      </c>
    </row>
    <row r="954" spans="1:6" x14ac:dyDescent="0.35">
      <c r="A954" t="s">
        <v>1030</v>
      </c>
      <c r="B954">
        <v>1970</v>
      </c>
      <c r="C954" t="s">
        <v>1072</v>
      </c>
      <c r="D954">
        <v>200</v>
      </c>
      <c r="E954" t="s">
        <v>12</v>
      </c>
      <c r="F954">
        <v>200</v>
      </c>
    </row>
    <row r="955" spans="1:6" x14ac:dyDescent="0.35">
      <c r="A955" t="s">
        <v>1031</v>
      </c>
      <c r="B955">
        <v>1970</v>
      </c>
      <c r="C955" t="s">
        <v>1073</v>
      </c>
      <c r="D955">
        <v>200</v>
      </c>
      <c r="E955" t="s">
        <v>12</v>
      </c>
      <c r="F955">
        <v>200</v>
      </c>
    </row>
    <row r="956" spans="1:6" x14ac:dyDescent="0.35">
      <c r="A956" t="s">
        <v>1032</v>
      </c>
      <c r="B956">
        <v>1970</v>
      </c>
      <c r="C956" t="s">
        <v>1074</v>
      </c>
      <c r="D956">
        <v>200</v>
      </c>
      <c r="E956" t="s">
        <v>12</v>
      </c>
      <c r="F956">
        <v>200</v>
      </c>
    </row>
    <row r="957" spans="1:6" x14ac:dyDescent="0.35">
      <c r="A957" t="s">
        <v>1033</v>
      </c>
      <c r="B957">
        <v>1970</v>
      </c>
      <c r="C957" t="s">
        <v>1075</v>
      </c>
      <c r="D957">
        <v>200</v>
      </c>
      <c r="E957" t="s">
        <v>12</v>
      </c>
      <c r="F957">
        <v>200</v>
      </c>
    </row>
    <row r="958" spans="1:6" x14ac:dyDescent="0.35">
      <c r="A958" t="s">
        <v>1034</v>
      </c>
      <c r="B958">
        <v>1970</v>
      </c>
      <c r="C958" t="s">
        <v>1076</v>
      </c>
      <c r="D958">
        <v>200</v>
      </c>
      <c r="E958" t="s">
        <v>12</v>
      </c>
      <c r="F958">
        <v>200</v>
      </c>
    </row>
    <row r="959" spans="1:6" x14ac:dyDescent="0.35">
      <c r="A959" t="s">
        <v>1035</v>
      </c>
      <c r="B959">
        <v>1970</v>
      </c>
      <c r="C959" t="s">
        <v>1079</v>
      </c>
      <c r="D959">
        <v>200</v>
      </c>
      <c r="E959" t="s">
        <v>12</v>
      </c>
      <c r="F959">
        <v>200</v>
      </c>
    </row>
    <row r="960" spans="1:6" x14ac:dyDescent="0.35">
      <c r="A960" t="s">
        <v>1036</v>
      </c>
      <c r="B960">
        <v>1970</v>
      </c>
      <c r="C960" t="s">
        <v>1080</v>
      </c>
      <c r="D960">
        <v>200</v>
      </c>
      <c r="E960" t="s">
        <v>12</v>
      </c>
      <c r="F960">
        <v>200</v>
      </c>
    </row>
    <row r="961" spans="1:6" x14ac:dyDescent="0.35">
      <c r="A961" t="s">
        <v>1037</v>
      </c>
      <c r="B961">
        <v>1975</v>
      </c>
      <c r="C961" t="s">
        <v>1086</v>
      </c>
      <c r="D961">
        <v>50</v>
      </c>
      <c r="E961" t="s">
        <v>12</v>
      </c>
      <c r="F961">
        <v>50</v>
      </c>
    </row>
    <row r="962" spans="1:6" x14ac:dyDescent="0.35">
      <c r="A962" t="s">
        <v>1038</v>
      </c>
      <c r="B962">
        <v>1975</v>
      </c>
      <c r="C962" t="s">
        <v>1087</v>
      </c>
      <c r="D962">
        <v>50</v>
      </c>
      <c r="E962" t="s">
        <v>12</v>
      </c>
      <c r="F962">
        <v>50</v>
      </c>
    </row>
    <row r="963" spans="1:6" x14ac:dyDescent="0.35">
      <c r="A963" t="s">
        <v>1039</v>
      </c>
      <c r="B963">
        <v>1975</v>
      </c>
      <c r="C963" t="s">
        <v>1077</v>
      </c>
      <c r="D963">
        <v>50</v>
      </c>
      <c r="E963" t="s">
        <v>12</v>
      </c>
      <c r="F963">
        <v>50</v>
      </c>
    </row>
    <row r="964" spans="1:6" x14ac:dyDescent="0.35">
      <c r="A964" t="s">
        <v>1040</v>
      </c>
      <c r="B964">
        <v>1975</v>
      </c>
      <c r="C964" t="s">
        <v>1078</v>
      </c>
      <c r="D964">
        <v>50</v>
      </c>
      <c r="E964" t="s">
        <v>12</v>
      </c>
      <c r="F964">
        <v>50</v>
      </c>
    </row>
    <row r="965" spans="1:6" x14ac:dyDescent="0.35">
      <c r="A965" t="s">
        <v>1041</v>
      </c>
      <c r="B965">
        <v>1975</v>
      </c>
      <c r="C965" t="s">
        <v>1081</v>
      </c>
      <c r="D965">
        <v>50</v>
      </c>
      <c r="E965" t="s">
        <v>12</v>
      </c>
      <c r="F965">
        <v>50</v>
      </c>
    </row>
    <row r="966" spans="1:6" x14ac:dyDescent="0.35">
      <c r="A966" t="s">
        <v>1042</v>
      </c>
      <c r="B966">
        <v>1982</v>
      </c>
      <c r="C966" t="s">
        <v>1081</v>
      </c>
      <c r="D966">
        <v>50</v>
      </c>
      <c r="E966" t="s">
        <v>12</v>
      </c>
      <c r="F966">
        <v>50</v>
      </c>
    </row>
    <row r="967" spans="1:6" x14ac:dyDescent="0.35">
      <c r="A967" t="s">
        <v>1043</v>
      </c>
      <c r="B967">
        <v>1982</v>
      </c>
      <c r="C967" t="s">
        <v>1084</v>
      </c>
      <c r="D967">
        <v>50</v>
      </c>
      <c r="E967" t="s">
        <v>12</v>
      </c>
      <c r="F967">
        <v>50</v>
      </c>
    </row>
    <row r="968" spans="1:6" x14ac:dyDescent="0.35">
      <c r="A968" t="s">
        <v>1044</v>
      </c>
      <c r="B968">
        <v>1982</v>
      </c>
      <c r="C968" t="s">
        <v>1082</v>
      </c>
      <c r="D968">
        <v>50</v>
      </c>
      <c r="E968" t="s">
        <v>12</v>
      </c>
      <c r="F968">
        <v>50</v>
      </c>
    </row>
    <row r="969" spans="1:6" x14ac:dyDescent="0.35">
      <c r="A969" t="s">
        <v>1045</v>
      </c>
      <c r="B969">
        <v>1982</v>
      </c>
      <c r="C969" t="s">
        <v>1083</v>
      </c>
      <c r="D969">
        <v>50</v>
      </c>
      <c r="E969" t="s">
        <v>12</v>
      </c>
      <c r="F969">
        <v>50</v>
      </c>
    </row>
    <row r="970" spans="1:6" x14ac:dyDescent="0.35">
      <c r="A970" t="s">
        <v>1046</v>
      </c>
      <c r="B970">
        <v>1982</v>
      </c>
      <c r="C970" t="s">
        <v>1070</v>
      </c>
      <c r="D970">
        <v>50</v>
      </c>
      <c r="E970" t="s">
        <v>12</v>
      </c>
      <c r="F970">
        <v>50</v>
      </c>
    </row>
    <row r="971" spans="1:6" x14ac:dyDescent="0.35">
      <c r="A971" t="s">
        <v>1047</v>
      </c>
      <c r="B971">
        <v>1982</v>
      </c>
      <c r="C971" t="s">
        <v>1071</v>
      </c>
      <c r="D971">
        <v>50</v>
      </c>
      <c r="E971" t="s">
        <v>12</v>
      </c>
      <c r="F971">
        <v>50</v>
      </c>
    </row>
    <row r="972" spans="1:6" x14ac:dyDescent="0.35">
      <c r="A972" t="s">
        <v>1048</v>
      </c>
      <c r="B972">
        <v>1982</v>
      </c>
      <c r="C972" t="s">
        <v>1072</v>
      </c>
      <c r="D972">
        <v>50</v>
      </c>
      <c r="E972" t="s">
        <v>12</v>
      </c>
      <c r="F972">
        <v>50</v>
      </c>
    </row>
    <row r="973" spans="1:6" x14ac:dyDescent="0.35">
      <c r="A973" t="s">
        <v>1049</v>
      </c>
      <c r="B973">
        <v>1982</v>
      </c>
      <c r="C973" t="s">
        <v>1073</v>
      </c>
      <c r="D973">
        <v>50</v>
      </c>
      <c r="E973" t="s">
        <v>12</v>
      </c>
      <c r="F973">
        <v>50</v>
      </c>
    </row>
    <row r="974" spans="1:6" x14ac:dyDescent="0.35">
      <c r="A974" t="s">
        <v>1050</v>
      </c>
      <c r="B974">
        <v>1982</v>
      </c>
      <c r="C974" t="s">
        <v>1074</v>
      </c>
      <c r="D974">
        <v>50</v>
      </c>
      <c r="E974" t="s">
        <v>12</v>
      </c>
      <c r="F974">
        <v>50</v>
      </c>
    </row>
    <row r="975" spans="1:6" x14ac:dyDescent="0.35">
      <c r="A975" t="s">
        <v>1051</v>
      </c>
      <c r="B975">
        <v>1982</v>
      </c>
      <c r="C975" t="s">
        <v>1075</v>
      </c>
      <c r="D975">
        <v>50</v>
      </c>
      <c r="E975" t="s">
        <v>12</v>
      </c>
      <c r="F975">
        <v>50</v>
      </c>
    </row>
    <row r="976" spans="1:6" x14ac:dyDescent="0.35">
      <c r="A976" t="s">
        <v>1052</v>
      </c>
      <c r="B976">
        <v>1982</v>
      </c>
      <c r="C976" t="s">
        <v>1076</v>
      </c>
      <c r="D976">
        <v>50</v>
      </c>
      <c r="E976" t="s">
        <v>12</v>
      </c>
      <c r="F976">
        <v>50</v>
      </c>
    </row>
    <row r="977" spans="1:6" x14ac:dyDescent="0.35">
      <c r="A977" t="s">
        <v>1053</v>
      </c>
      <c r="B977">
        <v>1982</v>
      </c>
      <c r="C977" t="s">
        <v>1079</v>
      </c>
      <c r="D977">
        <v>50</v>
      </c>
      <c r="E977" t="s">
        <v>12</v>
      </c>
      <c r="F977">
        <v>50</v>
      </c>
    </row>
    <row r="978" spans="1:6" x14ac:dyDescent="0.35">
      <c r="A978" t="s">
        <v>1054</v>
      </c>
      <c r="B978">
        <v>1986</v>
      </c>
      <c r="C978" t="s">
        <v>1081</v>
      </c>
      <c r="D978">
        <v>500</v>
      </c>
      <c r="E978" t="s">
        <v>12</v>
      </c>
      <c r="F978">
        <v>500</v>
      </c>
    </row>
    <row r="979" spans="1:6" x14ac:dyDescent="0.35">
      <c r="A979" t="s">
        <v>1055</v>
      </c>
      <c r="B979">
        <v>1986</v>
      </c>
      <c r="C979" t="s">
        <v>1084</v>
      </c>
      <c r="D979">
        <v>500</v>
      </c>
      <c r="E979" t="s">
        <v>12</v>
      </c>
      <c r="F979">
        <v>500</v>
      </c>
    </row>
    <row r="980" spans="1:6" x14ac:dyDescent="0.35">
      <c r="A980" t="s">
        <v>1056</v>
      </c>
      <c r="B980">
        <v>1986</v>
      </c>
      <c r="C980" t="s">
        <v>1082</v>
      </c>
      <c r="D980">
        <v>500</v>
      </c>
      <c r="E980" t="s">
        <v>12</v>
      </c>
      <c r="F980">
        <v>500</v>
      </c>
    </row>
    <row r="981" spans="1:6" x14ac:dyDescent="0.35">
      <c r="A981" t="s">
        <v>1057</v>
      </c>
      <c r="B981">
        <v>1986</v>
      </c>
      <c r="C981" t="s">
        <v>1083</v>
      </c>
      <c r="D981">
        <v>500</v>
      </c>
      <c r="E981" t="s">
        <v>12</v>
      </c>
      <c r="F981">
        <v>500</v>
      </c>
    </row>
    <row r="982" spans="1:6" x14ac:dyDescent="0.35">
      <c r="A982" t="s">
        <v>1058</v>
      </c>
      <c r="B982">
        <v>1986</v>
      </c>
      <c r="C982" t="s">
        <v>1070</v>
      </c>
      <c r="D982">
        <v>500</v>
      </c>
      <c r="E982" t="s">
        <v>12</v>
      </c>
      <c r="F982">
        <v>500</v>
      </c>
    </row>
    <row r="983" spans="1:6" x14ac:dyDescent="0.35">
      <c r="A983" t="s">
        <v>1059</v>
      </c>
      <c r="B983">
        <v>1988</v>
      </c>
      <c r="C983" t="s">
        <v>1071</v>
      </c>
      <c r="D983">
        <v>500</v>
      </c>
      <c r="E983" t="s">
        <v>12</v>
      </c>
      <c r="F983">
        <v>500</v>
      </c>
    </row>
    <row r="984" spans="1:6" x14ac:dyDescent="0.35">
      <c r="A984" t="s">
        <v>1060</v>
      </c>
      <c r="B984">
        <v>1988</v>
      </c>
      <c r="C984" t="s">
        <v>1072</v>
      </c>
      <c r="D984">
        <v>500</v>
      </c>
      <c r="E984" t="s">
        <v>12</v>
      </c>
      <c r="F984">
        <v>500</v>
      </c>
    </row>
    <row r="985" spans="1:6" x14ac:dyDescent="0.35">
      <c r="A985" t="s">
        <v>1061</v>
      </c>
      <c r="B985">
        <v>1988</v>
      </c>
      <c r="C985" t="s">
        <v>1073</v>
      </c>
      <c r="D985">
        <v>500</v>
      </c>
      <c r="E985" t="s">
        <v>12</v>
      </c>
      <c r="F985">
        <v>500</v>
      </c>
    </row>
    <row r="986" spans="1:6" x14ac:dyDescent="0.35">
      <c r="A986" t="s">
        <v>1062</v>
      </c>
      <c r="B986">
        <v>1988</v>
      </c>
      <c r="C986" t="s">
        <v>1074</v>
      </c>
      <c r="D986">
        <v>500</v>
      </c>
      <c r="E986" t="s">
        <v>12</v>
      </c>
      <c r="F986">
        <v>500</v>
      </c>
    </row>
    <row r="987" spans="1:6" x14ac:dyDescent="0.35">
      <c r="A987" t="s">
        <v>1063</v>
      </c>
      <c r="B987">
        <v>1988</v>
      </c>
      <c r="C987" t="s">
        <v>1075</v>
      </c>
      <c r="D987">
        <v>500</v>
      </c>
      <c r="E987" t="s">
        <v>12</v>
      </c>
      <c r="F987">
        <v>500</v>
      </c>
    </row>
    <row r="988" spans="1:6" x14ac:dyDescent="0.35">
      <c r="A988" t="s">
        <v>1064</v>
      </c>
      <c r="B988">
        <v>1999</v>
      </c>
      <c r="C988" t="s">
        <v>1076</v>
      </c>
      <c r="D988">
        <v>500</v>
      </c>
      <c r="E988" t="s">
        <v>12</v>
      </c>
      <c r="F988">
        <v>500</v>
      </c>
    </row>
    <row r="989" spans="1:6" x14ac:dyDescent="0.35">
      <c r="A989" t="s">
        <v>1065</v>
      </c>
      <c r="B989">
        <v>1999</v>
      </c>
      <c r="C989" t="s">
        <v>1079</v>
      </c>
      <c r="D989">
        <v>500</v>
      </c>
      <c r="E989" t="s">
        <v>12</v>
      </c>
      <c r="F989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6C5-7E3F-44BC-91FE-42C092DE2D4F}">
  <dimension ref="A1:F1001"/>
  <sheetViews>
    <sheetView zoomScale="43" workbookViewId="0">
      <selection activeCell="D7" sqref="D7"/>
    </sheetView>
  </sheetViews>
  <sheetFormatPr defaultRowHeight="14.5" x14ac:dyDescent="0.35"/>
  <cols>
    <col min="2" max="2" width="22.7265625" customWidth="1"/>
    <col min="3" max="3" width="25.81640625" customWidth="1"/>
    <col min="4" max="4" width="23.453125" customWidth="1"/>
    <col min="5" max="5" width="15.81640625" customWidth="1"/>
    <col min="6" max="6" width="16.81640625" customWidth="1"/>
  </cols>
  <sheetData>
    <row r="1" spans="1:6" x14ac:dyDescent="0.3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5">
      <c r="A2">
        <v>1001</v>
      </c>
      <c r="B2" s="1">
        <v>45603</v>
      </c>
      <c r="C2" t="s">
        <v>75</v>
      </c>
      <c r="D2">
        <v>50</v>
      </c>
      <c r="E2">
        <v>30</v>
      </c>
    </row>
    <row r="3" spans="1:6" x14ac:dyDescent="0.35">
      <c r="A3">
        <v>1002</v>
      </c>
      <c r="B3" s="1">
        <v>45449</v>
      </c>
      <c r="C3" t="s">
        <v>75</v>
      </c>
      <c r="D3">
        <v>50</v>
      </c>
      <c r="E3">
        <v>30</v>
      </c>
    </row>
    <row r="4" spans="1:6" x14ac:dyDescent="0.35">
      <c r="A4">
        <v>1003</v>
      </c>
      <c r="B4" s="1">
        <v>45657</v>
      </c>
      <c r="C4" t="s">
        <v>75</v>
      </c>
      <c r="D4">
        <v>50</v>
      </c>
      <c r="E4">
        <v>30</v>
      </c>
    </row>
    <row r="5" spans="1:6" x14ac:dyDescent="0.35">
      <c r="A5">
        <v>1004</v>
      </c>
      <c r="B5" s="1">
        <v>45617</v>
      </c>
      <c r="C5" t="s">
        <v>18</v>
      </c>
      <c r="D5">
        <v>200</v>
      </c>
      <c r="E5">
        <v>100</v>
      </c>
    </row>
    <row r="6" spans="1:6" x14ac:dyDescent="0.35">
      <c r="A6">
        <v>1005</v>
      </c>
      <c r="B6" s="1">
        <v>45520</v>
      </c>
      <c r="C6" t="s">
        <v>18</v>
      </c>
      <c r="D6">
        <v>200</v>
      </c>
      <c r="E6">
        <v>100</v>
      </c>
    </row>
    <row r="7" spans="1:6" x14ac:dyDescent="0.35">
      <c r="A7">
        <v>1006</v>
      </c>
      <c r="B7" s="1">
        <v>45606</v>
      </c>
      <c r="C7" t="s">
        <v>75</v>
      </c>
      <c r="D7">
        <v>50</v>
      </c>
      <c r="E7">
        <v>30</v>
      </c>
    </row>
    <row r="8" spans="1:6" x14ac:dyDescent="0.35">
      <c r="A8">
        <v>1007</v>
      </c>
      <c r="B8" s="1">
        <v>45363</v>
      </c>
      <c r="C8" t="s">
        <v>21</v>
      </c>
      <c r="D8">
        <v>500</v>
      </c>
      <c r="E8">
        <v>200</v>
      </c>
    </row>
    <row r="9" spans="1:6" x14ac:dyDescent="0.35">
      <c r="A9">
        <v>1008</v>
      </c>
      <c r="B9" s="1">
        <v>45605</v>
      </c>
      <c r="C9" t="s">
        <v>18</v>
      </c>
      <c r="D9">
        <v>200</v>
      </c>
      <c r="E9">
        <v>100</v>
      </c>
    </row>
    <row r="10" spans="1:6" x14ac:dyDescent="0.35">
      <c r="A10">
        <v>1009</v>
      </c>
      <c r="B10" s="1">
        <v>45520</v>
      </c>
      <c r="C10" t="s">
        <v>18</v>
      </c>
      <c r="D10">
        <v>200</v>
      </c>
      <c r="E10">
        <v>100</v>
      </c>
    </row>
    <row r="11" spans="1:6" x14ac:dyDescent="0.35">
      <c r="A11">
        <v>1010</v>
      </c>
      <c r="B11" s="1">
        <v>45754</v>
      </c>
      <c r="C11" t="s">
        <v>18</v>
      </c>
      <c r="D11">
        <v>200</v>
      </c>
      <c r="E11">
        <v>100</v>
      </c>
    </row>
    <row r="12" spans="1:6" x14ac:dyDescent="0.35">
      <c r="A12">
        <v>1011</v>
      </c>
      <c r="B12" s="1">
        <v>45747</v>
      </c>
      <c r="C12" t="s">
        <v>75</v>
      </c>
      <c r="D12">
        <v>50</v>
      </c>
      <c r="E12">
        <v>30</v>
      </c>
    </row>
    <row r="13" spans="1:6" x14ac:dyDescent="0.35">
      <c r="A13">
        <v>1012</v>
      </c>
      <c r="B13" s="1">
        <v>45712</v>
      </c>
      <c r="C13" t="s">
        <v>21</v>
      </c>
      <c r="D13">
        <v>500</v>
      </c>
      <c r="E13">
        <v>200</v>
      </c>
    </row>
    <row r="14" spans="1:6" x14ac:dyDescent="0.35">
      <c r="A14">
        <v>1013</v>
      </c>
      <c r="B14" s="1">
        <v>45750</v>
      </c>
      <c r="C14" t="s">
        <v>18</v>
      </c>
      <c r="D14">
        <v>200</v>
      </c>
      <c r="E14">
        <v>100</v>
      </c>
    </row>
    <row r="15" spans="1:6" x14ac:dyDescent="0.35">
      <c r="A15">
        <v>1014</v>
      </c>
      <c r="B15" s="1">
        <v>45738</v>
      </c>
      <c r="C15" t="s">
        <v>21</v>
      </c>
      <c r="D15">
        <v>500</v>
      </c>
      <c r="E15">
        <v>200</v>
      </c>
    </row>
    <row r="16" spans="1:6" x14ac:dyDescent="0.35">
      <c r="A16">
        <v>1015</v>
      </c>
      <c r="B16" s="1">
        <v>45749</v>
      </c>
      <c r="C16" t="s">
        <v>18</v>
      </c>
      <c r="D16">
        <v>200</v>
      </c>
      <c r="E16">
        <v>100</v>
      </c>
    </row>
    <row r="17" spans="1:6" x14ac:dyDescent="0.35">
      <c r="A17">
        <v>1016</v>
      </c>
      <c r="B17" s="1">
        <v>45506</v>
      </c>
      <c r="C17" t="s">
        <v>21</v>
      </c>
      <c r="D17">
        <v>500</v>
      </c>
      <c r="E17">
        <v>200</v>
      </c>
    </row>
    <row r="18" spans="1:6" x14ac:dyDescent="0.35">
      <c r="A18">
        <v>1017</v>
      </c>
      <c r="B18" s="1">
        <v>45418</v>
      </c>
      <c r="C18" t="s">
        <v>18</v>
      </c>
      <c r="D18">
        <v>200</v>
      </c>
      <c r="E18">
        <v>100</v>
      </c>
    </row>
    <row r="19" spans="1:6" x14ac:dyDescent="0.35">
      <c r="A19">
        <v>1018</v>
      </c>
      <c r="B19" s="1">
        <v>45382</v>
      </c>
      <c r="C19" t="s">
        <v>18</v>
      </c>
      <c r="D19">
        <v>200</v>
      </c>
      <c r="E19">
        <v>100</v>
      </c>
    </row>
    <row r="20" spans="1:6" x14ac:dyDescent="0.35">
      <c r="A20">
        <v>1019</v>
      </c>
      <c r="B20" s="1">
        <v>45472</v>
      </c>
      <c r="C20" t="s">
        <v>75</v>
      </c>
      <c r="D20">
        <v>50</v>
      </c>
      <c r="E20">
        <v>30</v>
      </c>
    </row>
    <row r="21" spans="1:6" x14ac:dyDescent="0.35">
      <c r="A21">
        <v>1020</v>
      </c>
      <c r="B21" s="1">
        <v>45578</v>
      </c>
      <c r="C21" t="s">
        <v>18</v>
      </c>
      <c r="D21">
        <v>200</v>
      </c>
      <c r="E21">
        <v>100</v>
      </c>
      <c r="F21" s="1">
        <v>45785</v>
      </c>
    </row>
    <row r="22" spans="1:6" x14ac:dyDescent="0.35">
      <c r="A22">
        <v>1021</v>
      </c>
      <c r="B22" s="1">
        <v>45411</v>
      </c>
      <c r="C22" t="s">
        <v>18</v>
      </c>
      <c r="D22">
        <v>200</v>
      </c>
      <c r="E22">
        <v>100</v>
      </c>
      <c r="F22" s="1">
        <v>45464</v>
      </c>
    </row>
    <row r="23" spans="1:6" x14ac:dyDescent="0.35">
      <c r="A23">
        <v>1022</v>
      </c>
      <c r="B23" s="1">
        <v>45373</v>
      </c>
      <c r="C23" t="s">
        <v>21</v>
      </c>
      <c r="D23">
        <v>500</v>
      </c>
      <c r="E23">
        <v>200</v>
      </c>
    </row>
    <row r="24" spans="1:6" x14ac:dyDescent="0.35">
      <c r="A24">
        <v>1023</v>
      </c>
      <c r="B24" s="1">
        <v>45641</v>
      </c>
      <c r="C24" t="s">
        <v>75</v>
      </c>
      <c r="D24">
        <v>50</v>
      </c>
      <c r="E24">
        <v>30</v>
      </c>
      <c r="F24" s="1">
        <v>45831</v>
      </c>
    </row>
    <row r="25" spans="1:6" x14ac:dyDescent="0.35">
      <c r="A25">
        <v>1024</v>
      </c>
      <c r="B25" s="1">
        <v>45587</v>
      </c>
      <c r="C25" t="s">
        <v>75</v>
      </c>
      <c r="D25">
        <v>50</v>
      </c>
      <c r="E25">
        <v>30</v>
      </c>
    </row>
    <row r="26" spans="1:6" x14ac:dyDescent="0.35">
      <c r="A26">
        <v>1025</v>
      </c>
      <c r="B26" s="1">
        <v>45364</v>
      </c>
      <c r="C26" t="s">
        <v>21</v>
      </c>
      <c r="D26">
        <v>500</v>
      </c>
      <c r="E26">
        <v>200</v>
      </c>
    </row>
    <row r="27" spans="1:6" x14ac:dyDescent="0.35">
      <c r="A27">
        <v>1026</v>
      </c>
      <c r="B27" s="1">
        <v>45743</v>
      </c>
      <c r="C27" t="s">
        <v>18</v>
      </c>
      <c r="D27">
        <v>200</v>
      </c>
      <c r="E27">
        <v>100</v>
      </c>
      <c r="F27" s="1">
        <v>45818</v>
      </c>
    </row>
    <row r="28" spans="1:6" x14ac:dyDescent="0.35">
      <c r="A28">
        <v>1027</v>
      </c>
      <c r="B28" s="1">
        <v>45455</v>
      </c>
      <c r="C28" t="s">
        <v>18</v>
      </c>
      <c r="D28">
        <v>200</v>
      </c>
      <c r="E28">
        <v>100</v>
      </c>
    </row>
    <row r="29" spans="1:6" x14ac:dyDescent="0.35">
      <c r="A29">
        <v>1028</v>
      </c>
      <c r="B29" s="1">
        <v>45670</v>
      </c>
      <c r="C29" t="s">
        <v>21</v>
      </c>
      <c r="D29">
        <v>500</v>
      </c>
      <c r="E29">
        <v>200</v>
      </c>
    </row>
    <row r="30" spans="1:6" x14ac:dyDescent="0.35">
      <c r="A30">
        <v>1029</v>
      </c>
      <c r="B30" s="1">
        <v>45833</v>
      </c>
      <c r="C30" t="s">
        <v>21</v>
      </c>
      <c r="D30">
        <v>500</v>
      </c>
      <c r="E30">
        <v>200</v>
      </c>
    </row>
    <row r="31" spans="1:6" x14ac:dyDescent="0.35">
      <c r="A31">
        <v>1030</v>
      </c>
      <c r="B31" s="1">
        <v>45614</v>
      </c>
      <c r="C31" t="s">
        <v>21</v>
      </c>
      <c r="D31">
        <v>500</v>
      </c>
      <c r="E31">
        <v>200</v>
      </c>
    </row>
    <row r="32" spans="1:6" x14ac:dyDescent="0.35">
      <c r="A32">
        <v>1031</v>
      </c>
      <c r="B32" s="1">
        <v>45390</v>
      </c>
      <c r="C32" t="s">
        <v>18</v>
      </c>
      <c r="D32">
        <v>200</v>
      </c>
      <c r="E32">
        <v>100</v>
      </c>
      <c r="F32" s="1">
        <v>45640</v>
      </c>
    </row>
    <row r="33" spans="1:6" x14ac:dyDescent="0.35">
      <c r="A33">
        <v>1032</v>
      </c>
      <c r="B33" s="1">
        <v>45692</v>
      </c>
      <c r="C33" t="s">
        <v>18</v>
      </c>
      <c r="D33">
        <v>200</v>
      </c>
      <c r="E33">
        <v>100</v>
      </c>
    </row>
    <row r="34" spans="1:6" x14ac:dyDescent="0.35">
      <c r="A34">
        <v>1033</v>
      </c>
      <c r="B34" s="1">
        <v>45723</v>
      </c>
      <c r="C34" t="s">
        <v>75</v>
      </c>
      <c r="D34">
        <v>50</v>
      </c>
      <c r="E34">
        <v>30</v>
      </c>
    </row>
    <row r="35" spans="1:6" x14ac:dyDescent="0.35">
      <c r="A35">
        <v>1034</v>
      </c>
      <c r="B35" s="1">
        <v>45388</v>
      </c>
      <c r="C35" t="s">
        <v>75</v>
      </c>
      <c r="D35">
        <v>50</v>
      </c>
      <c r="E35">
        <v>30</v>
      </c>
      <c r="F35" s="1">
        <v>45753</v>
      </c>
    </row>
    <row r="36" spans="1:6" x14ac:dyDescent="0.35">
      <c r="A36">
        <v>1035</v>
      </c>
      <c r="B36" s="1">
        <v>45504</v>
      </c>
      <c r="C36" t="s">
        <v>75</v>
      </c>
      <c r="D36">
        <v>50</v>
      </c>
      <c r="E36">
        <v>30</v>
      </c>
      <c r="F36" s="1">
        <v>45779</v>
      </c>
    </row>
    <row r="37" spans="1:6" x14ac:dyDescent="0.35">
      <c r="A37">
        <v>1036</v>
      </c>
      <c r="B37" s="1">
        <v>45419</v>
      </c>
      <c r="C37" t="s">
        <v>21</v>
      </c>
      <c r="D37">
        <v>500</v>
      </c>
      <c r="E37">
        <v>200</v>
      </c>
    </row>
    <row r="38" spans="1:6" x14ac:dyDescent="0.35">
      <c r="A38">
        <v>1037</v>
      </c>
      <c r="B38" s="1">
        <v>45626</v>
      </c>
      <c r="C38" t="s">
        <v>18</v>
      </c>
      <c r="D38">
        <v>200</v>
      </c>
      <c r="E38">
        <v>100</v>
      </c>
    </row>
    <row r="39" spans="1:6" x14ac:dyDescent="0.35">
      <c r="A39">
        <v>1038</v>
      </c>
      <c r="B39" s="1">
        <v>45319</v>
      </c>
      <c r="C39" t="s">
        <v>21</v>
      </c>
      <c r="D39">
        <v>500</v>
      </c>
      <c r="E39">
        <v>200</v>
      </c>
    </row>
    <row r="40" spans="1:6" x14ac:dyDescent="0.35">
      <c r="A40">
        <v>1039</v>
      </c>
      <c r="B40" s="1">
        <v>45769</v>
      </c>
      <c r="C40" t="s">
        <v>75</v>
      </c>
      <c r="D40">
        <v>50</v>
      </c>
      <c r="E40">
        <v>30</v>
      </c>
    </row>
    <row r="41" spans="1:6" x14ac:dyDescent="0.35">
      <c r="A41">
        <v>1040</v>
      </c>
      <c r="B41" s="1">
        <v>45428</v>
      </c>
      <c r="C41" t="s">
        <v>21</v>
      </c>
      <c r="D41">
        <v>500</v>
      </c>
      <c r="E41">
        <v>200</v>
      </c>
    </row>
    <row r="42" spans="1:6" x14ac:dyDescent="0.35">
      <c r="A42">
        <v>1041</v>
      </c>
      <c r="B42" s="1">
        <v>45464</v>
      </c>
      <c r="C42" t="s">
        <v>18</v>
      </c>
      <c r="D42">
        <v>200</v>
      </c>
      <c r="E42">
        <v>100</v>
      </c>
    </row>
    <row r="43" spans="1:6" x14ac:dyDescent="0.35">
      <c r="A43">
        <v>1042</v>
      </c>
      <c r="B43" s="1">
        <v>45400</v>
      </c>
      <c r="C43" t="s">
        <v>18</v>
      </c>
      <c r="D43">
        <v>200</v>
      </c>
      <c r="E43">
        <v>100</v>
      </c>
      <c r="F43" s="1">
        <v>45735</v>
      </c>
    </row>
    <row r="44" spans="1:6" x14ac:dyDescent="0.35">
      <c r="A44">
        <v>1043</v>
      </c>
      <c r="B44" s="1">
        <v>45684</v>
      </c>
      <c r="C44" t="s">
        <v>21</v>
      </c>
      <c r="D44">
        <v>500</v>
      </c>
      <c r="E44">
        <v>200</v>
      </c>
      <c r="F44" s="1">
        <v>45727</v>
      </c>
    </row>
    <row r="45" spans="1:6" x14ac:dyDescent="0.35">
      <c r="A45">
        <v>1044</v>
      </c>
      <c r="B45" s="1">
        <v>45716</v>
      </c>
      <c r="C45" t="s">
        <v>18</v>
      </c>
      <c r="D45">
        <v>200</v>
      </c>
      <c r="E45">
        <v>100</v>
      </c>
    </row>
    <row r="46" spans="1:6" x14ac:dyDescent="0.35">
      <c r="A46">
        <v>1045</v>
      </c>
      <c r="B46" s="1">
        <v>45838</v>
      </c>
      <c r="C46" t="s">
        <v>18</v>
      </c>
      <c r="D46">
        <v>200</v>
      </c>
      <c r="E46">
        <v>100</v>
      </c>
    </row>
    <row r="47" spans="1:6" x14ac:dyDescent="0.35">
      <c r="A47">
        <v>1046</v>
      </c>
      <c r="B47" s="1">
        <v>45553</v>
      </c>
      <c r="C47" t="s">
        <v>18</v>
      </c>
      <c r="D47">
        <v>200</v>
      </c>
      <c r="E47">
        <v>100</v>
      </c>
    </row>
    <row r="48" spans="1:6" x14ac:dyDescent="0.35">
      <c r="A48">
        <v>1047</v>
      </c>
      <c r="B48" s="1">
        <v>45662</v>
      </c>
      <c r="C48" t="s">
        <v>75</v>
      </c>
      <c r="D48">
        <v>50</v>
      </c>
      <c r="E48">
        <v>30</v>
      </c>
      <c r="F48" s="1">
        <v>45767</v>
      </c>
    </row>
    <row r="49" spans="1:6" x14ac:dyDescent="0.35">
      <c r="A49">
        <v>1048</v>
      </c>
      <c r="B49" s="1">
        <v>45529</v>
      </c>
      <c r="C49" t="s">
        <v>21</v>
      </c>
      <c r="D49">
        <v>500</v>
      </c>
      <c r="E49">
        <v>200</v>
      </c>
    </row>
    <row r="50" spans="1:6" x14ac:dyDescent="0.35">
      <c r="A50">
        <v>1049</v>
      </c>
      <c r="B50" s="1">
        <v>45427</v>
      </c>
      <c r="C50" t="s">
        <v>18</v>
      </c>
      <c r="D50">
        <v>200</v>
      </c>
      <c r="E50">
        <v>100</v>
      </c>
    </row>
    <row r="51" spans="1:6" x14ac:dyDescent="0.35">
      <c r="A51">
        <v>1050</v>
      </c>
      <c r="B51" s="1">
        <v>45473</v>
      </c>
      <c r="C51" t="s">
        <v>18</v>
      </c>
      <c r="D51">
        <v>200</v>
      </c>
      <c r="E51">
        <v>100</v>
      </c>
    </row>
    <row r="52" spans="1:6" x14ac:dyDescent="0.35">
      <c r="A52">
        <v>1051</v>
      </c>
      <c r="B52" s="1">
        <v>45667</v>
      </c>
      <c r="C52" t="s">
        <v>18</v>
      </c>
      <c r="D52">
        <v>200</v>
      </c>
      <c r="E52">
        <v>100</v>
      </c>
    </row>
    <row r="53" spans="1:6" x14ac:dyDescent="0.35">
      <c r="A53">
        <v>1052</v>
      </c>
      <c r="B53" s="1">
        <v>45415</v>
      </c>
      <c r="C53" t="s">
        <v>75</v>
      </c>
      <c r="D53">
        <v>50</v>
      </c>
      <c r="E53">
        <v>30</v>
      </c>
    </row>
    <row r="54" spans="1:6" x14ac:dyDescent="0.35">
      <c r="A54">
        <v>1053</v>
      </c>
      <c r="B54" s="1">
        <v>45641</v>
      </c>
      <c r="C54" t="s">
        <v>21</v>
      </c>
      <c r="D54">
        <v>500</v>
      </c>
      <c r="E54">
        <v>200</v>
      </c>
    </row>
    <row r="55" spans="1:6" x14ac:dyDescent="0.35">
      <c r="A55">
        <v>1054</v>
      </c>
      <c r="B55" s="1">
        <v>45360</v>
      </c>
      <c r="C55" t="s">
        <v>18</v>
      </c>
      <c r="D55">
        <v>200</v>
      </c>
      <c r="E55">
        <v>100</v>
      </c>
    </row>
    <row r="56" spans="1:6" x14ac:dyDescent="0.35">
      <c r="A56">
        <v>1055</v>
      </c>
      <c r="B56" s="1">
        <v>45381</v>
      </c>
      <c r="C56" t="s">
        <v>21</v>
      </c>
      <c r="D56">
        <v>500</v>
      </c>
      <c r="E56">
        <v>200</v>
      </c>
    </row>
    <row r="57" spans="1:6" x14ac:dyDescent="0.35">
      <c r="A57">
        <v>1056</v>
      </c>
      <c r="B57" s="1">
        <v>45577</v>
      </c>
      <c r="C57" t="s">
        <v>18</v>
      </c>
      <c r="D57">
        <v>200</v>
      </c>
      <c r="E57">
        <v>100</v>
      </c>
      <c r="F57" s="1">
        <v>45641</v>
      </c>
    </row>
    <row r="58" spans="1:6" x14ac:dyDescent="0.35">
      <c r="A58">
        <v>1057</v>
      </c>
      <c r="B58" s="1">
        <v>45387</v>
      </c>
      <c r="C58" t="s">
        <v>75</v>
      </c>
      <c r="D58">
        <v>50</v>
      </c>
      <c r="E58">
        <v>30</v>
      </c>
    </row>
    <row r="59" spans="1:6" x14ac:dyDescent="0.35">
      <c r="A59">
        <v>1058</v>
      </c>
      <c r="B59" s="1">
        <v>45811</v>
      </c>
      <c r="C59" t="s">
        <v>21</v>
      </c>
      <c r="D59">
        <v>500</v>
      </c>
      <c r="E59">
        <v>200</v>
      </c>
    </row>
    <row r="60" spans="1:6" x14ac:dyDescent="0.35">
      <c r="A60">
        <v>1059</v>
      </c>
      <c r="B60" s="1">
        <v>45327</v>
      </c>
      <c r="C60" t="s">
        <v>21</v>
      </c>
      <c r="D60">
        <v>500</v>
      </c>
      <c r="E60">
        <v>200</v>
      </c>
    </row>
    <row r="61" spans="1:6" x14ac:dyDescent="0.35">
      <c r="A61">
        <v>1060</v>
      </c>
      <c r="B61" s="1">
        <v>45747</v>
      </c>
      <c r="C61" t="s">
        <v>75</v>
      </c>
      <c r="D61">
        <v>50</v>
      </c>
      <c r="E61">
        <v>30</v>
      </c>
      <c r="F61" s="1">
        <v>45818</v>
      </c>
    </row>
    <row r="62" spans="1:6" x14ac:dyDescent="0.35">
      <c r="A62">
        <v>1061</v>
      </c>
      <c r="B62" s="1">
        <v>45696</v>
      </c>
      <c r="C62" t="s">
        <v>75</v>
      </c>
      <c r="D62">
        <v>50</v>
      </c>
      <c r="E62">
        <v>30</v>
      </c>
    </row>
    <row r="63" spans="1:6" x14ac:dyDescent="0.35">
      <c r="A63">
        <v>1062</v>
      </c>
      <c r="B63" s="1">
        <v>45790</v>
      </c>
      <c r="C63" t="s">
        <v>18</v>
      </c>
      <c r="D63">
        <v>200</v>
      </c>
      <c r="E63">
        <v>100</v>
      </c>
      <c r="F63" s="1">
        <v>45820</v>
      </c>
    </row>
    <row r="64" spans="1:6" x14ac:dyDescent="0.35">
      <c r="A64">
        <v>1063</v>
      </c>
      <c r="B64" s="1">
        <v>45501</v>
      </c>
      <c r="C64" t="s">
        <v>18</v>
      </c>
      <c r="D64">
        <v>200</v>
      </c>
      <c r="E64">
        <v>100</v>
      </c>
    </row>
    <row r="65" spans="1:6" x14ac:dyDescent="0.35">
      <c r="A65">
        <v>1064</v>
      </c>
      <c r="B65" s="1">
        <v>45779</v>
      </c>
      <c r="C65" t="s">
        <v>75</v>
      </c>
      <c r="D65">
        <v>50</v>
      </c>
      <c r="E65">
        <v>30</v>
      </c>
    </row>
    <row r="66" spans="1:6" x14ac:dyDescent="0.35">
      <c r="A66">
        <v>1065</v>
      </c>
      <c r="B66" s="1">
        <v>45498</v>
      </c>
      <c r="C66" t="s">
        <v>21</v>
      </c>
      <c r="D66">
        <v>500</v>
      </c>
      <c r="E66">
        <v>200</v>
      </c>
    </row>
    <row r="67" spans="1:6" x14ac:dyDescent="0.35">
      <c r="A67">
        <v>1066</v>
      </c>
      <c r="B67" s="1">
        <v>45636</v>
      </c>
      <c r="C67" t="s">
        <v>21</v>
      </c>
      <c r="D67">
        <v>500</v>
      </c>
      <c r="E67">
        <v>200</v>
      </c>
    </row>
    <row r="68" spans="1:6" x14ac:dyDescent="0.35">
      <c r="A68">
        <v>1067</v>
      </c>
      <c r="B68" s="1">
        <v>45711</v>
      </c>
      <c r="C68" t="s">
        <v>21</v>
      </c>
      <c r="D68">
        <v>500</v>
      </c>
      <c r="E68">
        <v>200</v>
      </c>
    </row>
    <row r="69" spans="1:6" x14ac:dyDescent="0.35">
      <c r="A69">
        <v>1068</v>
      </c>
      <c r="B69" s="1">
        <v>45356</v>
      </c>
      <c r="C69" t="s">
        <v>18</v>
      </c>
      <c r="D69">
        <v>200</v>
      </c>
      <c r="E69">
        <v>100</v>
      </c>
    </row>
    <row r="70" spans="1:6" x14ac:dyDescent="0.35">
      <c r="A70">
        <v>1069</v>
      </c>
      <c r="B70" s="1">
        <v>45338</v>
      </c>
      <c r="C70" t="s">
        <v>21</v>
      </c>
      <c r="D70">
        <v>500</v>
      </c>
      <c r="E70">
        <v>200</v>
      </c>
    </row>
    <row r="71" spans="1:6" x14ac:dyDescent="0.35">
      <c r="A71">
        <v>1070</v>
      </c>
      <c r="B71" s="1">
        <v>45301</v>
      </c>
      <c r="C71" t="s">
        <v>18</v>
      </c>
      <c r="D71">
        <v>200</v>
      </c>
      <c r="E71">
        <v>100</v>
      </c>
    </row>
    <row r="72" spans="1:6" x14ac:dyDescent="0.35">
      <c r="A72">
        <v>1071</v>
      </c>
      <c r="B72" s="1">
        <v>45611</v>
      </c>
      <c r="C72" t="s">
        <v>21</v>
      </c>
      <c r="D72">
        <v>500</v>
      </c>
      <c r="E72">
        <v>200</v>
      </c>
    </row>
    <row r="73" spans="1:6" x14ac:dyDescent="0.35">
      <c r="A73">
        <v>1072</v>
      </c>
      <c r="B73" s="1">
        <v>45712</v>
      </c>
      <c r="C73" t="s">
        <v>18</v>
      </c>
      <c r="D73">
        <v>200</v>
      </c>
      <c r="E73">
        <v>100</v>
      </c>
    </row>
    <row r="74" spans="1:6" x14ac:dyDescent="0.35">
      <c r="A74">
        <v>1073</v>
      </c>
      <c r="B74" s="1">
        <v>45299</v>
      </c>
      <c r="C74" t="s">
        <v>21</v>
      </c>
      <c r="D74">
        <v>500</v>
      </c>
      <c r="E74">
        <v>200</v>
      </c>
    </row>
    <row r="75" spans="1:6" x14ac:dyDescent="0.35">
      <c r="A75">
        <v>1074</v>
      </c>
      <c r="B75" s="1">
        <v>45513</v>
      </c>
      <c r="C75" t="s">
        <v>21</v>
      </c>
      <c r="D75">
        <v>500</v>
      </c>
      <c r="E75">
        <v>200</v>
      </c>
      <c r="F75" s="1">
        <v>45790</v>
      </c>
    </row>
    <row r="76" spans="1:6" x14ac:dyDescent="0.35">
      <c r="A76">
        <v>1075</v>
      </c>
      <c r="B76" s="1">
        <v>45579</v>
      </c>
      <c r="C76" t="s">
        <v>21</v>
      </c>
      <c r="D76">
        <v>500</v>
      </c>
      <c r="E76">
        <v>200</v>
      </c>
      <c r="F76" s="1">
        <v>45833</v>
      </c>
    </row>
    <row r="77" spans="1:6" x14ac:dyDescent="0.35">
      <c r="A77">
        <v>1076</v>
      </c>
      <c r="B77" s="1">
        <v>45652</v>
      </c>
      <c r="C77" t="s">
        <v>21</v>
      </c>
      <c r="D77">
        <v>500</v>
      </c>
      <c r="E77">
        <v>200</v>
      </c>
    </row>
    <row r="78" spans="1:6" x14ac:dyDescent="0.35">
      <c r="A78">
        <v>1077</v>
      </c>
      <c r="B78" s="1">
        <v>45447</v>
      </c>
      <c r="C78" t="s">
        <v>75</v>
      </c>
      <c r="D78">
        <v>50</v>
      </c>
      <c r="E78">
        <v>30</v>
      </c>
    </row>
    <row r="79" spans="1:6" x14ac:dyDescent="0.35">
      <c r="A79">
        <v>1078</v>
      </c>
      <c r="B79" s="1">
        <v>45556</v>
      </c>
      <c r="C79" t="s">
        <v>75</v>
      </c>
      <c r="D79">
        <v>50</v>
      </c>
      <c r="E79">
        <v>30</v>
      </c>
    </row>
    <row r="80" spans="1:6" x14ac:dyDescent="0.35">
      <c r="A80">
        <v>1079</v>
      </c>
      <c r="B80" s="1">
        <v>45368</v>
      </c>
      <c r="C80" t="s">
        <v>75</v>
      </c>
      <c r="D80">
        <v>50</v>
      </c>
      <c r="E80">
        <v>30</v>
      </c>
    </row>
    <row r="81" spans="1:6" x14ac:dyDescent="0.35">
      <c r="A81">
        <v>1080</v>
      </c>
      <c r="B81" s="1">
        <v>45344</v>
      </c>
      <c r="C81" t="s">
        <v>21</v>
      </c>
      <c r="D81">
        <v>500</v>
      </c>
      <c r="E81">
        <v>200</v>
      </c>
    </row>
    <row r="82" spans="1:6" x14ac:dyDescent="0.35">
      <c r="A82">
        <v>1081</v>
      </c>
      <c r="B82" s="1">
        <v>45474</v>
      </c>
      <c r="C82" t="s">
        <v>75</v>
      </c>
      <c r="D82">
        <v>50</v>
      </c>
      <c r="E82">
        <v>30</v>
      </c>
    </row>
    <row r="83" spans="1:6" x14ac:dyDescent="0.35">
      <c r="A83">
        <v>1082</v>
      </c>
      <c r="B83" s="1">
        <v>45736</v>
      </c>
      <c r="C83" t="s">
        <v>18</v>
      </c>
      <c r="D83">
        <v>200</v>
      </c>
      <c r="E83">
        <v>100</v>
      </c>
    </row>
    <row r="84" spans="1:6" x14ac:dyDescent="0.35">
      <c r="A84">
        <v>1083</v>
      </c>
      <c r="B84" s="1">
        <v>45567</v>
      </c>
      <c r="C84" t="s">
        <v>18</v>
      </c>
      <c r="D84">
        <v>200</v>
      </c>
      <c r="E84">
        <v>100</v>
      </c>
    </row>
    <row r="85" spans="1:6" x14ac:dyDescent="0.35">
      <c r="A85">
        <v>1084</v>
      </c>
      <c r="B85" s="1">
        <v>45293</v>
      </c>
      <c r="C85" t="s">
        <v>75</v>
      </c>
      <c r="D85">
        <v>50</v>
      </c>
      <c r="E85">
        <v>30</v>
      </c>
    </row>
    <row r="86" spans="1:6" x14ac:dyDescent="0.35">
      <c r="A86">
        <v>1085</v>
      </c>
      <c r="B86" s="1">
        <v>45589</v>
      </c>
      <c r="C86" t="s">
        <v>75</v>
      </c>
      <c r="D86">
        <v>50</v>
      </c>
      <c r="E86">
        <v>30</v>
      </c>
      <c r="F86" s="1">
        <v>45798</v>
      </c>
    </row>
    <row r="87" spans="1:6" x14ac:dyDescent="0.35">
      <c r="A87">
        <v>1086</v>
      </c>
      <c r="B87" s="1">
        <v>45320</v>
      </c>
      <c r="C87" t="s">
        <v>21</v>
      </c>
      <c r="D87">
        <v>500</v>
      </c>
      <c r="E87">
        <v>200</v>
      </c>
    </row>
    <row r="88" spans="1:6" x14ac:dyDescent="0.35">
      <c r="A88">
        <v>1087</v>
      </c>
      <c r="B88" s="1">
        <v>45492</v>
      </c>
      <c r="C88" t="s">
        <v>21</v>
      </c>
      <c r="D88">
        <v>500</v>
      </c>
      <c r="E88">
        <v>200</v>
      </c>
    </row>
    <row r="89" spans="1:6" x14ac:dyDescent="0.35">
      <c r="A89">
        <v>1088</v>
      </c>
      <c r="B89" s="1">
        <v>45670</v>
      </c>
      <c r="C89" t="s">
        <v>18</v>
      </c>
      <c r="D89">
        <v>200</v>
      </c>
      <c r="E89">
        <v>100</v>
      </c>
    </row>
    <row r="90" spans="1:6" x14ac:dyDescent="0.35">
      <c r="A90">
        <v>1089</v>
      </c>
      <c r="B90" s="1">
        <v>45455</v>
      </c>
      <c r="C90" t="s">
        <v>75</v>
      </c>
      <c r="D90">
        <v>50</v>
      </c>
      <c r="E90">
        <v>30</v>
      </c>
    </row>
    <row r="91" spans="1:6" x14ac:dyDescent="0.35">
      <c r="A91">
        <v>1090</v>
      </c>
      <c r="B91" s="1">
        <v>45615</v>
      </c>
      <c r="C91" t="s">
        <v>21</v>
      </c>
      <c r="D91">
        <v>500</v>
      </c>
      <c r="E91">
        <v>200</v>
      </c>
    </row>
    <row r="92" spans="1:6" x14ac:dyDescent="0.35">
      <c r="A92">
        <v>1091</v>
      </c>
      <c r="B92" s="1">
        <v>45504</v>
      </c>
      <c r="C92" t="s">
        <v>18</v>
      </c>
      <c r="D92">
        <v>200</v>
      </c>
      <c r="E92">
        <v>100</v>
      </c>
    </row>
    <row r="93" spans="1:6" x14ac:dyDescent="0.35">
      <c r="A93">
        <v>1092</v>
      </c>
      <c r="B93" s="1">
        <v>45434</v>
      </c>
      <c r="C93" t="s">
        <v>18</v>
      </c>
      <c r="D93">
        <v>200</v>
      </c>
      <c r="E93">
        <v>100</v>
      </c>
    </row>
    <row r="94" spans="1:6" x14ac:dyDescent="0.35">
      <c r="A94">
        <v>1093</v>
      </c>
      <c r="B94" s="1">
        <v>45502</v>
      </c>
      <c r="C94" t="s">
        <v>18</v>
      </c>
      <c r="D94">
        <v>200</v>
      </c>
      <c r="E94">
        <v>100</v>
      </c>
    </row>
    <row r="95" spans="1:6" x14ac:dyDescent="0.35">
      <c r="A95">
        <v>1094</v>
      </c>
      <c r="B95" s="1">
        <v>45657</v>
      </c>
      <c r="C95" t="s">
        <v>21</v>
      </c>
      <c r="D95">
        <v>500</v>
      </c>
      <c r="E95">
        <v>200</v>
      </c>
    </row>
    <row r="96" spans="1:6" x14ac:dyDescent="0.35">
      <c r="A96">
        <v>1095</v>
      </c>
      <c r="B96" s="1">
        <v>45421</v>
      </c>
      <c r="C96" t="s">
        <v>21</v>
      </c>
      <c r="D96">
        <v>500</v>
      </c>
      <c r="E96">
        <v>200</v>
      </c>
      <c r="F96" s="1">
        <v>45515</v>
      </c>
    </row>
    <row r="97" spans="1:5" x14ac:dyDescent="0.35">
      <c r="A97">
        <v>1096</v>
      </c>
      <c r="B97" s="1">
        <v>45818</v>
      </c>
      <c r="C97" t="s">
        <v>21</v>
      </c>
      <c r="D97">
        <v>500</v>
      </c>
      <c r="E97">
        <v>200</v>
      </c>
    </row>
    <row r="98" spans="1:5" x14ac:dyDescent="0.35">
      <c r="A98">
        <v>1097</v>
      </c>
      <c r="B98" s="1">
        <v>45438</v>
      </c>
      <c r="C98" t="s">
        <v>21</v>
      </c>
      <c r="D98">
        <v>500</v>
      </c>
      <c r="E98">
        <v>200</v>
      </c>
    </row>
    <row r="99" spans="1:5" x14ac:dyDescent="0.35">
      <c r="A99">
        <v>1098</v>
      </c>
      <c r="B99" s="1">
        <v>45659</v>
      </c>
      <c r="C99" t="s">
        <v>21</v>
      </c>
      <c r="D99">
        <v>500</v>
      </c>
      <c r="E99">
        <v>200</v>
      </c>
    </row>
    <row r="100" spans="1:5" x14ac:dyDescent="0.35">
      <c r="A100">
        <v>1099</v>
      </c>
      <c r="B100" s="1">
        <v>45678</v>
      </c>
      <c r="C100" t="s">
        <v>21</v>
      </c>
      <c r="D100">
        <v>500</v>
      </c>
      <c r="E100">
        <v>200</v>
      </c>
    </row>
    <row r="101" spans="1:5" x14ac:dyDescent="0.35">
      <c r="A101">
        <v>1100</v>
      </c>
      <c r="B101" s="1">
        <v>45432</v>
      </c>
      <c r="C101" t="s">
        <v>21</v>
      </c>
      <c r="D101">
        <v>500</v>
      </c>
      <c r="E101">
        <v>200</v>
      </c>
    </row>
    <row r="102" spans="1:5" x14ac:dyDescent="0.35">
      <c r="A102">
        <v>1101</v>
      </c>
      <c r="B102" s="1">
        <v>45541</v>
      </c>
      <c r="C102" t="s">
        <v>21</v>
      </c>
      <c r="D102">
        <v>500</v>
      </c>
      <c r="E102">
        <v>200</v>
      </c>
    </row>
    <row r="103" spans="1:5" x14ac:dyDescent="0.35">
      <c r="A103">
        <v>1102</v>
      </c>
      <c r="B103" s="1">
        <v>45833</v>
      </c>
      <c r="C103" t="s">
        <v>18</v>
      </c>
      <c r="D103">
        <v>200</v>
      </c>
      <c r="E103">
        <v>100</v>
      </c>
    </row>
    <row r="104" spans="1:5" x14ac:dyDescent="0.35">
      <c r="A104">
        <v>1103</v>
      </c>
      <c r="B104" s="1">
        <v>45355</v>
      </c>
      <c r="C104" t="s">
        <v>75</v>
      </c>
      <c r="D104">
        <v>50</v>
      </c>
      <c r="E104">
        <v>30</v>
      </c>
    </row>
    <row r="105" spans="1:5" x14ac:dyDescent="0.35">
      <c r="A105">
        <v>1104</v>
      </c>
      <c r="B105" s="1">
        <v>45358</v>
      </c>
      <c r="C105" t="s">
        <v>18</v>
      </c>
      <c r="D105">
        <v>200</v>
      </c>
      <c r="E105">
        <v>100</v>
      </c>
    </row>
    <row r="106" spans="1:5" x14ac:dyDescent="0.35">
      <c r="A106">
        <v>1105</v>
      </c>
      <c r="B106" s="1">
        <v>45686</v>
      </c>
      <c r="C106" t="s">
        <v>75</v>
      </c>
      <c r="D106">
        <v>50</v>
      </c>
      <c r="E106">
        <v>30</v>
      </c>
    </row>
    <row r="107" spans="1:5" x14ac:dyDescent="0.35">
      <c r="A107">
        <v>1106</v>
      </c>
      <c r="B107" s="1">
        <v>45498</v>
      </c>
      <c r="C107" t="s">
        <v>18</v>
      </c>
      <c r="D107">
        <v>200</v>
      </c>
      <c r="E107">
        <v>100</v>
      </c>
    </row>
    <row r="108" spans="1:5" x14ac:dyDescent="0.35">
      <c r="A108">
        <v>1107</v>
      </c>
      <c r="B108" s="1">
        <v>45341</v>
      </c>
      <c r="C108" t="s">
        <v>18</v>
      </c>
      <c r="D108">
        <v>200</v>
      </c>
      <c r="E108">
        <v>100</v>
      </c>
    </row>
    <row r="109" spans="1:5" x14ac:dyDescent="0.35">
      <c r="A109">
        <v>1108</v>
      </c>
      <c r="B109" s="1">
        <v>45615</v>
      </c>
      <c r="C109" t="s">
        <v>18</v>
      </c>
      <c r="D109">
        <v>200</v>
      </c>
      <c r="E109">
        <v>100</v>
      </c>
    </row>
    <row r="110" spans="1:5" x14ac:dyDescent="0.35">
      <c r="A110">
        <v>1109</v>
      </c>
      <c r="B110" s="1">
        <v>45449</v>
      </c>
      <c r="C110" t="s">
        <v>18</v>
      </c>
      <c r="D110">
        <v>200</v>
      </c>
      <c r="E110">
        <v>100</v>
      </c>
    </row>
    <row r="111" spans="1:5" x14ac:dyDescent="0.35">
      <c r="A111">
        <v>1110</v>
      </c>
      <c r="B111" s="1">
        <v>45624</v>
      </c>
      <c r="C111" t="s">
        <v>75</v>
      </c>
      <c r="D111">
        <v>50</v>
      </c>
      <c r="E111">
        <v>30</v>
      </c>
    </row>
    <row r="112" spans="1:5" x14ac:dyDescent="0.35">
      <c r="A112">
        <v>1111</v>
      </c>
      <c r="B112" s="1">
        <v>45765</v>
      </c>
      <c r="C112" t="s">
        <v>18</v>
      </c>
      <c r="D112">
        <v>200</v>
      </c>
      <c r="E112">
        <v>100</v>
      </c>
    </row>
    <row r="113" spans="1:6" x14ac:dyDescent="0.35">
      <c r="A113">
        <v>1112</v>
      </c>
      <c r="B113" s="1">
        <v>45363</v>
      </c>
      <c r="C113" t="s">
        <v>21</v>
      </c>
      <c r="D113">
        <v>500</v>
      </c>
      <c r="E113">
        <v>200</v>
      </c>
    </row>
    <row r="114" spans="1:6" x14ac:dyDescent="0.35">
      <c r="A114">
        <v>1113</v>
      </c>
      <c r="B114" s="1">
        <v>45492</v>
      </c>
      <c r="C114" t="s">
        <v>75</v>
      </c>
      <c r="D114">
        <v>50</v>
      </c>
      <c r="E114">
        <v>30</v>
      </c>
    </row>
    <row r="115" spans="1:6" x14ac:dyDescent="0.35">
      <c r="A115">
        <v>1114</v>
      </c>
      <c r="B115" s="1">
        <v>45320</v>
      </c>
      <c r="C115" t="s">
        <v>75</v>
      </c>
      <c r="D115">
        <v>50</v>
      </c>
      <c r="E115">
        <v>30</v>
      </c>
    </row>
    <row r="116" spans="1:6" x14ac:dyDescent="0.35">
      <c r="A116">
        <v>1115</v>
      </c>
      <c r="B116" s="1">
        <v>45584</v>
      </c>
      <c r="C116" t="s">
        <v>21</v>
      </c>
      <c r="D116">
        <v>500</v>
      </c>
      <c r="E116">
        <v>200</v>
      </c>
    </row>
    <row r="117" spans="1:6" x14ac:dyDescent="0.35">
      <c r="A117">
        <v>1116</v>
      </c>
      <c r="B117" s="1">
        <v>45796</v>
      </c>
      <c r="C117" t="s">
        <v>75</v>
      </c>
      <c r="D117">
        <v>50</v>
      </c>
      <c r="E117">
        <v>30</v>
      </c>
    </row>
    <row r="118" spans="1:6" x14ac:dyDescent="0.35">
      <c r="A118">
        <v>1117</v>
      </c>
      <c r="B118" s="1">
        <v>45301</v>
      </c>
      <c r="C118" t="s">
        <v>18</v>
      </c>
      <c r="D118">
        <v>200</v>
      </c>
      <c r="E118">
        <v>100</v>
      </c>
    </row>
    <row r="119" spans="1:6" x14ac:dyDescent="0.35">
      <c r="A119">
        <v>1118</v>
      </c>
      <c r="B119" s="1">
        <v>45599</v>
      </c>
      <c r="C119" t="s">
        <v>18</v>
      </c>
      <c r="D119">
        <v>200</v>
      </c>
      <c r="E119">
        <v>100</v>
      </c>
    </row>
    <row r="120" spans="1:6" x14ac:dyDescent="0.35">
      <c r="A120">
        <v>1119</v>
      </c>
      <c r="B120" s="1">
        <v>45499</v>
      </c>
      <c r="C120" t="s">
        <v>21</v>
      </c>
      <c r="D120">
        <v>500</v>
      </c>
      <c r="E120">
        <v>200</v>
      </c>
      <c r="F120" s="1">
        <v>45769</v>
      </c>
    </row>
    <row r="121" spans="1:6" x14ac:dyDescent="0.35">
      <c r="A121">
        <v>1120</v>
      </c>
      <c r="B121" s="1">
        <v>45523</v>
      </c>
      <c r="C121" t="s">
        <v>21</v>
      </c>
      <c r="D121">
        <v>500</v>
      </c>
      <c r="E121">
        <v>200</v>
      </c>
      <c r="F121" s="1">
        <v>45731</v>
      </c>
    </row>
    <row r="122" spans="1:6" x14ac:dyDescent="0.35">
      <c r="A122">
        <v>1121</v>
      </c>
      <c r="B122" s="1">
        <v>45667</v>
      </c>
      <c r="C122" t="s">
        <v>21</v>
      </c>
      <c r="D122">
        <v>500</v>
      </c>
      <c r="E122">
        <v>200</v>
      </c>
    </row>
    <row r="123" spans="1:6" x14ac:dyDescent="0.35">
      <c r="A123">
        <v>1122</v>
      </c>
      <c r="B123" s="1">
        <v>45794</v>
      </c>
      <c r="C123" t="s">
        <v>18</v>
      </c>
      <c r="D123">
        <v>200</v>
      </c>
      <c r="E123">
        <v>100</v>
      </c>
    </row>
    <row r="124" spans="1:6" x14ac:dyDescent="0.35">
      <c r="A124">
        <v>1123</v>
      </c>
      <c r="B124" s="1">
        <v>45831</v>
      </c>
      <c r="C124" t="s">
        <v>75</v>
      </c>
      <c r="D124">
        <v>50</v>
      </c>
      <c r="E124">
        <v>30</v>
      </c>
    </row>
    <row r="125" spans="1:6" x14ac:dyDescent="0.35">
      <c r="A125">
        <v>1124</v>
      </c>
      <c r="B125" s="1">
        <v>45541</v>
      </c>
      <c r="C125" t="s">
        <v>75</v>
      </c>
      <c r="D125">
        <v>50</v>
      </c>
      <c r="E125">
        <v>30</v>
      </c>
    </row>
    <row r="126" spans="1:6" x14ac:dyDescent="0.35">
      <c r="A126">
        <v>1125</v>
      </c>
      <c r="B126" s="1">
        <v>45529</v>
      </c>
      <c r="C126" t="s">
        <v>21</v>
      </c>
      <c r="D126">
        <v>500</v>
      </c>
      <c r="E126">
        <v>200</v>
      </c>
      <c r="F126" s="1">
        <v>45678</v>
      </c>
    </row>
    <row r="127" spans="1:6" x14ac:dyDescent="0.35">
      <c r="A127">
        <v>1126</v>
      </c>
      <c r="B127" s="1">
        <v>45634</v>
      </c>
      <c r="C127" t="s">
        <v>18</v>
      </c>
      <c r="D127">
        <v>200</v>
      </c>
      <c r="E127">
        <v>100</v>
      </c>
    </row>
    <row r="128" spans="1:6" x14ac:dyDescent="0.35">
      <c r="A128">
        <v>1127</v>
      </c>
      <c r="B128" s="1">
        <v>45727</v>
      </c>
      <c r="C128" t="s">
        <v>75</v>
      </c>
      <c r="D128">
        <v>50</v>
      </c>
      <c r="E128">
        <v>30</v>
      </c>
    </row>
    <row r="129" spans="1:6" x14ac:dyDescent="0.35">
      <c r="A129">
        <v>1128</v>
      </c>
      <c r="B129" s="1">
        <v>45313</v>
      </c>
      <c r="C129" t="s">
        <v>18</v>
      </c>
      <c r="D129">
        <v>200</v>
      </c>
      <c r="E129">
        <v>100</v>
      </c>
    </row>
    <row r="130" spans="1:6" x14ac:dyDescent="0.35">
      <c r="A130">
        <v>1129</v>
      </c>
      <c r="B130" s="1">
        <v>45542</v>
      </c>
      <c r="C130" t="s">
        <v>75</v>
      </c>
      <c r="D130">
        <v>50</v>
      </c>
      <c r="E130">
        <v>30</v>
      </c>
    </row>
    <row r="131" spans="1:6" x14ac:dyDescent="0.35">
      <c r="A131">
        <v>1130</v>
      </c>
      <c r="B131" s="1">
        <v>45755</v>
      </c>
      <c r="C131" t="s">
        <v>18</v>
      </c>
      <c r="D131">
        <v>200</v>
      </c>
      <c r="E131">
        <v>100</v>
      </c>
    </row>
    <row r="132" spans="1:6" x14ac:dyDescent="0.35">
      <c r="A132">
        <v>1131</v>
      </c>
      <c r="B132" s="1">
        <v>45708</v>
      </c>
      <c r="C132" t="s">
        <v>18</v>
      </c>
      <c r="D132">
        <v>200</v>
      </c>
      <c r="E132">
        <v>100</v>
      </c>
    </row>
    <row r="133" spans="1:6" x14ac:dyDescent="0.35">
      <c r="A133">
        <v>1132</v>
      </c>
      <c r="B133" s="1">
        <v>45603</v>
      </c>
      <c r="C133" t="s">
        <v>75</v>
      </c>
      <c r="D133">
        <v>50</v>
      </c>
      <c r="E133">
        <v>30</v>
      </c>
      <c r="F133" s="1">
        <v>45779</v>
      </c>
    </row>
    <row r="134" spans="1:6" x14ac:dyDescent="0.35">
      <c r="A134">
        <v>1133</v>
      </c>
      <c r="B134" s="1">
        <v>45381</v>
      </c>
      <c r="C134" t="s">
        <v>18</v>
      </c>
      <c r="D134">
        <v>200</v>
      </c>
      <c r="E134">
        <v>100</v>
      </c>
    </row>
    <row r="135" spans="1:6" x14ac:dyDescent="0.35">
      <c r="A135">
        <v>1134</v>
      </c>
      <c r="B135" s="1">
        <v>45337</v>
      </c>
      <c r="C135" t="s">
        <v>18</v>
      </c>
      <c r="D135">
        <v>200</v>
      </c>
      <c r="E135">
        <v>100</v>
      </c>
    </row>
    <row r="136" spans="1:6" x14ac:dyDescent="0.35">
      <c r="A136">
        <v>1135</v>
      </c>
      <c r="B136" s="1">
        <v>45820</v>
      </c>
      <c r="C136" t="s">
        <v>75</v>
      </c>
      <c r="D136">
        <v>50</v>
      </c>
      <c r="E136">
        <v>30</v>
      </c>
    </row>
    <row r="137" spans="1:6" x14ac:dyDescent="0.35">
      <c r="A137">
        <v>1136</v>
      </c>
      <c r="B137" s="1">
        <v>45720</v>
      </c>
      <c r="C137" t="s">
        <v>21</v>
      </c>
      <c r="D137">
        <v>500</v>
      </c>
      <c r="E137">
        <v>200</v>
      </c>
    </row>
    <row r="138" spans="1:6" x14ac:dyDescent="0.35">
      <c r="A138">
        <v>1137</v>
      </c>
      <c r="B138" s="1">
        <v>45299</v>
      </c>
      <c r="C138" t="s">
        <v>75</v>
      </c>
      <c r="D138">
        <v>50</v>
      </c>
      <c r="E138">
        <v>30</v>
      </c>
      <c r="F138" s="1">
        <v>45329</v>
      </c>
    </row>
    <row r="139" spans="1:6" x14ac:dyDescent="0.35">
      <c r="A139">
        <v>1138</v>
      </c>
      <c r="B139" s="1">
        <v>45473</v>
      </c>
      <c r="C139" t="s">
        <v>75</v>
      </c>
      <c r="D139">
        <v>50</v>
      </c>
      <c r="E139">
        <v>30</v>
      </c>
    </row>
    <row r="140" spans="1:6" x14ac:dyDescent="0.35">
      <c r="A140">
        <v>1139</v>
      </c>
      <c r="B140" s="1">
        <v>45581</v>
      </c>
      <c r="C140" t="s">
        <v>21</v>
      </c>
      <c r="D140">
        <v>500</v>
      </c>
      <c r="E140">
        <v>200</v>
      </c>
    </row>
    <row r="141" spans="1:6" x14ac:dyDescent="0.35">
      <c r="A141">
        <v>1140</v>
      </c>
      <c r="B141" s="1">
        <v>45666</v>
      </c>
      <c r="C141" t="s">
        <v>18</v>
      </c>
      <c r="D141">
        <v>200</v>
      </c>
      <c r="E141">
        <v>100</v>
      </c>
    </row>
    <row r="142" spans="1:6" x14ac:dyDescent="0.35">
      <c r="A142">
        <v>1141</v>
      </c>
      <c r="B142" s="1">
        <v>45328</v>
      </c>
      <c r="C142" t="s">
        <v>75</v>
      </c>
      <c r="D142">
        <v>50</v>
      </c>
      <c r="E142">
        <v>30</v>
      </c>
    </row>
    <row r="143" spans="1:6" x14ac:dyDescent="0.35">
      <c r="A143">
        <v>1142</v>
      </c>
      <c r="B143" s="1">
        <v>45632</v>
      </c>
      <c r="C143" t="s">
        <v>21</v>
      </c>
      <c r="D143">
        <v>500</v>
      </c>
      <c r="E143">
        <v>200</v>
      </c>
    </row>
    <row r="144" spans="1:6" x14ac:dyDescent="0.35">
      <c r="A144">
        <v>1143</v>
      </c>
      <c r="B144" s="1">
        <v>45395</v>
      </c>
      <c r="C144" t="s">
        <v>18</v>
      </c>
      <c r="D144">
        <v>200</v>
      </c>
      <c r="E144">
        <v>100</v>
      </c>
      <c r="F144" s="1">
        <v>45684</v>
      </c>
    </row>
    <row r="145" spans="1:6" x14ac:dyDescent="0.35">
      <c r="A145">
        <v>1144</v>
      </c>
      <c r="B145" s="1">
        <v>45814</v>
      </c>
      <c r="C145" t="s">
        <v>18</v>
      </c>
      <c r="D145">
        <v>200</v>
      </c>
      <c r="E145">
        <v>100</v>
      </c>
    </row>
    <row r="146" spans="1:6" x14ac:dyDescent="0.35">
      <c r="A146">
        <v>1145</v>
      </c>
      <c r="B146" s="1">
        <v>45604</v>
      </c>
      <c r="C146" t="s">
        <v>75</v>
      </c>
      <c r="D146">
        <v>50</v>
      </c>
      <c r="E146">
        <v>30</v>
      </c>
    </row>
    <row r="147" spans="1:6" x14ac:dyDescent="0.35">
      <c r="A147">
        <v>1146</v>
      </c>
      <c r="B147" s="1">
        <v>45462</v>
      </c>
      <c r="C147" t="s">
        <v>18</v>
      </c>
      <c r="D147">
        <v>200</v>
      </c>
      <c r="E147">
        <v>100</v>
      </c>
    </row>
    <row r="148" spans="1:6" x14ac:dyDescent="0.35">
      <c r="A148">
        <v>1147</v>
      </c>
      <c r="B148" s="1">
        <v>45745</v>
      </c>
      <c r="C148" t="s">
        <v>18</v>
      </c>
      <c r="D148">
        <v>200</v>
      </c>
      <c r="E148">
        <v>100</v>
      </c>
    </row>
    <row r="149" spans="1:6" x14ac:dyDescent="0.35">
      <c r="A149">
        <v>1148</v>
      </c>
      <c r="B149" s="1">
        <v>45788</v>
      </c>
      <c r="C149" t="s">
        <v>21</v>
      </c>
      <c r="D149">
        <v>500</v>
      </c>
      <c r="E149">
        <v>200</v>
      </c>
    </row>
    <row r="150" spans="1:6" x14ac:dyDescent="0.35">
      <c r="A150">
        <v>1149</v>
      </c>
      <c r="B150" s="1">
        <v>45823</v>
      </c>
      <c r="C150" t="s">
        <v>18</v>
      </c>
      <c r="D150">
        <v>200</v>
      </c>
      <c r="E150">
        <v>100</v>
      </c>
    </row>
    <row r="151" spans="1:6" x14ac:dyDescent="0.35">
      <c r="A151">
        <v>1150</v>
      </c>
      <c r="B151" s="1">
        <v>45730</v>
      </c>
      <c r="C151" t="s">
        <v>75</v>
      </c>
      <c r="D151">
        <v>50</v>
      </c>
      <c r="E151">
        <v>30</v>
      </c>
    </row>
    <row r="152" spans="1:6" x14ac:dyDescent="0.35">
      <c r="A152">
        <v>1151</v>
      </c>
      <c r="B152" s="1">
        <v>45480</v>
      </c>
      <c r="C152" t="s">
        <v>21</v>
      </c>
      <c r="D152">
        <v>500</v>
      </c>
      <c r="E152">
        <v>200</v>
      </c>
      <c r="F152" s="1">
        <v>45771</v>
      </c>
    </row>
    <row r="153" spans="1:6" x14ac:dyDescent="0.35">
      <c r="A153">
        <v>1152</v>
      </c>
      <c r="B153" s="1">
        <v>45620</v>
      </c>
      <c r="C153" t="s">
        <v>21</v>
      </c>
      <c r="D153">
        <v>500</v>
      </c>
      <c r="E153">
        <v>200</v>
      </c>
    </row>
    <row r="154" spans="1:6" x14ac:dyDescent="0.35">
      <c r="A154">
        <v>1153</v>
      </c>
      <c r="B154" s="1">
        <v>45552</v>
      </c>
      <c r="C154" t="s">
        <v>75</v>
      </c>
      <c r="D154">
        <v>50</v>
      </c>
      <c r="E154">
        <v>30</v>
      </c>
    </row>
    <row r="155" spans="1:6" x14ac:dyDescent="0.35">
      <c r="A155">
        <v>1154</v>
      </c>
      <c r="B155" s="1">
        <v>45834</v>
      </c>
      <c r="C155" t="s">
        <v>75</v>
      </c>
      <c r="D155">
        <v>50</v>
      </c>
      <c r="E155">
        <v>30</v>
      </c>
      <c r="F155" s="1">
        <v>45838</v>
      </c>
    </row>
    <row r="156" spans="1:6" x14ac:dyDescent="0.35">
      <c r="A156">
        <v>1155</v>
      </c>
      <c r="B156" s="1">
        <v>45394</v>
      </c>
      <c r="C156" t="s">
        <v>75</v>
      </c>
      <c r="D156">
        <v>50</v>
      </c>
      <c r="E156">
        <v>30</v>
      </c>
    </row>
    <row r="157" spans="1:6" x14ac:dyDescent="0.35">
      <c r="A157">
        <v>1156</v>
      </c>
      <c r="B157" s="1">
        <v>45644</v>
      </c>
      <c r="C157" t="s">
        <v>21</v>
      </c>
      <c r="D157">
        <v>500</v>
      </c>
      <c r="E157">
        <v>200</v>
      </c>
    </row>
    <row r="158" spans="1:6" x14ac:dyDescent="0.35">
      <c r="A158">
        <v>1157</v>
      </c>
      <c r="B158" s="1">
        <v>45774</v>
      </c>
      <c r="C158" t="s">
        <v>21</v>
      </c>
      <c r="D158">
        <v>500</v>
      </c>
      <c r="E158">
        <v>200</v>
      </c>
    </row>
    <row r="159" spans="1:6" x14ac:dyDescent="0.35">
      <c r="A159">
        <v>1158</v>
      </c>
      <c r="B159" s="1">
        <v>45462</v>
      </c>
      <c r="C159" t="s">
        <v>21</v>
      </c>
      <c r="D159">
        <v>500</v>
      </c>
      <c r="E159">
        <v>200</v>
      </c>
    </row>
    <row r="160" spans="1:6" x14ac:dyDescent="0.35">
      <c r="A160">
        <v>1159</v>
      </c>
      <c r="B160" s="1">
        <v>45442</v>
      </c>
      <c r="C160" t="s">
        <v>21</v>
      </c>
      <c r="D160">
        <v>500</v>
      </c>
      <c r="E160">
        <v>200</v>
      </c>
    </row>
    <row r="161" spans="1:6" x14ac:dyDescent="0.35">
      <c r="A161">
        <v>1160</v>
      </c>
      <c r="B161" s="1">
        <v>45774</v>
      </c>
      <c r="C161" t="s">
        <v>75</v>
      </c>
      <c r="D161">
        <v>50</v>
      </c>
      <c r="E161">
        <v>30</v>
      </c>
    </row>
    <row r="162" spans="1:6" x14ac:dyDescent="0.35">
      <c r="A162">
        <v>1161</v>
      </c>
      <c r="B162" s="1">
        <v>45624</v>
      </c>
      <c r="C162" t="s">
        <v>18</v>
      </c>
      <c r="D162">
        <v>200</v>
      </c>
      <c r="E162">
        <v>100</v>
      </c>
    </row>
    <row r="163" spans="1:6" x14ac:dyDescent="0.35">
      <c r="A163">
        <v>1162</v>
      </c>
      <c r="B163" s="1">
        <v>45793</v>
      </c>
      <c r="C163" t="s">
        <v>75</v>
      </c>
      <c r="D163">
        <v>50</v>
      </c>
      <c r="E163">
        <v>30</v>
      </c>
    </row>
    <row r="164" spans="1:6" x14ac:dyDescent="0.35">
      <c r="A164">
        <v>1163</v>
      </c>
      <c r="B164" s="1">
        <v>45328</v>
      </c>
      <c r="C164" t="s">
        <v>21</v>
      </c>
      <c r="D164">
        <v>500</v>
      </c>
      <c r="E164">
        <v>200</v>
      </c>
    </row>
    <row r="165" spans="1:6" x14ac:dyDescent="0.35">
      <c r="A165">
        <v>1164</v>
      </c>
      <c r="B165" s="1">
        <v>45558</v>
      </c>
      <c r="C165" t="s">
        <v>18</v>
      </c>
      <c r="D165">
        <v>200</v>
      </c>
      <c r="E165">
        <v>100</v>
      </c>
    </row>
    <row r="166" spans="1:6" x14ac:dyDescent="0.35">
      <c r="A166">
        <v>1165</v>
      </c>
      <c r="B166" s="1">
        <v>45604</v>
      </c>
      <c r="C166" t="s">
        <v>75</v>
      </c>
      <c r="D166">
        <v>50</v>
      </c>
      <c r="E166">
        <v>30</v>
      </c>
    </row>
    <row r="167" spans="1:6" x14ac:dyDescent="0.35">
      <c r="A167">
        <v>1166</v>
      </c>
      <c r="B167" s="1">
        <v>45761</v>
      </c>
      <c r="C167" t="s">
        <v>75</v>
      </c>
      <c r="D167">
        <v>50</v>
      </c>
      <c r="E167">
        <v>30</v>
      </c>
    </row>
    <row r="168" spans="1:6" x14ac:dyDescent="0.35">
      <c r="A168">
        <v>1167</v>
      </c>
      <c r="B168" s="1">
        <v>45302</v>
      </c>
      <c r="C168" t="s">
        <v>21</v>
      </c>
      <c r="D168">
        <v>500</v>
      </c>
      <c r="E168">
        <v>200</v>
      </c>
      <c r="F168" s="1">
        <v>45678</v>
      </c>
    </row>
    <row r="169" spans="1:6" x14ac:dyDescent="0.35">
      <c r="A169">
        <v>1168</v>
      </c>
      <c r="B169" s="1">
        <v>45738</v>
      </c>
      <c r="C169" t="s">
        <v>18</v>
      </c>
      <c r="D169">
        <v>200</v>
      </c>
      <c r="E169">
        <v>100</v>
      </c>
    </row>
    <row r="170" spans="1:6" x14ac:dyDescent="0.35">
      <c r="A170">
        <v>1169</v>
      </c>
      <c r="B170" s="1">
        <v>45292</v>
      </c>
      <c r="C170" t="s">
        <v>21</v>
      </c>
      <c r="D170">
        <v>500</v>
      </c>
      <c r="E170">
        <v>200</v>
      </c>
    </row>
    <row r="171" spans="1:6" x14ac:dyDescent="0.35">
      <c r="A171">
        <v>1170</v>
      </c>
      <c r="B171" s="1">
        <v>45340</v>
      </c>
      <c r="C171" t="s">
        <v>18</v>
      </c>
      <c r="D171">
        <v>200</v>
      </c>
      <c r="E171">
        <v>100</v>
      </c>
    </row>
    <row r="172" spans="1:6" x14ac:dyDescent="0.35">
      <c r="A172">
        <v>1171</v>
      </c>
      <c r="B172" s="1">
        <v>45505</v>
      </c>
      <c r="C172" t="s">
        <v>21</v>
      </c>
      <c r="D172">
        <v>500</v>
      </c>
      <c r="E172">
        <v>200</v>
      </c>
    </row>
    <row r="173" spans="1:6" x14ac:dyDescent="0.35">
      <c r="A173">
        <v>1172</v>
      </c>
      <c r="B173" s="1">
        <v>45577</v>
      </c>
      <c r="C173" t="s">
        <v>21</v>
      </c>
      <c r="D173">
        <v>500</v>
      </c>
      <c r="E173">
        <v>200</v>
      </c>
    </row>
    <row r="174" spans="1:6" x14ac:dyDescent="0.35">
      <c r="A174">
        <v>1173</v>
      </c>
      <c r="B174" s="1">
        <v>45377</v>
      </c>
      <c r="C174" t="s">
        <v>75</v>
      </c>
      <c r="D174">
        <v>50</v>
      </c>
      <c r="E174">
        <v>30</v>
      </c>
    </row>
    <row r="175" spans="1:6" x14ac:dyDescent="0.35">
      <c r="A175">
        <v>1174</v>
      </c>
      <c r="B175" s="1">
        <v>45760</v>
      </c>
      <c r="C175" t="s">
        <v>75</v>
      </c>
      <c r="D175">
        <v>50</v>
      </c>
      <c r="E175">
        <v>30</v>
      </c>
    </row>
    <row r="176" spans="1:6" x14ac:dyDescent="0.35">
      <c r="A176">
        <v>1175</v>
      </c>
      <c r="B176" s="1">
        <v>45489</v>
      </c>
      <c r="C176" t="s">
        <v>21</v>
      </c>
      <c r="D176">
        <v>500</v>
      </c>
      <c r="E176">
        <v>200</v>
      </c>
      <c r="F176" s="1">
        <v>45548</v>
      </c>
    </row>
    <row r="177" spans="1:6" x14ac:dyDescent="0.35">
      <c r="A177">
        <v>1176</v>
      </c>
      <c r="B177" s="1">
        <v>45333</v>
      </c>
      <c r="C177" t="s">
        <v>21</v>
      </c>
      <c r="D177">
        <v>500</v>
      </c>
      <c r="E177">
        <v>200</v>
      </c>
    </row>
    <row r="178" spans="1:6" x14ac:dyDescent="0.35">
      <c r="A178">
        <v>1177</v>
      </c>
      <c r="B178" s="1">
        <v>45325</v>
      </c>
      <c r="C178" t="s">
        <v>75</v>
      </c>
      <c r="D178">
        <v>50</v>
      </c>
      <c r="E178">
        <v>30</v>
      </c>
    </row>
    <row r="179" spans="1:6" x14ac:dyDescent="0.35">
      <c r="A179">
        <v>1178</v>
      </c>
      <c r="B179" s="1">
        <v>45687</v>
      </c>
      <c r="C179" t="s">
        <v>75</v>
      </c>
      <c r="D179">
        <v>50</v>
      </c>
      <c r="E179">
        <v>30</v>
      </c>
      <c r="F179" s="1">
        <v>45742</v>
      </c>
    </row>
    <row r="180" spans="1:6" x14ac:dyDescent="0.35">
      <c r="A180">
        <v>1179</v>
      </c>
      <c r="B180" s="1">
        <v>45732</v>
      </c>
      <c r="C180" t="s">
        <v>21</v>
      </c>
      <c r="D180">
        <v>500</v>
      </c>
      <c r="E180">
        <v>200</v>
      </c>
    </row>
    <row r="181" spans="1:6" x14ac:dyDescent="0.35">
      <c r="A181">
        <v>1180</v>
      </c>
      <c r="B181" s="1">
        <v>45403</v>
      </c>
      <c r="C181" t="s">
        <v>18</v>
      </c>
      <c r="D181">
        <v>200</v>
      </c>
      <c r="E181">
        <v>100</v>
      </c>
    </row>
    <row r="182" spans="1:6" x14ac:dyDescent="0.35">
      <c r="A182">
        <v>1181</v>
      </c>
      <c r="B182" s="1">
        <v>45300</v>
      </c>
      <c r="C182" t="s">
        <v>75</v>
      </c>
      <c r="D182">
        <v>50</v>
      </c>
      <c r="E182">
        <v>30</v>
      </c>
      <c r="F182" s="1">
        <v>45446</v>
      </c>
    </row>
    <row r="183" spans="1:6" x14ac:dyDescent="0.35">
      <c r="A183">
        <v>1182</v>
      </c>
      <c r="B183" s="1">
        <v>45657</v>
      </c>
      <c r="C183" t="s">
        <v>21</v>
      </c>
      <c r="D183">
        <v>500</v>
      </c>
      <c r="E183">
        <v>200</v>
      </c>
    </row>
    <row r="184" spans="1:6" x14ac:dyDescent="0.35">
      <c r="A184">
        <v>1183</v>
      </c>
      <c r="B184" s="1">
        <v>45824</v>
      </c>
      <c r="C184" t="s">
        <v>18</v>
      </c>
      <c r="D184">
        <v>200</v>
      </c>
      <c r="E184">
        <v>100</v>
      </c>
    </row>
    <row r="185" spans="1:6" x14ac:dyDescent="0.35">
      <c r="A185">
        <v>1184</v>
      </c>
      <c r="B185" s="1">
        <v>45620</v>
      </c>
      <c r="C185" t="s">
        <v>75</v>
      </c>
      <c r="D185">
        <v>50</v>
      </c>
      <c r="E185">
        <v>30</v>
      </c>
    </row>
    <row r="186" spans="1:6" x14ac:dyDescent="0.35">
      <c r="A186">
        <v>1185</v>
      </c>
      <c r="B186" s="1">
        <v>45637</v>
      </c>
      <c r="C186" t="s">
        <v>18</v>
      </c>
      <c r="D186">
        <v>200</v>
      </c>
      <c r="E186">
        <v>100</v>
      </c>
      <c r="F186" s="1">
        <v>45835</v>
      </c>
    </row>
    <row r="187" spans="1:6" x14ac:dyDescent="0.35">
      <c r="A187">
        <v>1186</v>
      </c>
      <c r="B187" s="1">
        <v>45795</v>
      </c>
      <c r="C187" t="s">
        <v>18</v>
      </c>
      <c r="D187">
        <v>200</v>
      </c>
      <c r="E187">
        <v>100</v>
      </c>
    </row>
    <row r="188" spans="1:6" x14ac:dyDescent="0.35">
      <c r="A188">
        <v>1187</v>
      </c>
      <c r="B188" s="1">
        <v>45373</v>
      </c>
      <c r="C188" t="s">
        <v>21</v>
      </c>
      <c r="D188">
        <v>500</v>
      </c>
      <c r="E188">
        <v>200</v>
      </c>
    </row>
    <row r="189" spans="1:6" x14ac:dyDescent="0.35">
      <c r="A189">
        <v>1188</v>
      </c>
      <c r="B189" s="1">
        <v>45477</v>
      </c>
      <c r="C189" t="s">
        <v>18</v>
      </c>
      <c r="D189">
        <v>200</v>
      </c>
      <c r="E189">
        <v>100</v>
      </c>
      <c r="F189" s="1">
        <v>45539</v>
      </c>
    </row>
    <row r="190" spans="1:6" x14ac:dyDescent="0.35">
      <c r="A190">
        <v>1189</v>
      </c>
      <c r="B190" s="1">
        <v>45569</v>
      </c>
      <c r="C190" t="s">
        <v>18</v>
      </c>
      <c r="D190">
        <v>200</v>
      </c>
      <c r="E190">
        <v>100</v>
      </c>
    </row>
    <row r="191" spans="1:6" x14ac:dyDescent="0.35">
      <c r="A191">
        <v>1190</v>
      </c>
      <c r="B191" s="1">
        <v>45687</v>
      </c>
      <c r="C191" t="s">
        <v>21</v>
      </c>
      <c r="D191">
        <v>500</v>
      </c>
      <c r="E191">
        <v>200</v>
      </c>
    </row>
    <row r="192" spans="1:6" x14ac:dyDescent="0.35">
      <c r="A192">
        <v>1191</v>
      </c>
      <c r="B192" s="1">
        <v>45752</v>
      </c>
      <c r="C192" t="s">
        <v>18</v>
      </c>
      <c r="D192">
        <v>200</v>
      </c>
      <c r="E192">
        <v>100</v>
      </c>
    </row>
    <row r="193" spans="1:6" x14ac:dyDescent="0.35">
      <c r="A193">
        <v>1192</v>
      </c>
      <c r="B193" s="1">
        <v>45793</v>
      </c>
      <c r="C193" t="s">
        <v>75</v>
      </c>
      <c r="D193">
        <v>50</v>
      </c>
      <c r="E193">
        <v>30</v>
      </c>
    </row>
    <row r="194" spans="1:6" x14ac:dyDescent="0.35">
      <c r="A194">
        <v>1193</v>
      </c>
      <c r="B194" s="1">
        <v>45315</v>
      </c>
      <c r="C194" t="s">
        <v>18</v>
      </c>
      <c r="D194">
        <v>200</v>
      </c>
      <c r="E194">
        <v>100</v>
      </c>
      <c r="F194" s="1">
        <v>45744</v>
      </c>
    </row>
    <row r="195" spans="1:6" x14ac:dyDescent="0.35">
      <c r="A195">
        <v>1194</v>
      </c>
      <c r="B195" s="1">
        <v>45739</v>
      </c>
      <c r="C195" t="s">
        <v>18</v>
      </c>
      <c r="D195">
        <v>200</v>
      </c>
      <c r="E195">
        <v>100</v>
      </c>
    </row>
    <row r="196" spans="1:6" x14ac:dyDescent="0.35">
      <c r="A196">
        <v>1195</v>
      </c>
      <c r="B196" s="1">
        <v>45527</v>
      </c>
      <c r="C196" t="s">
        <v>21</v>
      </c>
      <c r="D196">
        <v>500</v>
      </c>
      <c r="E196">
        <v>200</v>
      </c>
    </row>
    <row r="197" spans="1:6" x14ac:dyDescent="0.35">
      <c r="A197">
        <v>1196</v>
      </c>
      <c r="B197" s="1">
        <v>45352</v>
      </c>
      <c r="C197" t="s">
        <v>21</v>
      </c>
      <c r="D197">
        <v>500</v>
      </c>
      <c r="E197">
        <v>200</v>
      </c>
    </row>
    <row r="198" spans="1:6" x14ac:dyDescent="0.35">
      <c r="A198">
        <v>1197</v>
      </c>
      <c r="B198" s="1">
        <v>45724</v>
      </c>
      <c r="C198" t="s">
        <v>75</v>
      </c>
      <c r="D198">
        <v>50</v>
      </c>
      <c r="E198">
        <v>30</v>
      </c>
      <c r="F198" s="1">
        <v>45831</v>
      </c>
    </row>
    <row r="199" spans="1:6" x14ac:dyDescent="0.35">
      <c r="A199">
        <v>1198</v>
      </c>
      <c r="B199" s="1">
        <v>45506</v>
      </c>
      <c r="C199" t="s">
        <v>18</v>
      </c>
      <c r="D199">
        <v>200</v>
      </c>
      <c r="E199">
        <v>100</v>
      </c>
    </row>
    <row r="200" spans="1:6" x14ac:dyDescent="0.35">
      <c r="A200">
        <v>1199</v>
      </c>
      <c r="B200" s="1">
        <v>45612</v>
      </c>
      <c r="C200" t="s">
        <v>75</v>
      </c>
      <c r="D200">
        <v>50</v>
      </c>
      <c r="E200">
        <v>30</v>
      </c>
    </row>
    <row r="201" spans="1:6" x14ac:dyDescent="0.35">
      <c r="A201">
        <v>1200</v>
      </c>
      <c r="B201" s="1">
        <v>45376</v>
      </c>
      <c r="C201" t="s">
        <v>18</v>
      </c>
      <c r="D201">
        <v>200</v>
      </c>
      <c r="E201">
        <v>100</v>
      </c>
      <c r="F201" s="1">
        <v>45825</v>
      </c>
    </row>
    <row r="202" spans="1:6" x14ac:dyDescent="0.35">
      <c r="A202">
        <v>1201</v>
      </c>
      <c r="B202" s="1">
        <v>45703</v>
      </c>
      <c r="C202" t="s">
        <v>18</v>
      </c>
      <c r="D202">
        <v>200</v>
      </c>
      <c r="E202">
        <v>100</v>
      </c>
    </row>
    <row r="203" spans="1:6" x14ac:dyDescent="0.35">
      <c r="A203">
        <v>1202</v>
      </c>
      <c r="B203" s="1">
        <v>45379</v>
      </c>
      <c r="C203" t="s">
        <v>21</v>
      </c>
      <c r="D203">
        <v>500</v>
      </c>
      <c r="E203">
        <v>200</v>
      </c>
    </row>
    <row r="204" spans="1:6" x14ac:dyDescent="0.35">
      <c r="A204">
        <v>1203</v>
      </c>
      <c r="B204" s="1">
        <v>45469</v>
      </c>
      <c r="C204" t="s">
        <v>18</v>
      </c>
      <c r="D204">
        <v>200</v>
      </c>
      <c r="E204">
        <v>100</v>
      </c>
    </row>
    <row r="205" spans="1:6" x14ac:dyDescent="0.35">
      <c r="A205">
        <v>1204</v>
      </c>
      <c r="B205" s="1">
        <v>45296</v>
      </c>
      <c r="C205" t="s">
        <v>21</v>
      </c>
      <c r="D205">
        <v>500</v>
      </c>
      <c r="E205">
        <v>200</v>
      </c>
    </row>
    <row r="206" spans="1:6" x14ac:dyDescent="0.35">
      <c r="A206">
        <v>1205</v>
      </c>
      <c r="B206" s="1">
        <v>45834</v>
      </c>
      <c r="C206" t="s">
        <v>18</v>
      </c>
      <c r="D206">
        <v>200</v>
      </c>
      <c r="E206">
        <v>100</v>
      </c>
    </row>
    <row r="207" spans="1:6" x14ac:dyDescent="0.35">
      <c r="A207">
        <v>1206</v>
      </c>
      <c r="B207" s="1">
        <v>45815</v>
      </c>
      <c r="C207" t="s">
        <v>18</v>
      </c>
      <c r="D207">
        <v>200</v>
      </c>
      <c r="E207">
        <v>100</v>
      </c>
    </row>
    <row r="208" spans="1:6" x14ac:dyDescent="0.35">
      <c r="A208">
        <v>1207</v>
      </c>
      <c r="B208" s="1">
        <v>45695</v>
      </c>
      <c r="C208" t="s">
        <v>75</v>
      </c>
      <c r="D208">
        <v>50</v>
      </c>
      <c r="E208">
        <v>30</v>
      </c>
    </row>
    <row r="209" spans="1:6" x14ac:dyDescent="0.35">
      <c r="A209">
        <v>1208</v>
      </c>
      <c r="B209" s="1">
        <v>45765</v>
      </c>
      <c r="C209" t="s">
        <v>18</v>
      </c>
      <c r="D209">
        <v>200</v>
      </c>
      <c r="E209">
        <v>100</v>
      </c>
    </row>
    <row r="210" spans="1:6" x14ac:dyDescent="0.35">
      <c r="A210">
        <v>1209</v>
      </c>
      <c r="B210" s="1">
        <v>45298</v>
      </c>
      <c r="C210" t="s">
        <v>75</v>
      </c>
      <c r="D210">
        <v>50</v>
      </c>
      <c r="E210">
        <v>30</v>
      </c>
    </row>
    <row r="211" spans="1:6" x14ac:dyDescent="0.35">
      <c r="A211">
        <v>1210</v>
      </c>
      <c r="B211" s="1">
        <v>45513</v>
      </c>
      <c r="C211" t="s">
        <v>21</v>
      </c>
      <c r="D211">
        <v>500</v>
      </c>
      <c r="E211">
        <v>200</v>
      </c>
      <c r="F211" s="1">
        <v>45724</v>
      </c>
    </row>
    <row r="212" spans="1:6" x14ac:dyDescent="0.35">
      <c r="A212">
        <v>1211</v>
      </c>
      <c r="B212" s="1">
        <v>45736</v>
      </c>
      <c r="C212" t="s">
        <v>18</v>
      </c>
      <c r="D212">
        <v>200</v>
      </c>
      <c r="E212">
        <v>100</v>
      </c>
    </row>
    <row r="213" spans="1:6" x14ac:dyDescent="0.35">
      <c r="A213">
        <v>1212</v>
      </c>
      <c r="B213" s="1">
        <v>45774</v>
      </c>
      <c r="C213" t="s">
        <v>75</v>
      </c>
      <c r="D213">
        <v>50</v>
      </c>
      <c r="E213">
        <v>30</v>
      </c>
    </row>
    <row r="214" spans="1:6" x14ac:dyDescent="0.35">
      <c r="A214">
        <v>1213</v>
      </c>
      <c r="B214" s="1">
        <v>45540</v>
      </c>
      <c r="C214" t="s">
        <v>21</v>
      </c>
      <c r="D214">
        <v>500</v>
      </c>
      <c r="E214">
        <v>200</v>
      </c>
    </row>
    <row r="215" spans="1:6" x14ac:dyDescent="0.35">
      <c r="A215">
        <v>1214</v>
      </c>
      <c r="B215" s="1">
        <v>45376</v>
      </c>
      <c r="C215" t="s">
        <v>21</v>
      </c>
      <c r="D215">
        <v>500</v>
      </c>
      <c r="E215">
        <v>200</v>
      </c>
      <c r="F215" s="1">
        <v>45624</v>
      </c>
    </row>
    <row r="216" spans="1:6" x14ac:dyDescent="0.35">
      <c r="A216">
        <v>1215</v>
      </c>
      <c r="B216" s="1">
        <v>45359</v>
      </c>
      <c r="C216" t="s">
        <v>21</v>
      </c>
      <c r="D216">
        <v>500</v>
      </c>
      <c r="E216">
        <v>200</v>
      </c>
    </row>
    <row r="217" spans="1:6" x14ac:dyDescent="0.35">
      <c r="A217">
        <v>1216</v>
      </c>
      <c r="B217" s="1">
        <v>45593</v>
      </c>
      <c r="C217" t="s">
        <v>75</v>
      </c>
      <c r="D217">
        <v>50</v>
      </c>
      <c r="E217">
        <v>30</v>
      </c>
    </row>
    <row r="218" spans="1:6" x14ac:dyDescent="0.35">
      <c r="A218">
        <v>1217</v>
      </c>
      <c r="B218" s="1">
        <v>45711</v>
      </c>
      <c r="C218" t="s">
        <v>75</v>
      </c>
      <c r="D218">
        <v>50</v>
      </c>
      <c r="E218">
        <v>30</v>
      </c>
    </row>
    <row r="219" spans="1:6" x14ac:dyDescent="0.35">
      <c r="A219">
        <v>1218</v>
      </c>
      <c r="B219" s="1">
        <v>45415</v>
      </c>
      <c r="C219" t="s">
        <v>75</v>
      </c>
      <c r="D219">
        <v>50</v>
      </c>
      <c r="E219">
        <v>30</v>
      </c>
    </row>
    <row r="220" spans="1:6" x14ac:dyDescent="0.35">
      <c r="A220">
        <v>1219</v>
      </c>
      <c r="B220" s="1">
        <v>45593</v>
      </c>
      <c r="C220" t="s">
        <v>18</v>
      </c>
      <c r="D220">
        <v>200</v>
      </c>
      <c r="E220">
        <v>100</v>
      </c>
    </row>
    <row r="221" spans="1:6" x14ac:dyDescent="0.35">
      <c r="A221">
        <v>1220</v>
      </c>
      <c r="B221" s="1">
        <v>45380</v>
      </c>
      <c r="C221" t="s">
        <v>75</v>
      </c>
      <c r="D221">
        <v>50</v>
      </c>
      <c r="E221">
        <v>30</v>
      </c>
      <c r="F221" s="1">
        <v>45601</v>
      </c>
    </row>
    <row r="222" spans="1:6" x14ac:dyDescent="0.35">
      <c r="A222">
        <v>1221</v>
      </c>
      <c r="B222" s="1">
        <v>45782</v>
      </c>
      <c r="C222" t="s">
        <v>21</v>
      </c>
      <c r="D222">
        <v>500</v>
      </c>
      <c r="E222">
        <v>200</v>
      </c>
    </row>
    <row r="223" spans="1:6" x14ac:dyDescent="0.35">
      <c r="A223">
        <v>1222</v>
      </c>
      <c r="B223" s="1">
        <v>45331</v>
      </c>
      <c r="C223" t="s">
        <v>18</v>
      </c>
      <c r="D223">
        <v>200</v>
      </c>
      <c r="E223">
        <v>100</v>
      </c>
      <c r="F223" s="1">
        <v>45748</v>
      </c>
    </row>
    <row r="224" spans="1:6" x14ac:dyDescent="0.35">
      <c r="A224">
        <v>1223</v>
      </c>
      <c r="B224" s="1">
        <v>45716</v>
      </c>
      <c r="C224" t="s">
        <v>21</v>
      </c>
      <c r="D224">
        <v>500</v>
      </c>
      <c r="E224">
        <v>200</v>
      </c>
      <c r="F224" s="1">
        <v>45800</v>
      </c>
    </row>
    <row r="225" spans="1:6" x14ac:dyDescent="0.35">
      <c r="A225">
        <v>1224</v>
      </c>
      <c r="B225" s="1">
        <v>45615</v>
      </c>
      <c r="C225" t="s">
        <v>18</v>
      </c>
      <c r="D225">
        <v>200</v>
      </c>
      <c r="E225">
        <v>100</v>
      </c>
    </row>
    <row r="226" spans="1:6" x14ac:dyDescent="0.35">
      <c r="A226">
        <v>1225</v>
      </c>
      <c r="B226" s="1">
        <v>45812</v>
      </c>
      <c r="C226" t="s">
        <v>21</v>
      </c>
      <c r="D226">
        <v>500</v>
      </c>
      <c r="E226">
        <v>200</v>
      </c>
      <c r="F226" s="1">
        <v>45838</v>
      </c>
    </row>
    <row r="227" spans="1:6" x14ac:dyDescent="0.35">
      <c r="A227">
        <v>1226</v>
      </c>
      <c r="B227" s="1">
        <v>45571</v>
      </c>
      <c r="C227" t="s">
        <v>75</v>
      </c>
      <c r="D227">
        <v>50</v>
      </c>
      <c r="E227">
        <v>30</v>
      </c>
      <c r="F227" s="1">
        <v>45734</v>
      </c>
    </row>
    <row r="228" spans="1:6" x14ac:dyDescent="0.35">
      <c r="A228">
        <v>1227</v>
      </c>
      <c r="B228" s="1">
        <v>45722</v>
      </c>
      <c r="C228" t="s">
        <v>21</v>
      </c>
      <c r="D228">
        <v>500</v>
      </c>
      <c r="E228">
        <v>200</v>
      </c>
    </row>
    <row r="229" spans="1:6" x14ac:dyDescent="0.35">
      <c r="A229">
        <v>1228</v>
      </c>
      <c r="B229" s="1">
        <v>45476</v>
      </c>
      <c r="C229" t="s">
        <v>21</v>
      </c>
      <c r="D229">
        <v>500</v>
      </c>
      <c r="E229">
        <v>200</v>
      </c>
    </row>
    <row r="230" spans="1:6" x14ac:dyDescent="0.35">
      <c r="A230">
        <v>1229</v>
      </c>
      <c r="B230" s="1">
        <v>45687</v>
      </c>
      <c r="C230" t="s">
        <v>21</v>
      </c>
      <c r="D230">
        <v>500</v>
      </c>
      <c r="E230">
        <v>200</v>
      </c>
      <c r="F230" s="1">
        <v>45790</v>
      </c>
    </row>
    <row r="231" spans="1:6" x14ac:dyDescent="0.35">
      <c r="A231">
        <v>1230</v>
      </c>
      <c r="B231" s="1">
        <v>45664</v>
      </c>
      <c r="C231" t="s">
        <v>21</v>
      </c>
      <c r="D231">
        <v>500</v>
      </c>
      <c r="E231">
        <v>200</v>
      </c>
    </row>
    <row r="232" spans="1:6" x14ac:dyDescent="0.35">
      <c r="A232">
        <v>1231</v>
      </c>
      <c r="B232" s="1">
        <v>45327</v>
      </c>
      <c r="C232" t="s">
        <v>18</v>
      </c>
      <c r="D232">
        <v>200</v>
      </c>
      <c r="E232">
        <v>100</v>
      </c>
    </row>
    <row r="233" spans="1:6" x14ac:dyDescent="0.35">
      <c r="A233">
        <v>1232</v>
      </c>
      <c r="B233" s="1">
        <v>45766</v>
      </c>
      <c r="C233" t="s">
        <v>21</v>
      </c>
      <c r="D233">
        <v>500</v>
      </c>
      <c r="E233">
        <v>200</v>
      </c>
    </row>
    <row r="234" spans="1:6" x14ac:dyDescent="0.35">
      <c r="A234">
        <v>1233</v>
      </c>
      <c r="B234" s="1">
        <v>45619</v>
      </c>
      <c r="C234" t="s">
        <v>18</v>
      </c>
      <c r="D234">
        <v>200</v>
      </c>
      <c r="E234">
        <v>100</v>
      </c>
    </row>
    <row r="235" spans="1:6" x14ac:dyDescent="0.35">
      <c r="A235">
        <v>1234</v>
      </c>
      <c r="B235" s="1">
        <v>45586</v>
      </c>
      <c r="C235" t="s">
        <v>75</v>
      </c>
      <c r="D235">
        <v>50</v>
      </c>
      <c r="E235">
        <v>30</v>
      </c>
      <c r="F235" s="1">
        <v>45714</v>
      </c>
    </row>
    <row r="236" spans="1:6" x14ac:dyDescent="0.35">
      <c r="A236">
        <v>1235</v>
      </c>
      <c r="B236" s="1">
        <v>45712</v>
      </c>
      <c r="C236" t="s">
        <v>21</v>
      </c>
      <c r="D236">
        <v>500</v>
      </c>
      <c r="E236">
        <v>200</v>
      </c>
      <c r="F236" s="1">
        <v>45747</v>
      </c>
    </row>
    <row r="237" spans="1:6" x14ac:dyDescent="0.35">
      <c r="A237">
        <v>1236</v>
      </c>
      <c r="B237" s="1">
        <v>45752</v>
      </c>
      <c r="C237" t="s">
        <v>75</v>
      </c>
      <c r="D237">
        <v>50</v>
      </c>
      <c r="E237">
        <v>30</v>
      </c>
    </row>
    <row r="238" spans="1:6" x14ac:dyDescent="0.35">
      <c r="A238">
        <v>1237</v>
      </c>
      <c r="B238" s="1">
        <v>45618</v>
      </c>
      <c r="C238" t="s">
        <v>21</v>
      </c>
      <c r="D238">
        <v>500</v>
      </c>
      <c r="E238">
        <v>200</v>
      </c>
    </row>
    <row r="239" spans="1:6" x14ac:dyDescent="0.35">
      <c r="A239">
        <v>1238</v>
      </c>
      <c r="B239" s="1">
        <v>45771</v>
      </c>
      <c r="C239" t="s">
        <v>18</v>
      </c>
      <c r="D239">
        <v>200</v>
      </c>
      <c r="E239">
        <v>100</v>
      </c>
    </row>
    <row r="240" spans="1:6" x14ac:dyDescent="0.35">
      <c r="A240">
        <v>1239</v>
      </c>
      <c r="B240" s="1">
        <v>45433</v>
      </c>
      <c r="C240" t="s">
        <v>18</v>
      </c>
      <c r="D240">
        <v>200</v>
      </c>
      <c r="E240">
        <v>100</v>
      </c>
      <c r="F240" s="1">
        <v>45805</v>
      </c>
    </row>
    <row r="241" spans="1:6" x14ac:dyDescent="0.35">
      <c r="A241">
        <v>1240</v>
      </c>
      <c r="B241" s="1">
        <v>45790</v>
      </c>
      <c r="C241" t="s">
        <v>21</v>
      </c>
      <c r="D241">
        <v>500</v>
      </c>
      <c r="E241">
        <v>200</v>
      </c>
    </row>
    <row r="242" spans="1:6" x14ac:dyDescent="0.35">
      <c r="A242">
        <v>1241</v>
      </c>
      <c r="B242" s="1">
        <v>45541</v>
      </c>
      <c r="C242" t="s">
        <v>18</v>
      </c>
      <c r="D242">
        <v>200</v>
      </c>
      <c r="E242">
        <v>100</v>
      </c>
      <c r="F242" s="1">
        <v>45732</v>
      </c>
    </row>
    <row r="243" spans="1:6" x14ac:dyDescent="0.35">
      <c r="A243">
        <v>1242</v>
      </c>
      <c r="B243" s="1">
        <v>45725</v>
      </c>
      <c r="C243" t="s">
        <v>75</v>
      </c>
      <c r="D243">
        <v>50</v>
      </c>
      <c r="E243">
        <v>30</v>
      </c>
      <c r="F243" s="1">
        <v>45827</v>
      </c>
    </row>
    <row r="244" spans="1:6" x14ac:dyDescent="0.35">
      <c r="A244">
        <v>1243</v>
      </c>
      <c r="B244" s="1">
        <v>45428</v>
      </c>
      <c r="C244" t="s">
        <v>75</v>
      </c>
      <c r="D244">
        <v>50</v>
      </c>
      <c r="E244">
        <v>30</v>
      </c>
    </row>
    <row r="245" spans="1:6" x14ac:dyDescent="0.35">
      <c r="A245">
        <v>1244</v>
      </c>
      <c r="B245" s="1">
        <v>45404</v>
      </c>
      <c r="C245" t="s">
        <v>21</v>
      </c>
      <c r="D245">
        <v>500</v>
      </c>
      <c r="E245">
        <v>200</v>
      </c>
    </row>
    <row r="246" spans="1:6" x14ac:dyDescent="0.35">
      <c r="A246">
        <v>1245</v>
      </c>
      <c r="B246" s="1">
        <v>45742</v>
      </c>
      <c r="C246" t="s">
        <v>75</v>
      </c>
      <c r="D246">
        <v>50</v>
      </c>
      <c r="E246">
        <v>30</v>
      </c>
    </row>
    <row r="247" spans="1:6" x14ac:dyDescent="0.35">
      <c r="A247">
        <v>1246</v>
      </c>
      <c r="B247" s="1">
        <v>45807</v>
      </c>
      <c r="C247" t="s">
        <v>21</v>
      </c>
      <c r="D247">
        <v>500</v>
      </c>
      <c r="E247">
        <v>200</v>
      </c>
    </row>
    <row r="248" spans="1:6" x14ac:dyDescent="0.35">
      <c r="A248">
        <v>1247</v>
      </c>
      <c r="B248" s="1">
        <v>45440</v>
      </c>
      <c r="C248" t="s">
        <v>18</v>
      </c>
      <c r="D248">
        <v>200</v>
      </c>
      <c r="E248">
        <v>100</v>
      </c>
      <c r="F248" s="1">
        <v>45525</v>
      </c>
    </row>
    <row r="249" spans="1:6" x14ac:dyDescent="0.35">
      <c r="A249">
        <v>1248</v>
      </c>
      <c r="B249" s="1">
        <v>45806</v>
      </c>
      <c r="C249" t="s">
        <v>21</v>
      </c>
      <c r="D249">
        <v>500</v>
      </c>
      <c r="E249">
        <v>200</v>
      </c>
    </row>
    <row r="250" spans="1:6" x14ac:dyDescent="0.35">
      <c r="A250">
        <v>1249</v>
      </c>
      <c r="B250" s="1">
        <v>45449</v>
      </c>
      <c r="C250" t="s">
        <v>21</v>
      </c>
      <c r="D250">
        <v>500</v>
      </c>
      <c r="E250">
        <v>200</v>
      </c>
    </row>
    <row r="251" spans="1:6" x14ac:dyDescent="0.35">
      <c r="A251">
        <v>1250</v>
      </c>
      <c r="B251" s="1">
        <v>45577</v>
      </c>
      <c r="C251" t="s">
        <v>18</v>
      </c>
      <c r="D251">
        <v>200</v>
      </c>
      <c r="E251">
        <v>100</v>
      </c>
    </row>
    <row r="252" spans="1:6" x14ac:dyDescent="0.35">
      <c r="A252">
        <v>1251</v>
      </c>
      <c r="B252" s="1">
        <v>45718</v>
      </c>
      <c r="C252" t="s">
        <v>75</v>
      </c>
      <c r="D252">
        <v>50</v>
      </c>
      <c r="E252">
        <v>30</v>
      </c>
    </row>
    <row r="253" spans="1:6" x14ac:dyDescent="0.35">
      <c r="A253">
        <v>1252</v>
      </c>
      <c r="B253" s="1">
        <v>45343</v>
      </c>
      <c r="C253" t="s">
        <v>75</v>
      </c>
      <c r="D253">
        <v>50</v>
      </c>
      <c r="E253">
        <v>30</v>
      </c>
    </row>
    <row r="254" spans="1:6" x14ac:dyDescent="0.35">
      <c r="A254">
        <v>1253</v>
      </c>
      <c r="B254" s="1">
        <v>45635</v>
      </c>
      <c r="C254" t="s">
        <v>18</v>
      </c>
      <c r="D254">
        <v>200</v>
      </c>
      <c r="E254">
        <v>100</v>
      </c>
    </row>
    <row r="255" spans="1:6" x14ac:dyDescent="0.35">
      <c r="A255">
        <v>1254</v>
      </c>
      <c r="B255" s="1">
        <v>45397</v>
      </c>
      <c r="C255" t="s">
        <v>21</v>
      </c>
      <c r="D255">
        <v>500</v>
      </c>
      <c r="E255">
        <v>200</v>
      </c>
    </row>
    <row r="256" spans="1:6" x14ac:dyDescent="0.35">
      <c r="A256">
        <v>1255</v>
      </c>
      <c r="B256" s="1">
        <v>45320</v>
      </c>
      <c r="C256" t="s">
        <v>18</v>
      </c>
      <c r="D256">
        <v>200</v>
      </c>
      <c r="E256">
        <v>100</v>
      </c>
    </row>
    <row r="257" spans="1:6" x14ac:dyDescent="0.35">
      <c r="A257">
        <v>1256</v>
      </c>
      <c r="B257" s="1">
        <v>45702</v>
      </c>
      <c r="C257" t="s">
        <v>75</v>
      </c>
      <c r="D257">
        <v>50</v>
      </c>
      <c r="E257">
        <v>30</v>
      </c>
    </row>
    <row r="258" spans="1:6" x14ac:dyDescent="0.35">
      <c r="A258">
        <v>1257</v>
      </c>
      <c r="B258" s="1">
        <v>45379</v>
      </c>
      <c r="C258" t="s">
        <v>21</v>
      </c>
      <c r="D258">
        <v>500</v>
      </c>
      <c r="E258">
        <v>200</v>
      </c>
      <c r="F258" s="1">
        <v>45463</v>
      </c>
    </row>
    <row r="259" spans="1:6" x14ac:dyDescent="0.35">
      <c r="A259">
        <v>1258</v>
      </c>
      <c r="B259" s="1">
        <v>45348</v>
      </c>
      <c r="C259" t="s">
        <v>18</v>
      </c>
      <c r="D259">
        <v>200</v>
      </c>
      <c r="E259">
        <v>100</v>
      </c>
    </row>
    <row r="260" spans="1:6" x14ac:dyDescent="0.35">
      <c r="A260">
        <v>1259</v>
      </c>
      <c r="B260" s="1">
        <v>45422</v>
      </c>
      <c r="C260" t="s">
        <v>75</v>
      </c>
      <c r="D260">
        <v>50</v>
      </c>
      <c r="E260">
        <v>30</v>
      </c>
    </row>
    <row r="261" spans="1:6" x14ac:dyDescent="0.35">
      <c r="A261">
        <v>1260</v>
      </c>
      <c r="B261" s="1">
        <v>45827</v>
      </c>
      <c r="C261" t="s">
        <v>18</v>
      </c>
      <c r="D261">
        <v>200</v>
      </c>
      <c r="E261">
        <v>100</v>
      </c>
    </row>
    <row r="262" spans="1:6" x14ac:dyDescent="0.35">
      <c r="A262">
        <v>1261</v>
      </c>
      <c r="B262" s="1">
        <v>45783</v>
      </c>
      <c r="C262" t="s">
        <v>18</v>
      </c>
      <c r="D262">
        <v>200</v>
      </c>
      <c r="E262">
        <v>100</v>
      </c>
    </row>
    <row r="263" spans="1:6" x14ac:dyDescent="0.35">
      <c r="A263">
        <v>1262</v>
      </c>
      <c r="B263" s="1">
        <v>45784</v>
      </c>
      <c r="C263" t="s">
        <v>21</v>
      </c>
      <c r="D263">
        <v>500</v>
      </c>
      <c r="E263">
        <v>200</v>
      </c>
    </row>
    <row r="264" spans="1:6" x14ac:dyDescent="0.35">
      <c r="A264">
        <v>1263</v>
      </c>
      <c r="B264" s="1">
        <v>45669</v>
      </c>
      <c r="C264" t="s">
        <v>75</v>
      </c>
      <c r="D264">
        <v>50</v>
      </c>
      <c r="E264">
        <v>30</v>
      </c>
      <c r="F264" s="1">
        <v>45828</v>
      </c>
    </row>
    <row r="265" spans="1:6" x14ac:dyDescent="0.35">
      <c r="A265">
        <v>1264</v>
      </c>
      <c r="B265" s="1">
        <v>45639</v>
      </c>
      <c r="C265" t="s">
        <v>18</v>
      </c>
      <c r="D265">
        <v>200</v>
      </c>
      <c r="E265">
        <v>100</v>
      </c>
    </row>
    <row r="266" spans="1:6" x14ac:dyDescent="0.35">
      <c r="A266">
        <v>1265</v>
      </c>
      <c r="B266" s="1">
        <v>45369</v>
      </c>
      <c r="C266" t="s">
        <v>75</v>
      </c>
      <c r="D266">
        <v>50</v>
      </c>
      <c r="E266">
        <v>30</v>
      </c>
      <c r="F266" s="1">
        <v>45466</v>
      </c>
    </row>
    <row r="267" spans="1:6" x14ac:dyDescent="0.35">
      <c r="A267">
        <v>1266</v>
      </c>
      <c r="B267" s="1">
        <v>45383</v>
      </c>
      <c r="C267" t="s">
        <v>21</v>
      </c>
      <c r="D267">
        <v>500</v>
      </c>
      <c r="E267">
        <v>200</v>
      </c>
    </row>
    <row r="268" spans="1:6" x14ac:dyDescent="0.35">
      <c r="A268">
        <v>1267</v>
      </c>
      <c r="B268" s="1">
        <v>45439</v>
      </c>
      <c r="C268" t="s">
        <v>21</v>
      </c>
      <c r="D268">
        <v>500</v>
      </c>
      <c r="E268">
        <v>200</v>
      </c>
    </row>
    <row r="269" spans="1:6" x14ac:dyDescent="0.35">
      <c r="A269">
        <v>1268</v>
      </c>
      <c r="B269" s="1">
        <v>45434</v>
      </c>
      <c r="C269" t="s">
        <v>21</v>
      </c>
      <c r="D269">
        <v>500</v>
      </c>
      <c r="E269">
        <v>200</v>
      </c>
      <c r="F269" s="1">
        <v>45813</v>
      </c>
    </row>
    <row r="270" spans="1:6" x14ac:dyDescent="0.35">
      <c r="A270">
        <v>1269</v>
      </c>
      <c r="B270" s="1">
        <v>45685</v>
      </c>
      <c r="C270" t="s">
        <v>18</v>
      </c>
      <c r="D270">
        <v>200</v>
      </c>
      <c r="E270">
        <v>100</v>
      </c>
    </row>
    <row r="271" spans="1:6" x14ac:dyDescent="0.35">
      <c r="A271">
        <v>1270</v>
      </c>
      <c r="B271" s="1">
        <v>45780</v>
      </c>
      <c r="C271" t="s">
        <v>21</v>
      </c>
      <c r="D271">
        <v>500</v>
      </c>
      <c r="E271">
        <v>200</v>
      </c>
    </row>
    <row r="272" spans="1:6" x14ac:dyDescent="0.35">
      <c r="A272">
        <v>1271</v>
      </c>
      <c r="B272" s="1">
        <v>45619</v>
      </c>
      <c r="C272" t="s">
        <v>18</v>
      </c>
      <c r="D272">
        <v>200</v>
      </c>
      <c r="E272">
        <v>100</v>
      </c>
    </row>
    <row r="273" spans="1:6" x14ac:dyDescent="0.35">
      <c r="A273">
        <v>1272</v>
      </c>
      <c r="B273" s="1">
        <v>45756</v>
      </c>
      <c r="C273" t="s">
        <v>75</v>
      </c>
      <c r="D273">
        <v>50</v>
      </c>
      <c r="E273">
        <v>30</v>
      </c>
    </row>
    <row r="274" spans="1:6" x14ac:dyDescent="0.35">
      <c r="A274">
        <v>1273</v>
      </c>
      <c r="B274" s="1">
        <v>45589</v>
      </c>
      <c r="C274" t="s">
        <v>18</v>
      </c>
      <c r="D274">
        <v>200</v>
      </c>
      <c r="E274">
        <v>100</v>
      </c>
      <c r="F274" s="1">
        <v>45794</v>
      </c>
    </row>
    <row r="275" spans="1:6" x14ac:dyDescent="0.35">
      <c r="A275">
        <v>1274</v>
      </c>
      <c r="B275" s="1">
        <v>45669</v>
      </c>
      <c r="C275" t="s">
        <v>18</v>
      </c>
      <c r="D275">
        <v>200</v>
      </c>
      <c r="E275">
        <v>100</v>
      </c>
    </row>
    <row r="276" spans="1:6" x14ac:dyDescent="0.35">
      <c r="A276">
        <v>1275</v>
      </c>
      <c r="B276" s="1">
        <v>45601</v>
      </c>
      <c r="C276" t="s">
        <v>21</v>
      </c>
      <c r="D276">
        <v>500</v>
      </c>
      <c r="E276">
        <v>200</v>
      </c>
    </row>
    <row r="277" spans="1:6" x14ac:dyDescent="0.35">
      <c r="A277">
        <v>1276</v>
      </c>
      <c r="B277" s="1">
        <v>45701</v>
      </c>
      <c r="C277" t="s">
        <v>18</v>
      </c>
      <c r="D277">
        <v>200</v>
      </c>
      <c r="E277">
        <v>100</v>
      </c>
      <c r="F277" s="1">
        <v>45754</v>
      </c>
    </row>
    <row r="278" spans="1:6" x14ac:dyDescent="0.35">
      <c r="A278">
        <v>1277</v>
      </c>
      <c r="B278" s="1">
        <v>45831</v>
      </c>
      <c r="C278" t="s">
        <v>21</v>
      </c>
      <c r="D278">
        <v>500</v>
      </c>
      <c r="E278">
        <v>200</v>
      </c>
      <c r="F278" s="1">
        <v>45838</v>
      </c>
    </row>
    <row r="279" spans="1:6" x14ac:dyDescent="0.35">
      <c r="A279">
        <v>1278</v>
      </c>
      <c r="B279" s="1">
        <v>45770</v>
      </c>
      <c r="C279" t="s">
        <v>21</v>
      </c>
      <c r="D279">
        <v>500</v>
      </c>
      <c r="E279">
        <v>200</v>
      </c>
      <c r="F279" s="1">
        <v>45813</v>
      </c>
    </row>
    <row r="280" spans="1:6" x14ac:dyDescent="0.35">
      <c r="A280">
        <v>1279</v>
      </c>
      <c r="B280" s="1">
        <v>45544</v>
      </c>
      <c r="C280" t="s">
        <v>21</v>
      </c>
      <c r="D280">
        <v>500</v>
      </c>
      <c r="E280">
        <v>200</v>
      </c>
    </row>
    <row r="281" spans="1:6" x14ac:dyDescent="0.35">
      <c r="A281">
        <v>1280</v>
      </c>
      <c r="B281" s="1">
        <v>45775</v>
      </c>
      <c r="C281" t="s">
        <v>75</v>
      </c>
      <c r="D281">
        <v>50</v>
      </c>
      <c r="E281">
        <v>30</v>
      </c>
    </row>
    <row r="282" spans="1:6" x14ac:dyDescent="0.35">
      <c r="A282">
        <v>1281</v>
      </c>
      <c r="B282" s="1">
        <v>45465</v>
      </c>
      <c r="C282" t="s">
        <v>75</v>
      </c>
      <c r="D282">
        <v>50</v>
      </c>
      <c r="E282">
        <v>30</v>
      </c>
    </row>
    <row r="283" spans="1:6" x14ac:dyDescent="0.35">
      <c r="A283">
        <v>1282</v>
      </c>
      <c r="B283" s="1">
        <v>45375</v>
      </c>
      <c r="C283" t="s">
        <v>18</v>
      </c>
      <c r="D283">
        <v>200</v>
      </c>
      <c r="E283">
        <v>100</v>
      </c>
      <c r="F283" s="1">
        <v>45832</v>
      </c>
    </row>
    <row r="284" spans="1:6" x14ac:dyDescent="0.35">
      <c r="A284">
        <v>1283</v>
      </c>
      <c r="B284" s="1">
        <v>45422</v>
      </c>
      <c r="C284" t="s">
        <v>21</v>
      </c>
      <c r="D284">
        <v>500</v>
      </c>
      <c r="E284">
        <v>200</v>
      </c>
    </row>
    <row r="285" spans="1:6" x14ac:dyDescent="0.35">
      <c r="A285">
        <v>1284</v>
      </c>
      <c r="B285" s="1">
        <v>45726</v>
      </c>
      <c r="C285" t="s">
        <v>75</v>
      </c>
      <c r="D285">
        <v>50</v>
      </c>
      <c r="E285">
        <v>30</v>
      </c>
    </row>
    <row r="286" spans="1:6" x14ac:dyDescent="0.35">
      <c r="A286">
        <v>1285</v>
      </c>
      <c r="B286" s="1">
        <v>45792</v>
      </c>
      <c r="C286" t="s">
        <v>21</v>
      </c>
      <c r="D286">
        <v>500</v>
      </c>
      <c r="E286">
        <v>200</v>
      </c>
    </row>
    <row r="287" spans="1:6" x14ac:dyDescent="0.35">
      <c r="A287">
        <v>1286</v>
      </c>
      <c r="B287" s="1">
        <v>45527</v>
      </c>
      <c r="C287" t="s">
        <v>21</v>
      </c>
      <c r="D287">
        <v>500</v>
      </c>
      <c r="E287">
        <v>200</v>
      </c>
    </row>
    <row r="288" spans="1:6" x14ac:dyDescent="0.35">
      <c r="A288">
        <v>1287</v>
      </c>
      <c r="B288" s="1">
        <v>45711</v>
      </c>
      <c r="C288" t="s">
        <v>75</v>
      </c>
      <c r="D288">
        <v>50</v>
      </c>
      <c r="E288">
        <v>30</v>
      </c>
      <c r="F288" s="1">
        <v>45773</v>
      </c>
    </row>
    <row r="289" spans="1:6" x14ac:dyDescent="0.35">
      <c r="A289">
        <v>1288</v>
      </c>
      <c r="B289" s="1">
        <v>45557</v>
      </c>
      <c r="C289" t="s">
        <v>18</v>
      </c>
      <c r="D289">
        <v>200</v>
      </c>
      <c r="E289">
        <v>100</v>
      </c>
    </row>
    <row r="290" spans="1:6" x14ac:dyDescent="0.35">
      <c r="A290">
        <v>1289</v>
      </c>
      <c r="B290" s="1">
        <v>45506</v>
      </c>
      <c r="C290" t="s">
        <v>21</v>
      </c>
      <c r="D290">
        <v>500</v>
      </c>
      <c r="E290">
        <v>200</v>
      </c>
    </row>
    <row r="291" spans="1:6" x14ac:dyDescent="0.35">
      <c r="A291">
        <v>1290</v>
      </c>
      <c r="B291" s="1">
        <v>45541</v>
      </c>
      <c r="C291" t="s">
        <v>18</v>
      </c>
      <c r="D291">
        <v>200</v>
      </c>
      <c r="E291">
        <v>100</v>
      </c>
    </row>
    <row r="292" spans="1:6" x14ac:dyDescent="0.35">
      <c r="A292">
        <v>1291</v>
      </c>
      <c r="B292" s="1">
        <v>45486</v>
      </c>
      <c r="C292" t="s">
        <v>75</v>
      </c>
      <c r="D292">
        <v>50</v>
      </c>
      <c r="E292">
        <v>30</v>
      </c>
      <c r="F292" s="1">
        <v>45535</v>
      </c>
    </row>
    <row r="293" spans="1:6" x14ac:dyDescent="0.35">
      <c r="A293">
        <v>1292</v>
      </c>
      <c r="B293" s="1">
        <v>45384</v>
      </c>
      <c r="C293" t="s">
        <v>75</v>
      </c>
      <c r="D293">
        <v>50</v>
      </c>
      <c r="E293">
        <v>30</v>
      </c>
      <c r="F293" s="1">
        <v>45498</v>
      </c>
    </row>
    <row r="294" spans="1:6" x14ac:dyDescent="0.35">
      <c r="A294">
        <v>1293</v>
      </c>
      <c r="B294" s="1">
        <v>45686</v>
      </c>
      <c r="C294" t="s">
        <v>75</v>
      </c>
      <c r="D294">
        <v>50</v>
      </c>
      <c r="E294">
        <v>30</v>
      </c>
    </row>
    <row r="295" spans="1:6" x14ac:dyDescent="0.35">
      <c r="A295">
        <v>1294</v>
      </c>
      <c r="B295" s="1">
        <v>45376</v>
      </c>
      <c r="C295" t="s">
        <v>21</v>
      </c>
      <c r="D295">
        <v>500</v>
      </c>
      <c r="E295">
        <v>200</v>
      </c>
      <c r="F295" s="1">
        <v>45803</v>
      </c>
    </row>
    <row r="296" spans="1:6" x14ac:dyDescent="0.35">
      <c r="A296">
        <v>1295</v>
      </c>
      <c r="B296" s="1">
        <v>45755</v>
      </c>
      <c r="C296" t="s">
        <v>18</v>
      </c>
      <c r="D296">
        <v>200</v>
      </c>
      <c r="E296">
        <v>100</v>
      </c>
    </row>
    <row r="297" spans="1:6" x14ac:dyDescent="0.35">
      <c r="A297">
        <v>1296</v>
      </c>
      <c r="B297" s="1">
        <v>45814</v>
      </c>
      <c r="C297" t="s">
        <v>75</v>
      </c>
      <c r="D297">
        <v>50</v>
      </c>
      <c r="E297">
        <v>30</v>
      </c>
    </row>
    <row r="298" spans="1:6" x14ac:dyDescent="0.35">
      <c r="A298">
        <v>1297</v>
      </c>
      <c r="B298" s="1">
        <v>45300</v>
      </c>
      <c r="C298" t="s">
        <v>75</v>
      </c>
      <c r="D298">
        <v>50</v>
      </c>
      <c r="E298">
        <v>30</v>
      </c>
    </row>
    <row r="299" spans="1:6" x14ac:dyDescent="0.35">
      <c r="A299">
        <v>1298</v>
      </c>
      <c r="B299" s="1">
        <v>45650</v>
      </c>
      <c r="C299" t="s">
        <v>18</v>
      </c>
      <c r="D299">
        <v>200</v>
      </c>
      <c r="E299">
        <v>100</v>
      </c>
    </row>
    <row r="300" spans="1:6" x14ac:dyDescent="0.35">
      <c r="A300">
        <v>1299</v>
      </c>
      <c r="B300" s="1">
        <v>45774</v>
      </c>
      <c r="C300" t="s">
        <v>21</v>
      </c>
      <c r="D300">
        <v>500</v>
      </c>
      <c r="E300">
        <v>200</v>
      </c>
    </row>
    <row r="301" spans="1:6" x14ac:dyDescent="0.35">
      <c r="A301">
        <v>1300</v>
      </c>
      <c r="B301" s="1">
        <v>45336</v>
      </c>
      <c r="C301" t="s">
        <v>21</v>
      </c>
      <c r="D301">
        <v>500</v>
      </c>
      <c r="E301">
        <v>200</v>
      </c>
    </row>
    <row r="302" spans="1:6" x14ac:dyDescent="0.35">
      <c r="A302">
        <v>1301</v>
      </c>
      <c r="B302" s="1">
        <v>45692</v>
      </c>
      <c r="C302" t="s">
        <v>75</v>
      </c>
      <c r="D302">
        <v>50</v>
      </c>
      <c r="E302">
        <v>30</v>
      </c>
    </row>
    <row r="303" spans="1:6" x14ac:dyDescent="0.35">
      <c r="A303">
        <v>1302</v>
      </c>
      <c r="B303" s="1">
        <v>45658</v>
      </c>
      <c r="C303" t="s">
        <v>18</v>
      </c>
      <c r="D303">
        <v>200</v>
      </c>
      <c r="E303">
        <v>100</v>
      </c>
    </row>
    <row r="304" spans="1:6" x14ac:dyDescent="0.35">
      <c r="A304">
        <v>1303</v>
      </c>
      <c r="B304" s="1">
        <v>45633</v>
      </c>
      <c r="C304" t="s">
        <v>21</v>
      </c>
      <c r="D304">
        <v>500</v>
      </c>
      <c r="E304">
        <v>200</v>
      </c>
    </row>
    <row r="305" spans="1:6" x14ac:dyDescent="0.35">
      <c r="A305">
        <v>1304</v>
      </c>
      <c r="B305" s="1">
        <v>45724</v>
      </c>
      <c r="C305" t="s">
        <v>75</v>
      </c>
      <c r="D305">
        <v>50</v>
      </c>
      <c r="E305">
        <v>30</v>
      </c>
    </row>
    <row r="306" spans="1:6" x14ac:dyDescent="0.35">
      <c r="A306">
        <v>1305</v>
      </c>
      <c r="B306" s="1">
        <v>45394</v>
      </c>
      <c r="C306" t="s">
        <v>75</v>
      </c>
      <c r="D306">
        <v>50</v>
      </c>
      <c r="E306">
        <v>30</v>
      </c>
    </row>
    <row r="307" spans="1:6" x14ac:dyDescent="0.35">
      <c r="A307">
        <v>1306</v>
      </c>
      <c r="B307" s="1">
        <v>45797</v>
      </c>
      <c r="C307" t="s">
        <v>18</v>
      </c>
      <c r="D307">
        <v>200</v>
      </c>
      <c r="E307">
        <v>100</v>
      </c>
    </row>
    <row r="308" spans="1:6" x14ac:dyDescent="0.35">
      <c r="A308">
        <v>1307</v>
      </c>
      <c r="B308" s="1">
        <v>45742</v>
      </c>
      <c r="C308" t="s">
        <v>21</v>
      </c>
      <c r="D308">
        <v>500</v>
      </c>
      <c r="E308">
        <v>200</v>
      </c>
    </row>
    <row r="309" spans="1:6" x14ac:dyDescent="0.35">
      <c r="A309">
        <v>1308</v>
      </c>
      <c r="B309" s="1">
        <v>45430</v>
      </c>
      <c r="C309" t="s">
        <v>75</v>
      </c>
      <c r="D309">
        <v>50</v>
      </c>
      <c r="E309">
        <v>30</v>
      </c>
      <c r="F309" s="1">
        <v>45749</v>
      </c>
    </row>
    <row r="310" spans="1:6" x14ac:dyDescent="0.35">
      <c r="A310">
        <v>1309</v>
      </c>
      <c r="B310" s="1">
        <v>45532</v>
      </c>
      <c r="C310" t="s">
        <v>75</v>
      </c>
      <c r="D310">
        <v>50</v>
      </c>
      <c r="E310">
        <v>30</v>
      </c>
      <c r="F310" s="1">
        <v>45598</v>
      </c>
    </row>
    <row r="311" spans="1:6" x14ac:dyDescent="0.35">
      <c r="A311">
        <v>1310</v>
      </c>
      <c r="B311" s="1">
        <v>45509</v>
      </c>
      <c r="C311" t="s">
        <v>75</v>
      </c>
      <c r="D311">
        <v>50</v>
      </c>
      <c r="E311">
        <v>30</v>
      </c>
    </row>
    <row r="312" spans="1:6" x14ac:dyDescent="0.35">
      <c r="A312">
        <v>1311</v>
      </c>
      <c r="B312" s="1">
        <v>45542</v>
      </c>
      <c r="C312" t="s">
        <v>75</v>
      </c>
      <c r="D312">
        <v>50</v>
      </c>
      <c r="E312">
        <v>30</v>
      </c>
    </row>
    <row r="313" spans="1:6" x14ac:dyDescent="0.35">
      <c r="A313">
        <v>1312</v>
      </c>
      <c r="B313" s="1">
        <v>45619</v>
      </c>
      <c r="C313" t="s">
        <v>75</v>
      </c>
      <c r="D313">
        <v>50</v>
      </c>
      <c r="E313">
        <v>30</v>
      </c>
      <c r="F313" s="1">
        <v>45734</v>
      </c>
    </row>
    <row r="314" spans="1:6" x14ac:dyDescent="0.35">
      <c r="A314">
        <v>1313</v>
      </c>
      <c r="B314" s="1">
        <v>45323</v>
      </c>
      <c r="C314" t="s">
        <v>21</v>
      </c>
      <c r="D314">
        <v>500</v>
      </c>
      <c r="E314">
        <v>200</v>
      </c>
      <c r="F314" s="1">
        <v>45712</v>
      </c>
    </row>
    <row r="315" spans="1:6" x14ac:dyDescent="0.35">
      <c r="A315">
        <v>1314</v>
      </c>
      <c r="B315" s="1">
        <v>45392</v>
      </c>
      <c r="C315" t="s">
        <v>18</v>
      </c>
      <c r="D315">
        <v>200</v>
      </c>
      <c r="E315">
        <v>100</v>
      </c>
    </row>
    <row r="316" spans="1:6" x14ac:dyDescent="0.35">
      <c r="A316">
        <v>1315</v>
      </c>
      <c r="B316" s="1">
        <v>45469</v>
      </c>
      <c r="C316" t="s">
        <v>75</v>
      </c>
      <c r="D316">
        <v>50</v>
      </c>
      <c r="E316">
        <v>30</v>
      </c>
    </row>
    <row r="317" spans="1:6" x14ac:dyDescent="0.35">
      <c r="A317">
        <v>1316</v>
      </c>
      <c r="B317" s="1">
        <v>45370</v>
      </c>
      <c r="C317" t="s">
        <v>21</v>
      </c>
      <c r="D317">
        <v>500</v>
      </c>
      <c r="E317">
        <v>200</v>
      </c>
    </row>
    <row r="318" spans="1:6" x14ac:dyDescent="0.35">
      <c r="A318">
        <v>1317</v>
      </c>
      <c r="B318" s="1">
        <v>45611</v>
      </c>
      <c r="C318" t="s">
        <v>21</v>
      </c>
      <c r="D318">
        <v>500</v>
      </c>
      <c r="E318">
        <v>200</v>
      </c>
    </row>
    <row r="319" spans="1:6" x14ac:dyDescent="0.35">
      <c r="A319">
        <v>1318</v>
      </c>
      <c r="B319" s="1">
        <v>45563</v>
      </c>
      <c r="C319" t="s">
        <v>21</v>
      </c>
      <c r="D319">
        <v>500</v>
      </c>
      <c r="E319">
        <v>200</v>
      </c>
    </row>
    <row r="320" spans="1:6" x14ac:dyDescent="0.35">
      <c r="A320">
        <v>1319</v>
      </c>
      <c r="B320" s="1">
        <v>45360</v>
      </c>
      <c r="C320" t="s">
        <v>75</v>
      </c>
      <c r="D320">
        <v>50</v>
      </c>
      <c r="E320">
        <v>30</v>
      </c>
    </row>
    <row r="321" spans="1:6" x14ac:dyDescent="0.35">
      <c r="A321">
        <v>1320</v>
      </c>
      <c r="B321" s="1">
        <v>45483</v>
      </c>
      <c r="C321" t="s">
        <v>21</v>
      </c>
      <c r="D321">
        <v>500</v>
      </c>
      <c r="E321">
        <v>200</v>
      </c>
    </row>
    <row r="322" spans="1:6" x14ac:dyDescent="0.35">
      <c r="A322">
        <v>1321</v>
      </c>
      <c r="B322" s="1">
        <v>45514</v>
      </c>
      <c r="C322" t="s">
        <v>21</v>
      </c>
      <c r="D322">
        <v>500</v>
      </c>
      <c r="E322">
        <v>200</v>
      </c>
    </row>
    <row r="323" spans="1:6" x14ac:dyDescent="0.35">
      <c r="A323">
        <v>1322</v>
      </c>
      <c r="B323" s="1">
        <v>45440</v>
      </c>
      <c r="C323" t="s">
        <v>21</v>
      </c>
      <c r="D323">
        <v>500</v>
      </c>
      <c r="E323">
        <v>200</v>
      </c>
    </row>
    <row r="324" spans="1:6" x14ac:dyDescent="0.35">
      <c r="A324">
        <v>1323</v>
      </c>
      <c r="B324" s="1">
        <v>45404</v>
      </c>
      <c r="C324" t="s">
        <v>18</v>
      </c>
      <c r="D324">
        <v>200</v>
      </c>
      <c r="E324">
        <v>100</v>
      </c>
    </row>
    <row r="325" spans="1:6" x14ac:dyDescent="0.35">
      <c r="A325">
        <v>1324</v>
      </c>
      <c r="B325" s="1">
        <v>45484</v>
      </c>
      <c r="C325" t="s">
        <v>21</v>
      </c>
      <c r="D325">
        <v>500</v>
      </c>
      <c r="E325">
        <v>200</v>
      </c>
    </row>
    <row r="326" spans="1:6" x14ac:dyDescent="0.35">
      <c r="A326">
        <v>1325</v>
      </c>
      <c r="B326" s="1">
        <v>45573</v>
      </c>
      <c r="C326" t="s">
        <v>75</v>
      </c>
      <c r="D326">
        <v>50</v>
      </c>
      <c r="E326">
        <v>30</v>
      </c>
    </row>
    <row r="327" spans="1:6" x14ac:dyDescent="0.35">
      <c r="A327">
        <v>1326</v>
      </c>
      <c r="B327" s="1">
        <v>45754</v>
      </c>
      <c r="C327" t="s">
        <v>21</v>
      </c>
      <c r="D327">
        <v>500</v>
      </c>
      <c r="E327">
        <v>200</v>
      </c>
    </row>
    <row r="328" spans="1:6" x14ac:dyDescent="0.35">
      <c r="A328">
        <v>1327</v>
      </c>
      <c r="B328" s="1">
        <v>45641</v>
      </c>
      <c r="C328" t="s">
        <v>21</v>
      </c>
      <c r="D328">
        <v>500</v>
      </c>
      <c r="E328">
        <v>200</v>
      </c>
    </row>
    <row r="329" spans="1:6" x14ac:dyDescent="0.35">
      <c r="A329">
        <v>1328</v>
      </c>
      <c r="B329" s="1">
        <v>45825</v>
      </c>
      <c r="C329" t="s">
        <v>21</v>
      </c>
      <c r="D329">
        <v>500</v>
      </c>
      <c r="E329">
        <v>200</v>
      </c>
    </row>
    <row r="330" spans="1:6" x14ac:dyDescent="0.35">
      <c r="A330">
        <v>1329</v>
      </c>
      <c r="B330" s="1">
        <v>45707</v>
      </c>
      <c r="C330" t="s">
        <v>21</v>
      </c>
      <c r="D330">
        <v>500</v>
      </c>
      <c r="E330">
        <v>200</v>
      </c>
    </row>
    <row r="331" spans="1:6" x14ac:dyDescent="0.35">
      <c r="A331">
        <v>1330</v>
      </c>
      <c r="B331" s="1">
        <v>45782</v>
      </c>
      <c r="C331" t="s">
        <v>21</v>
      </c>
      <c r="D331">
        <v>500</v>
      </c>
      <c r="E331">
        <v>200</v>
      </c>
    </row>
    <row r="332" spans="1:6" x14ac:dyDescent="0.35">
      <c r="A332">
        <v>1331</v>
      </c>
      <c r="B332" s="1">
        <v>45745</v>
      </c>
      <c r="C332" t="s">
        <v>18</v>
      </c>
      <c r="D332">
        <v>200</v>
      </c>
      <c r="E332">
        <v>100</v>
      </c>
    </row>
    <row r="333" spans="1:6" x14ac:dyDescent="0.35">
      <c r="A333">
        <v>1332</v>
      </c>
      <c r="B333" s="1">
        <v>45678</v>
      </c>
      <c r="C333" t="s">
        <v>18</v>
      </c>
      <c r="D333">
        <v>200</v>
      </c>
      <c r="E333">
        <v>100</v>
      </c>
      <c r="F333" s="1">
        <v>45761</v>
      </c>
    </row>
    <row r="334" spans="1:6" x14ac:dyDescent="0.35">
      <c r="A334">
        <v>1333</v>
      </c>
      <c r="B334" s="1">
        <v>45595</v>
      </c>
      <c r="C334" t="s">
        <v>21</v>
      </c>
      <c r="D334">
        <v>500</v>
      </c>
      <c r="E334">
        <v>200</v>
      </c>
    </row>
    <row r="335" spans="1:6" x14ac:dyDescent="0.35">
      <c r="A335">
        <v>1334</v>
      </c>
      <c r="B335" s="1">
        <v>45517</v>
      </c>
      <c r="C335" t="s">
        <v>21</v>
      </c>
      <c r="D335">
        <v>500</v>
      </c>
      <c r="E335">
        <v>200</v>
      </c>
    </row>
    <row r="336" spans="1:6" x14ac:dyDescent="0.35">
      <c r="A336">
        <v>1335</v>
      </c>
      <c r="B336" s="1">
        <v>45754</v>
      </c>
      <c r="C336" t="s">
        <v>18</v>
      </c>
      <c r="D336">
        <v>200</v>
      </c>
      <c r="E336">
        <v>100</v>
      </c>
    </row>
    <row r="337" spans="1:6" x14ac:dyDescent="0.35">
      <c r="A337">
        <v>1336</v>
      </c>
      <c r="B337" s="1">
        <v>45617</v>
      </c>
      <c r="C337" t="s">
        <v>21</v>
      </c>
      <c r="D337">
        <v>500</v>
      </c>
      <c r="E337">
        <v>200</v>
      </c>
    </row>
    <row r="338" spans="1:6" x14ac:dyDescent="0.35">
      <c r="A338">
        <v>1337</v>
      </c>
      <c r="B338" s="1">
        <v>45524</v>
      </c>
      <c r="C338" t="s">
        <v>75</v>
      </c>
      <c r="D338">
        <v>50</v>
      </c>
      <c r="E338">
        <v>30</v>
      </c>
      <c r="F338" s="1">
        <v>45638</v>
      </c>
    </row>
    <row r="339" spans="1:6" x14ac:dyDescent="0.35">
      <c r="A339">
        <v>1338</v>
      </c>
      <c r="B339" s="1">
        <v>45675</v>
      </c>
      <c r="C339" t="s">
        <v>75</v>
      </c>
      <c r="D339">
        <v>50</v>
      </c>
      <c r="E339">
        <v>30</v>
      </c>
    </row>
    <row r="340" spans="1:6" x14ac:dyDescent="0.35">
      <c r="A340">
        <v>1339</v>
      </c>
      <c r="B340" s="1">
        <v>45349</v>
      </c>
      <c r="C340" t="s">
        <v>75</v>
      </c>
      <c r="D340">
        <v>50</v>
      </c>
      <c r="E340">
        <v>30</v>
      </c>
    </row>
    <row r="341" spans="1:6" x14ac:dyDescent="0.35">
      <c r="A341">
        <v>1340</v>
      </c>
      <c r="B341" s="1">
        <v>45565</v>
      </c>
      <c r="C341" t="s">
        <v>75</v>
      </c>
      <c r="D341">
        <v>50</v>
      </c>
      <c r="E341">
        <v>30</v>
      </c>
    </row>
    <row r="342" spans="1:6" x14ac:dyDescent="0.35">
      <c r="A342">
        <v>1341</v>
      </c>
      <c r="B342" s="1">
        <v>45525</v>
      </c>
      <c r="C342" t="s">
        <v>75</v>
      </c>
      <c r="D342">
        <v>50</v>
      </c>
      <c r="E342">
        <v>30</v>
      </c>
    </row>
    <row r="343" spans="1:6" x14ac:dyDescent="0.35">
      <c r="A343">
        <v>1342</v>
      </c>
      <c r="B343" s="1">
        <v>45626</v>
      </c>
      <c r="C343" t="s">
        <v>75</v>
      </c>
      <c r="D343">
        <v>50</v>
      </c>
      <c r="E343">
        <v>30</v>
      </c>
    </row>
    <row r="344" spans="1:6" x14ac:dyDescent="0.35">
      <c r="A344">
        <v>1343</v>
      </c>
      <c r="B344" s="1">
        <v>45410</v>
      </c>
      <c r="C344" t="s">
        <v>18</v>
      </c>
      <c r="D344">
        <v>200</v>
      </c>
      <c r="E344">
        <v>100</v>
      </c>
    </row>
    <row r="345" spans="1:6" x14ac:dyDescent="0.35">
      <c r="A345">
        <v>1344</v>
      </c>
      <c r="B345" s="1">
        <v>45674</v>
      </c>
      <c r="C345" t="s">
        <v>21</v>
      </c>
      <c r="D345">
        <v>500</v>
      </c>
      <c r="E345">
        <v>200</v>
      </c>
    </row>
    <row r="346" spans="1:6" x14ac:dyDescent="0.35">
      <c r="A346">
        <v>1345</v>
      </c>
      <c r="B346" s="1">
        <v>45519</v>
      </c>
      <c r="C346" t="s">
        <v>21</v>
      </c>
      <c r="D346">
        <v>500</v>
      </c>
      <c r="E346">
        <v>200</v>
      </c>
    </row>
    <row r="347" spans="1:6" x14ac:dyDescent="0.35">
      <c r="A347">
        <v>1346</v>
      </c>
      <c r="B347" s="1">
        <v>45373</v>
      </c>
      <c r="C347" t="s">
        <v>18</v>
      </c>
      <c r="D347">
        <v>200</v>
      </c>
      <c r="E347">
        <v>100</v>
      </c>
      <c r="F347" s="1">
        <v>45475</v>
      </c>
    </row>
    <row r="348" spans="1:6" x14ac:dyDescent="0.35">
      <c r="A348">
        <v>1347</v>
      </c>
      <c r="B348" s="1">
        <v>45609</v>
      </c>
      <c r="C348" t="s">
        <v>75</v>
      </c>
      <c r="D348">
        <v>50</v>
      </c>
      <c r="E348">
        <v>30</v>
      </c>
      <c r="F348" s="1">
        <v>45767</v>
      </c>
    </row>
    <row r="349" spans="1:6" x14ac:dyDescent="0.35">
      <c r="A349">
        <v>1348</v>
      </c>
      <c r="B349" s="1">
        <v>45833</v>
      </c>
      <c r="C349" t="s">
        <v>21</v>
      </c>
      <c r="D349">
        <v>500</v>
      </c>
      <c r="E349">
        <v>200</v>
      </c>
    </row>
    <row r="350" spans="1:6" x14ac:dyDescent="0.35">
      <c r="A350">
        <v>1349</v>
      </c>
      <c r="B350" s="1">
        <v>45413</v>
      </c>
      <c r="C350" t="s">
        <v>18</v>
      </c>
      <c r="D350">
        <v>200</v>
      </c>
      <c r="E350">
        <v>100</v>
      </c>
    </row>
    <row r="351" spans="1:6" x14ac:dyDescent="0.35">
      <c r="A351">
        <v>1350</v>
      </c>
      <c r="B351" s="1">
        <v>45612</v>
      </c>
      <c r="C351" t="s">
        <v>18</v>
      </c>
      <c r="D351">
        <v>200</v>
      </c>
      <c r="E351">
        <v>100</v>
      </c>
    </row>
    <row r="352" spans="1:6" x14ac:dyDescent="0.35">
      <c r="A352">
        <v>1351</v>
      </c>
      <c r="B352" s="1">
        <v>45536</v>
      </c>
      <c r="C352" t="s">
        <v>21</v>
      </c>
      <c r="D352">
        <v>500</v>
      </c>
      <c r="E352">
        <v>200</v>
      </c>
    </row>
    <row r="353" spans="1:6" x14ac:dyDescent="0.35">
      <c r="A353">
        <v>1352</v>
      </c>
      <c r="B353" s="1">
        <v>45343</v>
      </c>
      <c r="C353" t="s">
        <v>21</v>
      </c>
      <c r="D353">
        <v>500</v>
      </c>
      <c r="E353">
        <v>200</v>
      </c>
      <c r="F353" s="1">
        <v>45591</v>
      </c>
    </row>
    <row r="354" spans="1:6" x14ac:dyDescent="0.35">
      <c r="A354">
        <v>1353</v>
      </c>
      <c r="B354" s="1">
        <v>45502</v>
      </c>
      <c r="C354" t="s">
        <v>21</v>
      </c>
      <c r="D354">
        <v>500</v>
      </c>
      <c r="E354">
        <v>200</v>
      </c>
    </row>
    <row r="355" spans="1:6" x14ac:dyDescent="0.35">
      <c r="A355">
        <v>1354</v>
      </c>
      <c r="B355" s="1">
        <v>45478</v>
      </c>
      <c r="C355" t="s">
        <v>21</v>
      </c>
      <c r="D355">
        <v>500</v>
      </c>
      <c r="E355">
        <v>200</v>
      </c>
    </row>
    <row r="356" spans="1:6" x14ac:dyDescent="0.35">
      <c r="A356">
        <v>1355</v>
      </c>
      <c r="B356" s="1">
        <v>45630</v>
      </c>
      <c r="C356" t="s">
        <v>21</v>
      </c>
      <c r="D356">
        <v>500</v>
      </c>
      <c r="E356">
        <v>200</v>
      </c>
      <c r="F356" s="1">
        <v>45720</v>
      </c>
    </row>
    <row r="357" spans="1:6" x14ac:dyDescent="0.35">
      <c r="A357">
        <v>1356</v>
      </c>
      <c r="B357" s="1">
        <v>45654</v>
      </c>
      <c r="C357" t="s">
        <v>18</v>
      </c>
      <c r="D357">
        <v>200</v>
      </c>
      <c r="E357">
        <v>100</v>
      </c>
    </row>
    <row r="358" spans="1:6" x14ac:dyDescent="0.35">
      <c r="A358">
        <v>1357</v>
      </c>
      <c r="B358" s="1">
        <v>45724</v>
      </c>
      <c r="C358" t="s">
        <v>21</v>
      </c>
      <c r="D358">
        <v>500</v>
      </c>
      <c r="E358">
        <v>200</v>
      </c>
    </row>
    <row r="359" spans="1:6" x14ac:dyDescent="0.35">
      <c r="A359">
        <v>1358</v>
      </c>
      <c r="B359" s="1">
        <v>45459</v>
      </c>
      <c r="C359" t="s">
        <v>21</v>
      </c>
      <c r="D359">
        <v>500</v>
      </c>
      <c r="E359">
        <v>200</v>
      </c>
      <c r="F359" s="1">
        <v>45738</v>
      </c>
    </row>
    <row r="360" spans="1:6" x14ac:dyDescent="0.35">
      <c r="A360">
        <v>1359</v>
      </c>
      <c r="B360" s="1">
        <v>45771</v>
      </c>
      <c r="C360" t="s">
        <v>75</v>
      </c>
      <c r="D360">
        <v>50</v>
      </c>
      <c r="E360">
        <v>30</v>
      </c>
      <c r="F360" s="1">
        <v>45833</v>
      </c>
    </row>
    <row r="361" spans="1:6" x14ac:dyDescent="0.35">
      <c r="A361">
        <v>1360</v>
      </c>
      <c r="B361" s="1">
        <v>45314</v>
      </c>
      <c r="C361" t="s">
        <v>75</v>
      </c>
      <c r="D361">
        <v>50</v>
      </c>
      <c r="E361">
        <v>30</v>
      </c>
    </row>
    <row r="362" spans="1:6" x14ac:dyDescent="0.35">
      <c r="A362">
        <v>1361</v>
      </c>
      <c r="B362" s="1">
        <v>45836</v>
      </c>
      <c r="C362" t="s">
        <v>21</v>
      </c>
      <c r="D362">
        <v>500</v>
      </c>
      <c r="E362">
        <v>200</v>
      </c>
    </row>
    <row r="363" spans="1:6" x14ac:dyDescent="0.35">
      <c r="A363">
        <v>1362</v>
      </c>
      <c r="B363" s="1">
        <v>45784</v>
      </c>
      <c r="C363" t="s">
        <v>21</v>
      </c>
      <c r="D363">
        <v>500</v>
      </c>
      <c r="E363">
        <v>200</v>
      </c>
    </row>
    <row r="364" spans="1:6" x14ac:dyDescent="0.35">
      <c r="A364">
        <v>1363</v>
      </c>
      <c r="B364" s="1">
        <v>45388</v>
      </c>
      <c r="C364" t="s">
        <v>18</v>
      </c>
      <c r="D364">
        <v>200</v>
      </c>
      <c r="E364">
        <v>100</v>
      </c>
    </row>
    <row r="365" spans="1:6" x14ac:dyDescent="0.35">
      <c r="A365">
        <v>1364</v>
      </c>
      <c r="B365" s="1">
        <v>45834</v>
      </c>
      <c r="C365" t="s">
        <v>75</v>
      </c>
      <c r="D365">
        <v>50</v>
      </c>
      <c r="E365">
        <v>30</v>
      </c>
    </row>
    <row r="366" spans="1:6" x14ac:dyDescent="0.35">
      <c r="A366">
        <v>1365</v>
      </c>
      <c r="B366" s="1">
        <v>45750</v>
      </c>
      <c r="C366" t="s">
        <v>18</v>
      </c>
      <c r="D366">
        <v>200</v>
      </c>
      <c r="E366">
        <v>100</v>
      </c>
    </row>
    <row r="367" spans="1:6" x14ac:dyDescent="0.35">
      <c r="A367">
        <v>1366</v>
      </c>
      <c r="B367" s="1">
        <v>45351</v>
      </c>
      <c r="C367" t="s">
        <v>75</v>
      </c>
      <c r="D367">
        <v>50</v>
      </c>
      <c r="E367">
        <v>30</v>
      </c>
    </row>
    <row r="368" spans="1:6" x14ac:dyDescent="0.35">
      <c r="A368">
        <v>1367</v>
      </c>
      <c r="B368" s="1">
        <v>45671</v>
      </c>
      <c r="C368" t="s">
        <v>18</v>
      </c>
      <c r="D368">
        <v>200</v>
      </c>
      <c r="E368">
        <v>100</v>
      </c>
    </row>
    <row r="369" spans="1:6" x14ac:dyDescent="0.35">
      <c r="A369">
        <v>1368</v>
      </c>
      <c r="B369" s="1">
        <v>45636</v>
      </c>
      <c r="C369" t="s">
        <v>75</v>
      </c>
      <c r="D369">
        <v>50</v>
      </c>
      <c r="E369">
        <v>30</v>
      </c>
    </row>
    <row r="370" spans="1:6" x14ac:dyDescent="0.35">
      <c r="A370">
        <v>1369</v>
      </c>
      <c r="B370" s="1">
        <v>45526</v>
      </c>
      <c r="C370" t="s">
        <v>18</v>
      </c>
      <c r="D370">
        <v>200</v>
      </c>
      <c r="E370">
        <v>100</v>
      </c>
    </row>
    <row r="371" spans="1:6" x14ac:dyDescent="0.35">
      <c r="A371">
        <v>1370</v>
      </c>
      <c r="B371" s="1">
        <v>45610</v>
      </c>
      <c r="C371" t="s">
        <v>18</v>
      </c>
      <c r="D371">
        <v>200</v>
      </c>
      <c r="E371">
        <v>100</v>
      </c>
    </row>
    <row r="372" spans="1:6" x14ac:dyDescent="0.35">
      <c r="A372">
        <v>1371</v>
      </c>
      <c r="B372" s="1">
        <v>45444</v>
      </c>
      <c r="C372" t="s">
        <v>21</v>
      </c>
      <c r="D372">
        <v>500</v>
      </c>
      <c r="E372">
        <v>200</v>
      </c>
    </row>
    <row r="373" spans="1:6" x14ac:dyDescent="0.35">
      <c r="A373">
        <v>1372</v>
      </c>
      <c r="B373" s="1">
        <v>45806</v>
      </c>
      <c r="C373" t="s">
        <v>75</v>
      </c>
      <c r="D373">
        <v>50</v>
      </c>
      <c r="E373">
        <v>30</v>
      </c>
    </row>
    <row r="374" spans="1:6" x14ac:dyDescent="0.35">
      <c r="A374">
        <v>1373</v>
      </c>
      <c r="B374" s="1">
        <v>45330</v>
      </c>
      <c r="C374" t="s">
        <v>21</v>
      </c>
      <c r="D374">
        <v>500</v>
      </c>
      <c r="E374">
        <v>200</v>
      </c>
    </row>
    <row r="375" spans="1:6" x14ac:dyDescent="0.35">
      <c r="A375">
        <v>1374</v>
      </c>
      <c r="B375" s="1">
        <v>45589</v>
      </c>
      <c r="C375" t="s">
        <v>75</v>
      </c>
      <c r="D375">
        <v>50</v>
      </c>
      <c r="E375">
        <v>30</v>
      </c>
    </row>
    <row r="376" spans="1:6" x14ac:dyDescent="0.35">
      <c r="A376">
        <v>1375</v>
      </c>
      <c r="B376" s="1">
        <v>45464</v>
      </c>
      <c r="C376" t="s">
        <v>75</v>
      </c>
      <c r="D376">
        <v>50</v>
      </c>
      <c r="E376">
        <v>30</v>
      </c>
    </row>
    <row r="377" spans="1:6" x14ac:dyDescent="0.35">
      <c r="A377">
        <v>1376</v>
      </c>
      <c r="B377" s="1">
        <v>45627</v>
      </c>
      <c r="C377" t="s">
        <v>21</v>
      </c>
      <c r="D377">
        <v>500</v>
      </c>
      <c r="E377">
        <v>200</v>
      </c>
    </row>
    <row r="378" spans="1:6" x14ac:dyDescent="0.35">
      <c r="A378">
        <v>1377</v>
      </c>
      <c r="B378" s="1">
        <v>45723</v>
      </c>
      <c r="C378" t="s">
        <v>21</v>
      </c>
      <c r="D378">
        <v>500</v>
      </c>
      <c r="E378">
        <v>200</v>
      </c>
    </row>
    <row r="379" spans="1:6" x14ac:dyDescent="0.35">
      <c r="A379">
        <v>1378</v>
      </c>
      <c r="B379" s="1">
        <v>45792</v>
      </c>
      <c r="C379" t="s">
        <v>18</v>
      </c>
      <c r="D379">
        <v>200</v>
      </c>
      <c r="E379">
        <v>100</v>
      </c>
    </row>
    <row r="380" spans="1:6" x14ac:dyDescent="0.35">
      <c r="A380">
        <v>1379</v>
      </c>
      <c r="B380" s="1">
        <v>45540</v>
      </c>
      <c r="C380" t="s">
        <v>75</v>
      </c>
      <c r="D380">
        <v>50</v>
      </c>
      <c r="E380">
        <v>30</v>
      </c>
      <c r="F380" s="1">
        <v>45699</v>
      </c>
    </row>
    <row r="381" spans="1:6" x14ac:dyDescent="0.35">
      <c r="A381">
        <v>1380</v>
      </c>
      <c r="B381" s="1">
        <v>45381</v>
      </c>
      <c r="C381" t="s">
        <v>18</v>
      </c>
      <c r="D381">
        <v>200</v>
      </c>
      <c r="E381">
        <v>100</v>
      </c>
      <c r="F381" s="1">
        <v>45805</v>
      </c>
    </row>
    <row r="382" spans="1:6" x14ac:dyDescent="0.35">
      <c r="A382">
        <v>1381</v>
      </c>
      <c r="B382" s="1">
        <v>45782</v>
      </c>
      <c r="C382" t="s">
        <v>75</v>
      </c>
      <c r="D382">
        <v>50</v>
      </c>
      <c r="E382">
        <v>30</v>
      </c>
    </row>
    <row r="383" spans="1:6" x14ac:dyDescent="0.35">
      <c r="A383">
        <v>1382</v>
      </c>
      <c r="B383" s="1">
        <v>45755</v>
      </c>
      <c r="C383" t="s">
        <v>18</v>
      </c>
      <c r="D383">
        <v>200</v>
      </c>
      <c r="E383">
        <v>100</v>
      </c>
      <c r="F383" s="1">
        <v>45791</v>
      </c>
    </row>
    <row r="384" spans="1:6" x14ac:dyDescent="0.35">
      <c r="A384">
        <v>1383</v>
      </c>
      <c r="B384" s="1">
        <v>45427</v>
      </c>
      <c r="C384" t="s">
        <v>75</v>
      </c>
      <c r="D384">
        <v>50</v>
      </c>
      <c r="E384">
        <v>30</v>
      </c>
    </row>
    <row r="385" spans="1:6" x14ac:dyDescent="0.35">
      <c r="A385">
        <v>1384</v>
      </c>
      <c r="B385" s="1">
        <v>45655</v>
      </c>
      <c r="C385" t="s">
        <v>75</v>
      </c>
      <c r="D385">
        <v>50</v>
      </c>
      <c r="E385">
        <v>30</v>
      </c>
    </row>
    <row r="386" spans="1:6" x14ac:dyDescent="0.35">
      <c r="A386">
        <v>1385</v>
      </c>
      <c r="B386" s="1">
        <v>45331</v>
      </c>
      <c r="C386" t="s">
        <v>75</v>
      </c>
      <c r="D386">
        <v>50</v>
      </c>
      <c r="E386">
        <v>30</v>
      </c>
    </row>
    <row r="387" spans="1:6" x14ac:dyDescent="0.35">
      <c r="A387">
        <v>1386</v>
      </c>
      <c r="B387" s="1">
        <v>45389</v>
      </c>
      <c r="C387" t="s">
        <v>21</v>
      </c>
      <c r="D387">
        <v>500</v>
      </c>
      <c r="E387">
        <v>200</v>
      </c>
      <c r="F387" s="1">
        <v>45580</v>
      </c>
    </row>
    <row r="388" spans="1:6" x14ac:dyDescent="0.35">
      <c r="A388">
        <v>1387</v>
      </c>
      <c r="B388" s="1">
        <v>45438</v>
      </c>
      <c r="C388" t="s">
        <v>21</v>
      </c>
      <c r="D388">
        <v>500</v>
      </c>
      <c r="E388">
        <v>200</v>
      </c>
    </row>
    <row r="389" spans="1:6" x14ac:dyDescent="0.35">
      <c r="A389">
        <v>1388</v>
      </c>
      <c r="B389" s="1">
        <v>45401</v>
      </c>
      <c r="C389" t="s">
        <v>75</v>
      </c>
      <c r="D389">
        <v>50</v>
      </c>
      <c r="E389">
        <v>30</v>
      </c>
    </row>
    <row r="390" spans="1:6" x14ac:dyDescent="0.35">
      <c r="A390">
        <v>1389</v>
      </c>
      <c r="B390" s="1">
        <v>45445</v>
      </c>
      <c r="C390" t="s">
        <v>75</v>
      </c>
      <c r="D390">
        <v>50</v>
      </c>
      <c r="E390">
        <v>30</v>
      </c>
    </row>
    <row r="391" spans="1:6" x14ac:dyDescent="0.35">
      <c r="A391">
        <v>1390</v>
      </c>
      <c r="B391" s="1">
        <v>45738</v>
      </c>
      <c r="C391" t="s">
        <v>18</v>
      </c>
      <c r="D391">
        <v>200</v>
      </c>
      <c r="E391">
        <v>100</v>
      </c>
    </row>
    <row r="392" spans="1:6" x14ac:dyDescent="0.35">
      <c r="A392">
        <v>1391</v>
      </c>
      <c r="B392" s="1">
        <v>45679</v>
      </c>
      <c r="C392" t="s">
        <v>18</v>
      </c>
      <c r="D392">
        <v>200</v>
      </c>
      <c r="E392">
        <v>100</v>
      </c>
    </row>
    <row r="393" spans="1:6" x14ac:dyDescent="0.35">
      <c r="A393">
        <v>1392</v>
      </c>
      <c r="B393" s="1">
        <v>45646</v>
      </c>
      <c r="C393" t="s">
        <v>18</v>
      </c>
      <c r="D393">
        <v>200</v>
      </c>
      <c r="E393">
        <v>100</v>
      </c>
    </row>
    <row r="394" spans="1:6" x14ac:dyDescent="0.35">
      <c r="A394">
        <v>1393</v>
      </c>
      <c r="B394" s="1">
        <v>45548</v>
      </c>
      <c r="C394" t="s">
        <v>21</v>
      </c>
      <c r="D394">
        <v>500</v>
      </c>
      <c r="E394">
        <v>200</v>
      </c>
      <c r="F394" s="1">
        <v>45775</v>
      </c>
    </row>
    <row r="395" spans="1:6" x14ac:dyDescent="0.35">
      <c r="A395">
        <v>1394</v>
      </c>
      <c r="B395" s="1">
        <v>45323</v>
      </c>
      <c r="C395" t="s">
        <v>75</v>
      </c>
      <c r="D395">
        <v>50</v>
      </c>
      <c r="E395">
        <v>30</v>
      </c>
    </row>
    <row r="396" spans="1:6" x14ac:dyDescent="0.35">
      <c r="A396">
        <v>1395</v>
      </c>
      <c r="B396" s="1">
        <v>45372</v>
      </c>
      <c r="C396" t="s">
        <v>21</v>
      </c>
      <c r="D396">
        <v>500</v>
      </c>
      <c r="E396">
        <v>200</v>
      </c>
    </row>
    <row r="397" spans="1:6" x14ac:dyDescent="0.35">
      <c r="A397">
        <v>1396</v>
      </c>
      <c r="B397" s="1">
        <v>45481</v>
      </c>
      <c r="C397" t="s">
        <v>21</v>
      </c>
      <c r="D397">
        <v>500</v>
      </c>
      <c r="E397">
        <v>200</v>
      </c>
    </row>
    <row r="398" spans="1:6" x14ac:dyDescent="0.35">
      <c r="A398">
        <v>1397</v>
      </c>
      <c r="B398" s="1">
        <v>45428</v>
      </c>
      <c r="C398" t="s">
        <v>75</v>
      </c>
      <c r="D398">
        <v>50</v>
      </c>
      <c r="E398">
        <v>30</v>
      </c>
      <c r="F398" s="1">
        <v>45770</v>
      </c>
    </row>
    <row r="399" spans="1:6" x14ac:dyDescent="0.35">
      <c r="A399">
        <v>1398</v>
      </c>
      <c r="B399" s="1">
        <v>45361</v>
      </c>
      <c r="C399" t="s">
        <v>18</v>
      </c>
      <c r="D399">
        <v>200</v>
      </c>
      <c r="E399">
        <v>100</v>
      </c>
    </row>
    <row r="400" spans="1:6" x14ac:dyDescent="0.35">
      <c r="A400">
        <v>1399</v>
      </c>
      <c r="B400" s="1">
        <v>45527</v>
      </c>
      <c r="C400" t="s">
        <v>18</v>
      </c>
      <c r="D400">
        <v>200</v>
      </c>
      <c r="E400">
        <v>100</v>
      </c>
    </row>
    <row r="401" spans="1:6" x14ac:dyDescent="0.35">
      <c r="A401">
        <v>1400</v>
      </c>
      <c r="B401" s="1">
        <v>45604</v>
      </c>
      <c r="C401" t="s">
        <v>21</v>
      </c>
      <c r="D401">
        <v>500</v>
      </c>
      <c r="E401">
        <v>200</v>
      </c>
    </row>
    <row r="402" spans="1:6" x14ac:dyDescent="0.35">
      <c r="A402">
        <v>1401</v>
      </c>
      <c r="B402" s="1">
        <v>45671</v>
      </c>
      <c r="C402" t="s">
        <v>21</v>
      </c>
      <c r="D402">
        <v>500</v>
      </c>
      <c r="E402">
        <v>200</v>
      </c>
      <c r="F402" s="1">
        <v>45800</v>
      </c>
    </row>
    <row r="403" spans="1:6" x14ac:dyDescent="0.35">
      <c r="A403">
        <v>1402</v>
      </c>
      <c r="B403" s="1">
        <v>45773</v>
      </c>
      <c r="C403" t="s">
        <v>75</v>
      </c>
      <c r="D403">
        <v>50</v>
      </c>
      <c r="E403">
        <v>30</v>
      </c>
    </row>
    <row r="404" spans="1:6" x14ac:dyDescent="0.35">
      <c r="A404">
        <v>1403</v>
      </c>
      <c r="B404" s="1">
        <v>45721</v>
      </c>
      <c r="C404" t="s">
        <v>18</v>
      </c>
      <c r="D404">
        <v>200</v>
      </c>
      <c r="E404">
        <v>100</v>
      </c>
      <c r="F404" s="1">
        <v>45770</v>
      </c>
    </row>
    <row r="405" spans="1:6" x14ac:dyDescent="0.35">
      <c r="A405">
        <v>1404</v>
      </c>
      <c r="B405" s="1">
        <v>45776</v>
      </c>
      <c r="C405" t="s">
        <v>75</v>
      </c>
      <c r="D405">
        <v>50</v>
      </c>
      <c r="E405">
        <v>30</v>
      </c>
      <c r="F405" s="1">
        <v>45809</v>
      </c>
    </row>
    <row r="406" spans="1:6" x14ac:dyDescent="0.35">
      <c r="A406">
        <v>1405</v>
      </c>
      <c r="B406" s="1">
        <v>45694</v>
      </c>
      <c r="C406" t="s">
        <v>21</v>
      </c>
      <c r="D406">
        <v>500</v>
      </c>
      <c r="E406">
        <v>200</v>
      </c>
    </row>
    <row r="407" spans="1:6" x14ac:dyDescent="0.35">
      <c r="A407">
        <v>1406</v>
      </c>
      <c r="B407" s="1">
        <v>45696</v>
      </c>
      <c r="C407" t="s">
        <v>75</v>
      </c>
      <c r="D407">
        <v>50</v>
      </c>
      <c r="E407">
        <v>30</v>
      </c>
    </row>
    <row r="408" spans="1:6" x14ac:dyDescent="0.35">
      <c r="A408">
        <v>1407</v>
      </c>
      <c r="B408" s="1">
        <v>45603</v>
      </c>
      <c r="C408" t="s">
        <v>21</v>
      </c>
      <c r="D408">
        <v>500</v>
      </c>
      <c r="E408">
        <v>200</v>
      </c>
    </row>
    <row r="409" spans="1:6" x14ac:dyDescent="0.35">
      <c r="A409">
        <v>1408</v>
      </c>
      <c r="B409" s="1">
        <v>45335</v>
      </c>
      <c r="C409" t="s">
        <v>18</v>
      </c>
      <c r="D409">
        <v>200</v>
      </c>
      <c r="E409">
        <v>100</v>
      </c>
    </row>
    <row r="410" spans="1:6" x14ac:dyDescent="0.35">
      <c r="A410">
        <v>1409</v>
      </c>
      <c r="B410" s="1">
        <v>45746</v>
      </c>
      <c r="C410" t="s">
        <v>75</v>
      </c>
      <c r="D410">
        <v>50</v>
      </c>
      <c r="E410">
        <v>30</v>
      </c>
    </row>
    <row r="411" spans="1:6" x14ac:dyDescent="0.35">
      <c r="A411">
        <v>1410</v>
      </c>
      <c r="B411" s="1">
        <v>45834</v>
      </c>
      <c r="C411" t="s">
        <v>18</v>
      </c>
      <c r="D411">
        <v>200</v>
      </c>
      <c r="E411">
        <v>100</v>
      </c>
    </row>
    <row r="412" spans="1:6" x14ac:dyDescent="0.35">
      <c r="A412">
        <v>1411</v>
      </c>
      <c r="B412" s="1">
        <v>45594</v>
      </c>
      <c r="C412" t="s">
        <v>18</v>
      </c>
      <c r="D412">
        <v>200</v>
      </c>
      <c r="E412">
        <v>100</v>
      </c>
    </row>
    <row r="413" spans="1:6" x14ac:dyDescent="0.35">
      <c r="A413">
        <v>1412</v>
      </c>
      <c r="B413" s="1">
        <v>45803</v>
      </c>
      <c r="C413" t="s">
        <v>18</v>
      </c>
      <c r="D413">
        <v>200</v>
      </c>
      <c r="E413">
        <v>100</v>
      </c>
    </row>
    <row r="414" spans="1:6" x14ac:dyDescent="0.35">
      <c r="A414">
        <v>1413</v>
      </c>
      <c r="B414" s="1">
        <v>45350</v>
      </c>
      <c r="C414" t="s">
        <v>18</v>
      </c>
      <c r="D414">
        <v>200</v>
      </c>
      <c r="E414">
        <v>100</v>
      </c>
    </row>
    <row r="415" spans="1:6" x14ac:dyDescent="0.35">
      <c r="A415">
        <v>1414</v>
      </c>
      <c r="B415" s="1">
        <v>45716</v>
      </c>
      <c r="C415" t="s">
        <v>21</v>
      </c>
      <c r="D415">
        <v>500</v>
      </c>
      <c r="E415">
        <v>200</v>
      </c>
      <c r="F415" s="1">
        <v>45829</v>
      </c>
    </row>
    <row r="416" spans="1:6" x14ac:dyDescent="0.35">
      <c r="A416">
        <v>1415</v>
      </c>
      <c r="B416" s="1">
        <v>45715</v>
      </c>
      <c r="C416" t="s">
        <v>75</v>
      </c>
      <c r="D416">
        <v>50</v>
      </c>
      <c r="E416">
        <v>30</v>
      </c>
    </row>
    <row r="417" spans="1:6" x14ac:dyDescent="0.35">
      <c r="A417">
        <v>1416</v>
      </c>
      <c r="B417" s="1">
        <v>45324</v>
      </c>
      <c r="C417" t="s">
        <v>18</v>
      </c>
      <c r="D417">
        <v>200</v>
      </c>
      <c r="E417">
        <v>100</v>
      </c>
    </row>
    <row r="418" spans="1:6" x14ac:dyDescent="0.35">
      <c r="A418">
        <v>1417</v>
      </c>
      <c r="B418" s="1">
        <v>45600</v>
      </c>
      <c r="C418" t="s">
        <v>18</v>
      </c>
      <c r="D418">
        <v>200</v>
      </c>
      <c r="E418">
        <v>100</v>
      </c>
    </row>
    <row r="419" spans="1:6" x14ac:dyDescent="0.35">
      <c r="A419">
        <v>1418</v>
      </c>
      <c r="B419" s="1">
        <v>45778</v>
      </c>
      <c r="C419" t="s">
        <v>18</v>
      </c>
      <c r="D419">
        <v>200</v>
      </c>
      <c r="E419">
        <v>100</v>
      </c>
    </row>
    <row r="420" spans="1:6" x14ac:dyDescent="0.35">
      <c r="A420">
        <v>1419</v>
      </c>
      <c r="B420" s="1">
        <v>45688</v>
      </c>
      <c r="C420" t="s">
        <v>18</v>
      </c>
      <c r="D420">
        <v>200</v>
      </c>
      <c r="E420">
        <v>100</v>
      </c>
      <c r="F420" s="1">
        <v>45747</v>
      </c>
    </row>
    <row r="421" spans="1:6" x14ac:dyDescent="0.35">
      <c r="A421">
        <v>1420</v>
      </c>
      <c r="B421" s="1">
        <v>45572</v>
      </c>
      <c r="C421" t="s">
        <v>75</v>
      </c>
      <c r="D421">
        <v>50</v>
      </c>
      <c r="E421">
        <v>30</v>
      </c>
    </row>
    <row r="422" spans="1:6" x14ac:dyDescent="0.35">
      <c r="A422">
        <v>1421</v>
      </c>
      <c r="B422" s="1">
        <v>45292</v>
      </c>
      <c r="C422" t="s">
        <v>21</v>
      </c>
      <c r="D422">
        <v>500</v>
      </c>
      <c r="E422">
        <v>200</v>
      </c>
    </row>
    <row r="423" spans="1:6" x14ac:dyDescent="0.35">
      <c r="A423">
        <v>1422</v>
      </c>
      <c r="B423" s="1">
        <v>45635</v>
      </c>
      <c r="C423" t="s">
        <v>21</v>
      </c>
      <c r="D423">
        <v>500</v>
      </c>
      <c r="E423">
        <v>200</v>
      </c>
    </row>
    <row r="424" spans="1:6" x14ac:dyDescent="0.35">
      <c r="A424">
        <v>1423</v>
      </c>
      <c r="B424" s="1">
        <v>45486</v>
      </c>
      <c r="C424" t="s">
        <v>75</v>
      </c>
      <c r="D424">
        <v>50</v>
      </c>
      <c r="E424">
        <v>30</v>
      </c>
    </row>
    <row r="425" spans="1:6" x14ac:dyDescent="0.35">
      <c r="A425">
        <v>1424</v>
      </c>
      <c r="B425" s="1">
        <v>45774</v>
      </c>
      <c r="C425" t="s">
        <v>21</v>
      </c>
      <c r="D425">
        <v>500</v>
      </c>
      <c r="E425">
        <v>200</v>
      </c>
      <c r="F425" s="1">
        <v>45818</v>
      </c>
    </row>
    <row r="426" spans="1:6" x14ac:dyDescent="0.35">
      <c r="A426">
        <v>1425</v>
      </c>
      <c r="B426" s="1">
        <v>45527</v>
      </c>
      <c r="C426" t="s">
        <v>21</v>
      </c>
      <c r="D426">
        <v>500</v>
      </c>
      <c r="E426">
        <v>200</v>
      </c>
    </row>
    <row r="427" spans="1:6" x14ac:dyDescent="0.35">
      <c r="A427">
        <v>1426</v>
      </c>
      <c r="B427" s="1">
        <v>45325</v>
      </c>
      <c r="C427" t="s">
        <v>21</v>
      </c>
      <c r="D427">
        <v>500</v>
      </c>
      <c r="E427">
        <v>200</v>
      </c>
    </row>
    <row r="428" spans="1:6" x14ac:dyDescent="0.35">
      <c r="A428">
        <v>1427</v>
      </c>
      <c r="B428" s="1">
        <v>45419</v>
      </c>
      <c r="C428" t="s">
        <v>18</v>
      </c>
      <c r="D428">
        <v>200</v>
      </c>
      <c r="E428">
        <v>100</v>
      </c>
    </row>
    <row r="429" spans="1:6" x14ac:dyDescent="0.35">
      <c r="A429">
        <v>1428</v>
      </c>
      <c r="B429" s="1">
        <v>45456</v>
      </c>
      <c r="C429" t="s">
        <v>21</v>
      </c>
      <c r="D429">
        <v>500</v>
      </c>
      <c r="E429">
        <v>200</v>
      </c>
      <c r="F429" s="1">
        <v>45712</v>
      </c>
    </row>
    <row r="430" spans="1:6" x14ac:dyDescent="0.35">
      <c r="A430">
        <v>1429</v>
      </c>
      <c r="B430" s="1">
        <v>45328</v>
      </c>
      <c r="C430" t="s">
        <v>75</v>
      </c>
      <c r="D430">
        <v>50</v>
      </c>
      <c r="E430">
        <v>30</v>
      </c>
    </row>
    <row r="431" spans="1:6" x14ac:dyDescent="0.35">
      <c r="A431">
        <v>1430</v>
      </c>
      <c r="B431" s="1">
        <v>45568</v>
      </c>
      <c r="C431" t="s">
        <v>75</v>
      </c>
      <c r="D431">
        <v>50</v>
      </c>
      <c r="E431">
        <v>30</v>
      </c>
    </row>
    <row r="432" spans="1:6" x14ac:dyDescent="0.35">
      <c r="A432">
        <v>1431</v>
      </c>
      <c r="B432" s="1">
        <v>45561</v>
      </c>
      <c r="C432" t="s">
        <v>18</v>
      </c>
      <c r="D432">
        <v>200</v>
      </c>
      <c r="E432">
        <v>100</v>
      </c>
    </row>
    <row r="433" spans="1:6" x14ac:dyDescent="0.35">
      <c r="A433">
        <v>1432</v>
      </c>
      <c r="B433" s="1">
        <v>45498</v>
      </c>
      <c r="C433" t="s">
        <v>18</v>
      </c>
      <c r="D433">
        <v>200</v>
      </c>
      <c r="E433">
        <v>100</v>
      </c>
    </row>
    <row r="434" spans="1:6" x14ac:dyDescent="0.35">
      <c r="A434">
        <v>1433</v>
      </c>
      <c r="B434" s="1">
        <v>45802</v>
      </c>
      <c r="C434" t="s">
        <v>18</v>
      </c>
      <c r="D434">
        <v>200</v>
      </c>
      <c r="E434">
        <v>100</v>
      </c>
    </row>
    <row r="435" spans="1:6" x14ac:dyDescent="0.35">
      <c r="A435">
        <v>1434</v>
      </c>
      <c r="B435" s="1">
        <v>45592</v>
      </c>
      <c r="C435" t="s">
        <v>18</v>
      </c>
      <c r="D435">
        <v>200</v>
      </c>
      <c r="E435">
        <v>100</v>
      </c>
    </row>
    <row r="436" spans="1:6" x14ac:dyDescent="0.35">
      <c r="A436">
        <v>1435</v>
      </c>
      <c r="B436" s="1">
        <v>45563</v>
      </c>
      <c r="C436" t="s">
        <v>18</v>
      </c>
      <c r="D436">
        <v>200</v>
      </c>
      <c r="E436">
        <v>100</v>
      </c>
    </row>
    <row r="437" spans="1:6" x14ac:dyDescent="0.35">
      <c r="A437">
        <v>1436</v>
      </c>
      <c r="B437" s="1">
        <v>45651</v>
      </c>
      <c r="C437" t="s">
        <v>21</v>
      </c>
      <c r="D437">
        <v>500</v>
      </c>
      <c r="E437">
        <v>200</v>
      </c>
    </row>
    <row r="438" spans="1:6" x14ac:dyDescent="0.35">
      <c r="A438">
        <v>1437</v>
      </c>
      <c r="B438" s="1">
        <v>45378</v>
      </c>
      <c r="C438" t="s">
        <v>75</v>
      </c>
      <c r="D438">
        <v>50</v>
      </c>
      <c r="E438">
        <v>30</v>
      </c>
    </row>
    <row r="439" spans="1:6" x14ac:dyDescent="0.35">
      <c r="A439">
        <v>1438</v>
      </c>
      <c r="B439" s="1">
        <v>45744</v>
      </c>
      <c r="C439" t="s">
        <v>18</v>
      </c>
      <c r="D439">
        <v>200</v>
      </c>
      <c r="E439">
        <v>100</v>
      </c>
      <c r="F439" s="1">
        <v>45801</v>
      </c>
    </row>
    <row r="440" spans="1:6" x14ac:dyDescent="0.35">
      <c r="A440">
        <v>1439</v>
      </c>
      <c r="B440" s="1">
        <v>45322</v>
      </c>
      <c r="C440" t="s">
        <v>21</v>
      </c>
      <c r="D440">
        <v>500</v>
      </c>
      <c r="E440">
        <v>200</v>
      </c>
    </row>
    <row r="441" spans="1:6" x14ac:dyDescent="0.35">
      <c r="A441">
        <v>1440</v>
      </c>
      <c r="B441" s="1">
        <v>45462</v>
      </c>
      <c r="C441" t="s">
        <v>21</v>
      </c>
      <c r="D441">
        <v>500</v>
      </c>
      <c r="E441">
        <v>200</v>
      </c>
    </row>
    <row r="442" spans="1:6" x14ac:dyDescent="0.35">
      <c r="A442">
        <v>1441</v>
      </c>
      <c r="B442" s="1">
        <v>45321</v>
      </c>
      <c r="C442" t="s">
        <v>18</v>
      </c>
      <c r="D442">
        <v>200</v>
      </c>
      <c r="E442">
        <v>100</v>
      </c>
    </row>
    <row r="443" spans="1:6" x14ac:dyDescent="0.35">
      <c r="A443">
        <v>1442</v>
      </c>
      <c r="B443" s="1">
        <v>45686</v>
      </c>
      <c r="C443" t="s">
        <v>75</v>
      </c>
      <c r="D443">
        <v>50</v>
      </c>
      <c r="E443">
        <v>30</v>
      </c>
      <c r="F443" s="1">
        <v>45755</v>
      </c>
    </row>
    <row r="444" spans="1:6" x14ac:dyDescent="0.35">
      <c r="A444">
        <v>1443</v>
      </c>
      <c r="B444" s="1">
        <v>45696</v>
      </c>
      <c r="C444" t="s">
        <v>21</v>
      </c>
      <c r="D444">
        <v>500</v>
      </c>
      <c r="E444">
        <v>200</v>
      </c>
      <c r="F444" s="1">
        <v>45819</v>
      </c>
    </row>
    <row r="445" spans="1:6" x14ac:dyDescent="0.35">
      <c r="A445">
        <v>1444</v>
      </c>
      <c r="B445" s="1">
        <v>45763</v>
      </c>
      <c r="C445" t="s">
        <v>75</v>
      </c>
      <c r="D445">
        <v>50</v>
      </c>
      <c r="E445">
        <v>30</v>
      </c>
    </row>
    <row r="446" spans="1:6" x14ac:dyDescent="0.35">
      <c r="A446">
        <v>1445</v>
      </c>
      <c r="B446" s="1">
        <v>45663</v>
      </c>
      <c r="C446" t="s">
        <v>18</v>
      </c>
      <c r="D446">
        <v>200</v>
      </c>
      <c r="E446">
        <v>100</v>
      </c>
    </row>
    <row r="447" spans="1:6" x14ac:dyDescent="0.35">
      <c r="A447">
        <v>1446</v>
      </c>
      <c r="B447" s="1">
        <v>45779</v>
      </c>
      <c r="C447" t="s">
        <v>18</v>
      </c>
      <c r="D447">
        <v>200</v>
      </c>
      <c r="E447">
        <v>100</v>
      </c>
    </row>
    <row r="448" spans="1:6" x14ac:dyDescent="0.35">
      <c r="A448">
        <v>1447</v>
      </c>
      <c r="B448" s="1">
        <v>45773</v>
      </c>
      <c r="C448" t="s">
        <v>18</v>
      </c>
      <c r="D448">
        <v>200</v>
      </c>
      <c r="E448">
        <v>100</v>
      </c>
    </row>
    <row r="449" spans="1:6" x14ac:dyDescent="0.35">
      <c r="A449">
        <v>1448</v>
      </c>
      <c r="B449" s="1">
        <v>45473</v>
      </c>
      <c r="C449" t="s">
        <v>18</v>
      </c>
      <c r="D449">
        <v>200</v>
      </c>
      <c r="E449">
        <v>100</v>
      </c>
      <c r="F449" s="1">
        <v>45540</v>
      </c>
    </row>
    <row r="450" spans="1:6" x14ac:dyDescent="0.35">
      <c r="A450">
        <v>1449</v>
      </c>
      <c r="B450" s="1">
        <v>45418</v>
      </c>
      <c r="C450" t="s">
        <v>21</v>
      </c>
      <c r="D450">
        <v>500</v>
      </c>
      <c r="E450">
        <v>200</v>
      </c>
    </row>
    <row r="451" spans="1:6" x14ac:dyDescent="0.35">
      <c r="A451">
        <v>1450</v>
      </c>
      <c r="B451" s="1">
        <v>45372</v>
      </c>
      <c r="C451" t="s">
        <v>75</v>
      </c>
      <c r="D451">
        <v>50</v>
      </c>
      <c r="E451">
        <v>30</v>
      </c>
      <c r="F451" s="1">
        <v>45774</v>
      </c>
    </row>
    <row r="452" spans="1:6" x14ac:dyDescent="0.35">
      <c r="A452">
        <v>1451</v>
      </c>
      <c r="B452" s="1">
        <v>45807</v>
      </c>
      <c r="C452" t="s">
        <v>75</v>
      </c>
      <c r="D452">
        <v>50</v>
      </c>
      <c r="E452">
        <v>30</v>
      </c>
    </row>
    <row r="453" spans="1:6" x14ac:dyDescent="0.35">
      <c r="A453">
        <v>1452</v>
      </c>
      <c r="B453" s="1">
        <v>45641</v>
      </c>
      <c r="C453" t="s">
        <v>18</v>
      </c>
      <c r="D453">
        <v>200</v>
      </c>
      <c r="E453">
        <v>100</v>
      </c>
    </row>
    <row r="454" spans="1:6" x14ac:dyDescent="0.35">
      <c r="A454">
        <v>1453</v>
      </c>
      <c r="B454" s="1">
        <v>45771</v>
      </c>
      <c r="C454" t="s">
        <v>21</v>
      </c>
      <c r="D454">
        <v>500</v>
      </c>
      <c r="E454">
        <v>200</v>
      </c>
      <c r="F454" s="1">
        <v>45824</v>
      </c>
    </row>
    <row r="455" spans="1:6" x14ac:dyDescent="0.35">
      <c r="A455">
        <v>1454</v>
      </c>
      <c r="B455" s="1">
        <v>45344</v>
      </c>
      <c r="C455" t="s">
        <v>21</v>
      </c>
      <c r="D455">
        <v>500</v>
      </c>
      <c r="E455">
        <v>200</v>
      </c>
    </row>
    <row r="456" spans="1:6" x14ac:dyDescent="0.35">
      <c r="A456">
        <v>1455</v>
      </c>
      <c r="B456" s="1">
        <v>45614</v>
      </c>
      <c r="C456" t="s">
        <v>21</v>
      </c>
      <c r="D456">
        <v>500</v>
      </c>
      <c r="E456">
        <v>200</v>
      </c>
    </row>
    <row r="457" spans="1:6" x14ac:dyDescent="0.35">
      <c r="A457">
        <v>1456</v>
      </c>
      <c r="B457" s="1">
        <v>45523</v>
      </c>
      <c r="C457" t="s">
        <v>21</v>
      </c>
      <c r="D457">
        <v>500</v>
      </c>
      <c r="E457">
        <v>200</v>
      </c>
    </row>
    <row r="458" spans="1:6" x14ac:dyDescent="0.35">
      <c r="A458">
        <v>1457</v>
      </c>
      <c r="B458" s="1">
        <v>45687</v>
      </c>
      <c r="C458" t="s">
        <v>21</v>
      </c>
      <c r="D458">
        <v>500</v>
      </c>
      <c r="E458">
        <v>200</v>
      </c>
      <c r="F458" s="1">
        <v>45811</v>
      </c>
    </row>
    <row r="459" spans="1:6" x14ac:dyDescent="0.35">
      <c r="A459">
        <v>1458</v>
      </c>
      <c r="B459" s="1">
        <v>45468</v>
      </c>
      <c r="C459" t="s">
        <v>21</v>
      </c>
      <c r="D459">
        <v>500</v>
      </c>
      <c r="E459">
        <v>200</v>
      </c>
    </row>
    <row r="460" spans="1:6" x14ac:dyDescent="0.35">
      <c r="A460">
        <v>1459</v>
      </c>
      <c r="B460" s="1">
        <v>45514</v>
      </c>
      <c r="C460" t="s">
        <v>75</v>
      </c>
      <c r="D460">
        <v>50</v>
      </c>
      <c r="E460">
        <v>30</v>
      </c>
    </row>
    <row r="461" spans="1:6" x14ac:dyDescent="0.35">
      <c r="A461">
        <v>1460</v>
      </c>
      <c r="B461" s="1">
        <v>45358</v>
      </c>
      <c r="C461" t="s">
        <v>75</v>
      </c>
      <c r="D461">
        <v>50</v>
      </c>
      <c r="E461">
        <v>30</v>
      </c>
    </row>
    <row r="462" spans="1:6" x14ac:dyDescent="0.35">
      <c r="A462">
        <v>1461</v>
      </c>
      <c r="B462" s="1">
        <v>45791</v>
      </c>
      <c r="C462" t="s">
        <v>21</v>
      </c>
      <c r="D462">
        <v>500</v>
      </c>
      <c r="E462">
        <v>200</v>
      </c>
    </row>
    <row r="463" spans="1:6" x14ac:dyDescent="0.35">
      <c r="A463">
        <v>1462</v>
      </c>
      <c r="B463" s="1">
        <v>45382</v>
      </c>
      <c r="C463" t="s">
        <v>18</v>
      </c>
      <c r="D463">
        <v>200</v>
      </c>
      <c r="E463">
        <v>100</v>
      </c>
    </row>
    <row r="464" spans="1:6" x14ac:dyDescent="0.35">
      <c r="A464">
        <v>1463</v>
      </c>
      <c r="B464" s="1">
        <v>45522</v>
      </c>
      <c r="C464" t="s">
        <v>18</v>
      </c>
      <c r="D464">
        <v>200</v>
      </c>
      <c r="E464">
        <v>100</v>
      </c>
    </row>
    <row r="465" spans="1:6" x14ac:dyDescent="0.35">
      <c r="A465">
        <v>1464</v>
      </c>
      <c r="B465" s="1">
        <v>45544</v>
      </c>
      <c r="C465" t="s">
        <v>75</v>
      </c>
      <c r="D465">
        <v>50</v>
      </c>
      <c r="E465">
        <v>30</v>
      </c>
    </row>
    <row r="466" spans="1:6" x14ac:dyDescent="0.35">
      <c r="A466">
        <v>1465</v>
      </c>
      <c r="B466" s="1">
        <v>45543</v>
      </c>
      <c r="C466" t="s">
        <v>75</v>
      </c>
      <c r="D466">
        <v>50</v>
      </c>
      <c r="E466">
        <v>30</v>
      </c>
      <c r="F466" s="1">
        <v>45624</v>
      </c>
    </row>
    <row r="467" spans="1:6" x14ac:dyDescent="0.35">
      <c r="A467">
        <v>1466</v>
      </c>
      <c r="B467" s="1">
        <v>45469</v>
      </c>
      <c r="C467" t="s">
        <v>75</v>
      </c>
      <c r="D467">
        <v>50</v>
      </c>
      <c r="E467">
        <v>30</v>
      </c>
    </row>
    <row r="468" spans="1:6" x14ac:dyDescent="0.35">
      <c r="A468">
        <v>1467</v>
      </c>
      <c r="B468" s="1">
        <v>45596</v>
      </c>
      <c r="C468" t="s">
        <v>18</v>
      </c>
      <c r="D468">
        <v>200</v>
      </c>
      <c r="E468">
        <v>100</v>
      </c>
    </row>
    <row r="469" spans="1:6" x14ac:dyDescent="0.35">
      <c r="A469">
        <v>1468</v>
      </c>
      <c r="B469" s="1">
        <v>45750</v>
      </c>
      <c r="C469" t="s">
        <v>21</v>
      </c>
      <c r="D469">
        <v>500</v>
      </c>
      <c r="E469">
        <v>200</v>
      </c>
    </row>
    <row r="470" spans="1:6" x14ac:dyDescent="0.35">
      <c r="A470">
        <v>1469</v>
      </c>
      <c r="B470" s="1">
        <v>45590</v>
      </c>
      <c r="C470" t="s">
        <v>75</v>
      </c>
      <c r="D470">
        <v>50</v>
      </c>
      <c r="E470">
        <v>30</v>
      </c>
    </row>
    <row r="471" spans="1:6" x14ac:dyDescent="0.35">
      <c r="A471">
        <v>1470</v>
      </c>
      <c r="B471" s="1">
        <v>45649</v>
      </c>
      <c r="C471" t="s">
        <v>21</v>
      </c>
      <c r="D471">
        <v>500</v>
      </c>
      <c r="E471">
        <v>200</v>
      </c>
    </row>
    <row r="472" spans="1:6" x14ac:dyDescent="0.35">
      <c r="A472">
        <v>1471</v>
      </c>
      <c r="B472" s="1">
        <v>45310</v>
      </c>
      <c r="C472" t="s">
        <v>18</v>
      </c>
      <c r="D472">
        <v>200</v>
      </c>
      <c r="E472">
        <v>100</v>
      </c>
      <c r="F472" s="1">
        <v>45438</v>
      </c>
    </row>
    <row r="473" spans="1:6" x14ac:dyDescent="0.35">
      <c r="A473">
        <v>1472</v>
      </c>
      <c r="B473" s="1">
        <v>45479</v>
      </c>
      <c r="C473" t="s">
        <v>18</v>
      </c>
      <c r="D473">
        <v>200</v>
      </c>
      <c r="E473">
        <v>100</v>
      </c>
    </row>
    <row r="474" spans="1:6" x14ac:dyDescent="0.35">
      <c r="A474">
        <v>1473</v>
      </c>
      <c r="B474" s="1">
        <v>45373</v>
      </c>
      <c r="C474" t="s">
        <v>75</v>
      </c>
      <c r="D474">
        <v>50</v>
      </c>
      <c r="E474">
        <v>30</v>
      </c>
    </row>
    <row r="475" spans="1:6" x14ac:dyDescent="0.35">
      <c r="A475">
        <v>1474</v>
      </c>
      <c r="B475" s="1">
        <v>45649</v>
      </c>
      <c r="C475" t="s">
        <v>75</v>
      </c>
      <c r="D475">
        <v>50</v>
      </c>
      <c r="E475">
        <v>30</v>
      </c>
    </row>
    <row r="476" spans="1:6" x14ac:dyDescent="0.35">
      <c r="A476">
        <v>1475</v>
      </c>
      <c r="B476" s="1">
        <v>45523</v>
      </c>
      <c r="C476" t="s">
        <v>18</v>
      </c>
      <c r="D476">
        <v>200</v>
      </c>
      <c r="E476">
        <v>100</v>
      </c>
      <c r="F476" s="1">
        <v>45743</v>
      </c>
    </row>
    <row r="477" spans="1:6" x14ac:dyDescent="0.35">
      <c r="A477">
        <v>1476</v>
      </c>
      <c r="B477" s="1">
        <v>45386</v>
      </c>
      <c r="C477" t="s">
        <v>18</v>
      </c>
      <c r="D477">
        <v>200</v>
      </c>
      <c r="E477">
        <v>100</v>
      </c>
    </row>
    <row r="478" spans="1:6" x14ac:dyDescent="0.35">
      <c r="A478">
        <v>1477</v>
      </c>
      <c r="B478" s="1">
        <v>45595</v>
      </c>
      <c r="C478" t="s">
        <v>18</v>
      </c>
      <c r="D478">
        <v>200</v>
      </c>
      <c r="E478">
        <v>100</v>
      </c>
    </row>
    <row r="479" spans="1:6" x14ac:dyDescent="0.35">
      <c r="A479">
        <v>1478</v>
      </c>
      <c r="B479" s="1">
        <v>45368</v>
      </c>
      <c r="C479" t="s">
        <v>18</v>
      </c>
      <c r="D479">
        <v>200</v>
      </c>
      <c r="E479">
        <v>100</v>
      </c>
      <c r="F479" s="1">
        <v>45577</v>
      </c>
    </row>
    <row r="480" spans="1:6" x14ac:dyDescent="0.35">
      <c r="A480">
        <v>1479</v>
      </c>
      <c r="B480" s="1">
        <v>45411</v>
      </c>
      <c r="C480" t="s">
        <v>75</v>
      </c>
      <c r="D480">
        <v>50</v>
      </c>
      <c r="E480">
        <v>30</v>
      </c>
    </row>
    <row r="481" spans="1:5" x14ac:dyDescent="0.35">
      <c r="A481">
        <v>1480</v>
      </c>
      <c r="B481" s="1">
        <v>45750</v>
      </c>
      <c r="C481" t="s">
        <v>21</v>
      </c>
      <c r="D481">
        <v>500</v>
      </c>
      <c r="E481">
        <v>200</v>
      </c>
    </row>
    <row r="482" spans="1:5" x14ac:dyDescent="0.35">
      <c r="A482">
        <v>1481</v>
      </c>
      <c r="B482" s="1">
        <v>45792</v>
      </c>
      <c r="C482" t="s">
        <v>21</v>
      </c>
      <c r="D482">
        <v>500</v>
      </c>
      <c r="E482">
        <v>200</v>
      </c>
    </row>
    <row r="483" spans="1:5" x14ac:dyDescent="0.35">
      <c r="A483">
        <v>1482</v>
      </c>
      <c r="B483" s="1">
        <v>45601</v>
      </c>
      <c r="C483" t="s">
        <v>75</v>
      </c>
      <c r="D483">
        <v>50</v>
      </c>
      <c r="E483">
        <v>30</v>
      </c>
    </row>
    <row r="484" spans="1:5" x14ac:dyDescent="0.35">
      <c r="A484">
        <v>1483</v>
      </c>
      <c r="B484" s="1">
        <v>45646</v>
      </c>
      <c r="C484" t="s">
        <v>18</v>
      </c>
      <c r="D484">
        <v>200</v>
      </c>
      <c r="E484">
        <v>100</v>
      </c>
    </row>
    <row r="485" spans="1:5" x14ac:dyDescent="0.35">
      <c r="A485">
        <v>1484</v>
      </c>
      <c r="B485" s="1">
        <v>45748</v>
      </c>
      <c r="C485" t="s">
        <v>75</v>
      </c>
      <c r="D485">
        <v>50</v>
      </c>
      <c r="E485">
        <v>30</v>
      </c>
    </row>
    <row r="486" spans="1:5" x14ac:dyDescent="0.35">
      <c r="A486">
        <v>1485</v>
      </c>
      <c r="B486" s="1">
        <v>45327</v>
      </c>
      <c r="C486" t="s">
        <v>18</v>
      </c>
      <c r="D486">
        <v>200</v>
      </c>
      <c r="E486">
        <v>100</v>
      </c>
    </row>
    <row r="487" spans="1:5" x14ac:dyDescent="0.35">
      <c r="A487">
        <v>1486</v>
      </c>
      <c r="B487" s="1">
        <v>45538</v>
      </c>
      <c r="C487" t="s">
        <v>18</v>
      </c>
      <c r="D487">
        <v>200</v>
      </c>
      <c r="E487">
        <v>100</v>
      </c>
    </row>
    <row r="488" spans="1:5" x14ac:dyDescent="0.35">
      <c r="A488">
        <v>1487</v>
      </c>
      <c r="B488" s="1">
        <v>45411</v>
      </c>
      <c r="C488" t="s">
        <v>18</v>
      </c>
      <c r="D488">
        <v>200</v>
      </c>
      <c r="E488">
        <v>100</v>
      </c>
    </row>
    <row r="489" spans="1:5" x14ac:dyDescent="0.35">
      <c r="A489">
        <v>1488</v>
      </c>
      <c r="B489" s="1">
        <v>45300</v>
      </c>
      <c r="C489" t="s">
        <v>21</v>
      </c>
      <c r="D489">
        <v>500</v>
      </c>
      <c r="E489">
        <v>200</v>
      </c>
    </row>
    <row r="490" spans="1:5" x14ac:dyDescent="0.35">
      <c r="A490">
        <v>1489</v>
      </c>
      <c r="B490" s="1">
        <v>45458</v>
      </c>
      <c r="C490" t="s">
        <v>18</v>
      </c>
      <c r="D490">
        <v>200</v>
      </c>
      <c r="E490">
        <v>100</v>
      </c>
    </row>
    <row r="491" spans="1:5" x14ac:dyDescent="0.35">
      <c r="A491">
        <v>1490</v>
      </c>
      <c r="B491" s="1">
        <v>45436</v>
      </c>
      <c r="C491" t="s">
        <v>18</v>
      </c>
      <c r="D491">
        <v>200</v>
      </c>
      <c r="E491">
        <v>100</v>
      </c>
    </row>
    <row r="492" spans="1:5" x14ac:dyDescent="0.35">
      <c r="A492">
        <v>1491</v>
      </c>
      <c r="B492" s="1">
        <v>45472</v>
      </c>
      <c r="C492" t="s">
        <v>18</v>
      </c>
      <c r="D492">
        <v>200</v>
      </c>
      <c r="E492">
        <v>100</v>
      </c>
    </row>
    <row r="493" spans="1:5" x14ac:dyDescent="0.35">
      <c r="A493">
        <v>1492</v>
      </c>
      <c r="B493" s="1">
        <v>45388</v>
      </c>
      <c r="C493" t="s">
        <v>18</v>
      </c>
      <c r="D493">
        <v>200</v>
      </c>
      <c r="E493">
        <v>100</v>
      </c>
    </row>
    <row r="494" spans="1:5" x14ac:dyDescent="0.35">
      <c r="A494">
        <v>1493</v>
      </c>
      <c r="B494" s="1">
        <v>45789</v>
      </c>
      <c r="C494" t="s">
        <v>21</v>
      </c>
      <c r="D494">
        <v>500</v>
      </c>
      <c r="E494">
        <v>200</v>
      </c>
    </row>
    <row r="495" spans="1:5" x14ac:dyDescent="0.35">
      <c r="A495">
        <v>1494</v>
      </c>
      <c r="B495" s="1">
        <v>45645</v>
      </c>
      <c r="C495" t="s">
        <v>21</v>
      </c>
      <c r="D495">
        <v>500</v>
      </c>
      <c r="E495">
        <v>200</v>
      </c>
    </row>
    <row r="496" spans="1:5" x14ac:dyDescent="0.35">
      <c r="A496">
        <v>1495</v>
      </c>
      <c r="B496" s="1">
        <v>45524</v>
      </c>
      <c r="C496" t="s">
        <v>75</v>
      </c>
      <c r="D496">
        <v>50</v>
      </c>
      <c r="E496">
        <v>30</v>
      </c>
    </row>
    <row r="497" spans="1:6" x14ac:dyDescent="0.35">
      <c r="A497">
        <v>1496</v>
      </c>
      <c r="B497" s="1">
        <v>45328</v>
      </c>
      <c r="C497" t="s">
        <v>75</v>
      </c>
      <c r="D497">
        <v>50</v>
      </c>
      <c r="E497">
        <v>30</v>
      </c>
    </row>
    <row r="498" spans="1:6" x14ac:dyDescent="0.35">
      <c r="A498">
        <v>1497</v>
      </c>
      <c r="B498" s="1">
        <v>45406</v>
      </c>
      <c r="C498" t="s">
        <v>75</v>
      </c>
      <c r="D498">
        <v>50</v>
      </c>
      <c r="E498">
        <v>30</v>
      </c>
    </row>
    <row r="499" spans="1:6" x14ac:dyDescent="0.35">
      <c r="A499">
        <v>1498</v>
      </c>
      <c r="B499" s="1">
        <v>45697</v>
      </c>
      <c r="C499" t="s">
        <v>18</v>
      </c>
      <c r="D499">
        <v>200</v>
      </c>
      <c r="E499">
        <v>100</v>
      </c>
    </row>
    <row r="500" spans="1:6" x14ac:dyDescent="0.35">
      <c r="A500">
        <v>1499</v>
      </c>
      <c r="B500" s="1">
        <v>45765</v>
      </c>
      <c r="C500" t="s">
        <v>21</v>
      </c>
      <c r="D500">
        <v>500</v>
      </c>
      <c r="E500">
        <v>200</v>
      </c>
    </row>
    <row r="501" spans="1:6" x14ac:dyDescent="0.35">
      <c r="A501">
        <v>1500</v>
      </c>
      <c r="B501" s="1">
        <v>45317</v>
      </c>
      <c r="C501" t="s">
        <v>75</v>
      </c>
      <c r="D501">
        <v>50</v>
      </c>
      <c r="E501">
        <v>30</v>
      </c>
    </row>
    <row r="502" spans="1:6" x14ac:dyDescent="0.35">
      <c r="A502">
        <v>1501</v>
      </c>
      <c r="B502" s="1">
        <v>45729</v>
      </c>
      <c r="C502" t="s">
        <v>21</v>
      </c>
      <c r="D502">
        <v>500</v>
      </c>
      <c r="E502">
        <v>200</v>
      </c>
      <c r="F502" s="1">
        <v>45796</v>
      </c>
    </row>
    <row r="503" spans="1:6" x14ac:dyDescent="0.35">
      <c r="A503">
        <v>1502</v>
      </c>
      <c r="B503" s="1">
        <v>45784</v>
      </c>
      <c r="C503" t="s">
        <v>75</v>
      </c>
      <c r="D503">
        <v>50</v>
      </c>
      <c r="E503">
        <v>30</v>
      </c>
    </row>
    <row r="504" spans="1:6" x14ac:dyDescent="0.35">
      <c r="A504">
        <v>1503</v>
      </c>
      <c r="B504" s="1">
        <v>45540</v>
      </c>
      <c r="C504" t="s">
        <v>75</v>
      </c>
      <c r="D504">
        <v>50</v>
      </c>
      <c r="E504">
        <v>30</v>
      </c>
    </row>
    <row r="505" spans="1:6" x14ac:dyDescent="0.35">
      <c r="A505">
        <v>1504</v>
      </c>
      <c r="B505" s="1">
        <v>45419</v>
      </c>
      <c r="C505" t="s">
        <v>18</v>
      </c>
      <c r="D505">
        <v>200</v>
      </c>
      <c r="E505">
        <v>100</v>
      </c>
    </row>
    <row r="506" spans="1:6" x14ac:dyDescent="0.35">
      <c r="A506">
        <v>1505</v>
      </c>
      <c r="B506" s="1">
        <v>45663</v>
      </c>
      <c r="C506" t="s">
        <v>18</v>
      </c>
      <c r="D506">
        <v>200</v>
      </c>
      <c r="E506">
        <v>100</v>
      </c>
    </row>
    <row r="507" spans="1:6" x14ac:dyDescent="0.35">
      <c r="A507">
        <v>1506</v>
      </c>
      <c r="B507" s="1">
        <v>45522</v>
      </c>
      <c r="C507" t="s">
        <v>75</v>
      </c>
      <c r="D507">
        <v>50</v>
      </c>
      <c r="E507">
        <v>30</v>
      </c>
    </row>
    <row r="508" spans="1:6" x14ac:dyDescent="0.35">
      <c r="A508">
        <v>1507</v>
      </c>
      <c r="B508" s="1">
        <v>45577</v>
      </c>
      <c r="C508" t="s">
        <v>21</v>
      </c>
      <c r="D508">
        <v>500</v>
      </c>
      <c r="E508">
        <v>200</v>
      </c>
    </row>
    <row r="509" spans="1:6" x14ac:dyDescent="0.35">
      <c r="A509">
        <v>1508</v>
      </c>
      <c r="B509" s="1">
        <v>45574</v>
      </c>
      <c r="C509" t="s">
        <v>18</v>
      </c>
      <c r="D509">
        <v>200</v>
      </c>
      <c r="E509">
        <v>100</v>
      </c>
    </row>
    <row r="510" spans="1:6" x14ac:dyDescent="0.35">
      <c r="A510">
        <v>1509</v>
      </c>
      <c r="B510" s="1">
        <v>45573</v>
      </c>
      <c r="C510" t="s">
        <v>21</v>
      </c>
      <c r="D510">
        <v>500</v>
      </c>
      <c r="E510">
        <v>200</v>
      </c>
    </row>
    <row r="511" spans="1:6" x14ac:dyDescent="0.35">
      <c r="A511">
        <v>1510</v>
      </c>
      <c r="B511" s="1">
        <v>45300</v>
      </c>
      <c r="C511" t="s">
        <v>21</v>
      </c>
      <c r="D511">
        <v>500</v>
      </c>
      <c r="E511">
        <v>200</v>
      </c>
      <c r="F511" s="1">
        <v>45616</v>
      </c>
    </row>
    <row r="512" spans="1:6" x14ac:dyDescent="0.35">
      <c r="A512">
        <v>1511</v>
      </c>
      <c r="B512" s="1">
        <v>45372</v>
      </c>
      <c r="C512" t="s">
        <v>18</v>
      </c>
      <c r="D512">
        <v>200</v>
      </c>
      <c r="E512">
        <v>100</v>
      </c>
    </row>
    <row r="513" spans="1:6" x14ac:dyDescent="0.35">
      <c r="A513">
        <v>1512</v>
      </c>
      <c r="B513" s="1">
        <v>45417</v>
      </c>
      <c r="C513" t="s">
        <v>18</v>
      </c>
      <c r="D513">
        <v>200</v>
      </c>
      <c r="E513">
        <v>100</v>
      </c>
    </row>
    <row r="514" spans="1:6" x14ac:dyDescent="0.35">
      <c r="A514">
        <v>1513</v>
      </c>
      <c r="B514" s="1">
        <v>45484</v>
      </c>
      <c r="C514" t="s">
        <v>18</v>
      </c>
      <c r="D514">
        <v>200</v>
      </c>
      <c r="E514">
        <v>100</v>
      </c>
    </row>
    <row r="515" spans="1:6" x14ac:dyDescent="0.35">
      <c r="A515">
        <v>1514</v>
      </c>
      <c r="B515" s="1">
        <v>45747</v>
      </c>
      <c r="C515" t="s">
        <v>18</v>
      </c>
      <c r="D515">
        <v>200</v>
      </c>
      <c r="E515">
        <v>100</v>
      </c>
    </row>
    <row r="516" spans="1:6" x14ac:dyDescent="0.35">
      <c r="A516">
        <v>1515</v>
      </c>
      <c r="B516" s="1">
        <v>45750</v>
      </c>
      <c r="C516" t="s">
        <v>21</v>
      </c>
      <c r="D516">
        <v>500</v>
      </c>
      <c r="E516">
        <v>200</v>
      </c>
    </row>
    <row r="517" spans="1:6" x14ac:dyDescent="0.35">
      <c r="A517">
        <v>1516</v>
      </c>
      <c r="B517" s="1">
        <v>45650</v>
      </c>
      <c r="C517" t="s">
        <v>21</v>
      </c>
      <c r="D517">
        <v>500</v>
      </c>
      <c r="E517">
        <v>200</v>
      </c>
    </row>
    <row r="518" spans="1:6" x14ac:dyDescent="0.35">
      <c r="A518">
        <v>1517</v>
      </c>
      <c r="B518" s="1">
        <v>45363</v>
      </c>
      <c r="C518" t="s">
        <v>75</v>
      </c>
      <c r="D518">
        <v>50</v>
      </c>
      <c r="E518">
        <v>30</v>
      </c>
    </row>
    <row r="519" spans="1:6" x14ac:dyDescent="0.35">
      <c r="A519">
        <v>1518</v>
      </c>
      <c r="B519" s="1">
        <v>45354</v>
      </c>
      <c r="C519" t="s">
        <v>75</v>
      </c>
      <c r="D519">
        <v>50</v>
      </c>
      <c r="E519">
        <v>30</v>
      </c>
    </row>
    <row r="520" spans="1:6" x14ac:dyDescent="0.35">
      <c r="A520">
        <v>1519</v>
      </c>
      <c r="B520" s="1">
        <v>45337</v>
      </c>
      <c r="C520" t="s">
        <v>21</v>
      </c>
      <c r="D520">
        <v>500</v>
      </c>
      <c r="E520">
        <v>200</v>
      </c>
      <c r="F520" s="1">
        <v>45811</v>
      </c>
    </row>
    <row r="521" spans="1:6" x14ac:dyDescent="0.35">
      <c r="A521">
        <v>1520</v>
      </c>
      <c r="B521" s="1">
        <v>45413</v>
      </c>
      <c r="C521" t="s">
        <v>75</v>
      </c>
      <c r="D521">
        <v>50</v>
      </c>
      <c r="E521">
        <v>30</v>
      </c>
    </row>
    <row r="522" spans="1:6" x14ac:dyDescent="0.35">
      <c r="A522">
        <v>1521</v>
      </c>
      <c r="B522" s="1">
        <v>45595</v>
      </c>
      <c r="C522" t="s">
        <v>18</v>
      </c>
      <c r="D522">
        <v>200</v>
      </c>
      <c r="E522">
        <v>100</v>
      </c>
    </row>
    <row r="523" spans="1:6" x14ac:dyDescent="0.35">
      <c r="A523">
        <v>1522</v>
      </c>
      <c r="B523" s="1">
        <v>45421</v>
      </c>
      <c r="C523" t="s">
        <v>18</v>
      </c>
      <c r="D523">
        <v>200</v>
      </c>
      <c r="E523">
        <v>100</v>
      </c>
    </row>
    <row r="524" spans="1:6" x14ac:dyDescent="0.35">
      <c r="A524">
        <v>1523</v>
      </c>
      <c r="B524" s="1">
        <v>45605</v>
      </c>
      <c r="C524" t="s">
        <v>18</v>
      </c>
      <c r="D524">
        <v>200</v>
      </c>
      <c r="E524">
        <v>100</v>
      </c>
    </row>
    <row r="525" spans="1:6" x14ac:dyDescent="0.35">
      <c r="A525">
        <v>1524</v>
      </c>
      <c r="B525" s="1">
        <v>45628</v>
      </c>
      <c r="C525" t="s">
        <v>18</v>
      </c>
      <c r="D525">
        <v>200</v>
      </c>
      <c r="E525">
        <v>100</v>
      </c>
    </row>
    <row r="526" spans="1:6" x14ac:dyDescent="0.35">
      <c r="A526">
        <v>1525</v>
      </c>
      <c r="B526" s="1">
        <v>45713</v>
      </c>
      <c r="C526" t="s">
        <v>21</v>
      </c>
      <c r="D526">
        <v>500</v>
      </c>
      <c r="E526">
        <v>200</v>
      </c>
      <c r="F526" s="1">
        <v>45790</v>
      </c>
    </row>
    <row r="527" spans="1:6" x14ac:dyDescent="0.35">
      <c r="A527">
        <v>1526</v>
      </c>
      <c r="B527" s="1">
        <v>45700</v>
      </c>
      <c r="C527" t="s">
        <v>21</v>
      </c>
      <c r="D527">
        <v>500</v>
      </c>
      <c r="E527">
        <v>200</v>
      </c>
    </row>
    <row r="528" spans="1:6" x14ac:dyDescent="0.35">
      <c r="A528">
        <v>1527</v>
      </c>
      <c r="B528" s="1">
        <v>45407</v>
      </c>
      <c r="C528" t="s">
        <v>18</v>
      </c>
      <c r="D528">
        <v>200</v>
      </c>
      <c r="E528">
        <v>100</v>
      </c>
    </row>
    <row r="529" spans="1:5" x14ac:dyDescent="0.35">
      <c r="A529">
        <v>1528</v>
      </c>
      <c r="B529" s="1">
        <v>45791</v>
      </c>
      <c r="C529" t="s">
        <v>18</v>
      </c>
      <c r="D529">
        <v>200</v>
      </c>
      <c r="E529">
        <v>100</v>
      </c>
    </row>
    <row r="530" spans="1:5" x14ac:dyDescent="0.35">
      <c r="A530">
        <v>1529</v>
      </c>
      <c r="B530" s="1">
        <v>45710</v>
      </c>
      <c r="C530" t="s">
        <v>18</v>
      </c>
      <c r="D530">
        <v>200</v>
      </c>
      <c r="E530">
        <v>100</v>
      </c>
    </row>
    <row r="531" spans="1:5" x14ac:dyDescent="0.35">
      <c r="A531">
        <v>1530</v>
      </c>
      <c r="B531" s="1">
        <v>45804</v>
      </c>
      <c r="C531" t="s">
        <v>75</v>
      </c>
      <c r="D531">
        <v>50</v>
      </c>
      <c r="E531">
        <v>30</v>
      </c>
    </row>
    <row r="532" spans="1:5" x14ac:dyDescent="0.35">
      <c r="A532">
        <v>1531</v>
      </c>
      <c r="B532" s="1">
        <v>45776</v>
      </c>
      <c r="C532" t="s">
        <v>21</v>
      </c>
      <c r="D532">
        <v>500</v>
      </c>
      <c r="E532">
        <v>200</v>
      </c>
    </row>
    <row r="533" spans="1:5" x14ac:dyDescent="0.35">
      <c r="A533">
        <v>1532</v>
      </c>
      <c r="B533" s="1">
        <v>45384</v>
      </c>
      <c r="C533" t="s">
        <v>21</v>
      </c>
      <c r="D533">
        <v>500</v>
      </c>
      <c r="E533">
        <v>200</v>
      </c>
    </row>
    <row r="534" spans="1:5" x14ac:dyDescent="0.35">
      <c r="A534">
        <v>1533</v>
      </c>
      <c r="B534" s="1">
        <v>45821</v>
      </c>
      <c r="C534" t="s">
        <v>18</v>
      </c>
      <c r="D534">
        <v>200</v>
      </c>
      <c r="E534">
        <v>100</v>
      </c>
    </row>
    <row r="535" spans="1:5" x14ac:dyDescent="0.35">
      <c r="A535">
        <v>1534</v>
      </c>
      <c r="B535" s="1">
        <v>45559</v>
      </c>
      <c r="C535" t="s">
        <v>21</v>
      </c>
      <c r="D535">
        <v>500</v>
      </c>
      <c r="E535">
        <v>200</v>
      </c>
    </row>
    <row r="536" spans="1:5" x14ac:dyDescent="0.35">
      <c r="A536">
        <v>1535</v>
      </c>
      <c r="B536" s="1">
        <v>45575</v>
      </c>
      <c r="C536" t="s">
        <v>18</v>
      </c>
      <c r="D536">
        <v>200</v>
      </c>
      <c r="E536">
        <v>100</v>
      </c>
    </row>
    <row r="537" spans="1:5" x14ac:dyDescent="0.35">
      <c r="A537">
        <v>1536</v>
      </c>
      <c r="B537" s="1">
        <v>45540</v>
      </c>
      <c r="C537" t="s">
        <v>18</v>
      </c>
      <c r="D537">
        <v>200</v>
      </c>
      <c r="E537">
        <v>100</v>
      </c>
    </row>
    <row r="538" spans="1:5" x14ac:dyDescent="0.35">
      <c r="A538">
        <v>1537</v>
      </c>
      <c r="B538" s="1">
        <v>45835</v>
      </c>
      <c r="C538" t="s">
        <v>21</v>
      </c>
      <c r="D538">
        <v>500</v>
      </c>
      <c r="E538">
        <v>200</v>
      </c>
    </row>
    <row r="539" spans="1:5" x14ac:dyDescent="0.35">
      <c r="A539">
        <v>1538</v>
      </c>
      <c r="B539" s="1">
        <v>45530</v>
      </c>
      <c r="C539" t="s">
        <v>18</v>
      </c>
      <c r="D539">
        <v>200</v>
      </c>
      <c r="E539">
        <v>100</v>
      </c>
    </row>
    <row r="540" spans="1:5" x14ac:dyDescent="0.35">
      <c r="A540">
        <v>1539</v>
      </c>
      <c r="B540" s="1">
        <v>45727</v>
      </c>
      <c r="C540" t="s">
        <v>18</v>
      </c>
      <c r="D540">
        <v>200</v>
      </c>
      <c r="E540">
        <v>100</v>
      </c>
    </row>
    <row r="541" spans="1:5" x14ac:dyDescent="0.35">
      <c r="A541">
        <v>1540</v>
      </c>
      <c r="B541" s="1">
        <v>45581</v>
      </c>
      <c r="C541" t="s">
        <v>18</v>
      </c>
      <c r="D541">
        <v>200</v>
      </c>
      <c r="E541">
        <v>100</v>
      </c>
    </row>
    <row r="542" spans="1:5" x14ac:dyDescent="0.35">
      <c r="A542">
        <v>1541</v>
      </c>
      <c r="B542" s="1">
        <v>45621</v>
      </c>
      <c r="C542" t="s">
        <v>18</v>
      </c>
      <c r="D542">
        <v>200</v>
      </c>
      <c r="E542">
        <v>100</v>
      </c>
    </row>
    <row r="543" spans="1:5" x14ac:dyDescent="0.35">
      <c r="A543">
        <v>1542</v>
      </c>
      <c r="B543" s="1">
        <v>45459</v>
      </c>
      <c r="C543" t="s">
        <v>75</v>
      </c>
      <c r="D543">
        <v>50</v>
      </c>
      <c r="E543">
        <v>30</v>
      </c>
    </row>
    <row r="544" spans="1:5" x14ac:dyDescent="0.35">
      <c r="A544">
        <v>1543</v>
      </c>
      <c r="B544" s="1">
        <v>45334</v>
      </c>
      <c r="C544" t="s">
        <v>21</v>
      </c>
      <c r="D544">
        <v>500</v>
      </c>
      <c r="E544">
        <v>200</v>
      </c>
    </row>
    <row r="545" spans="1:6" x14ac:dyDescent="0.35">
      <c r="A545">
        <v>1544</v>
      </c>
      <c r="B545" s="1">
        <v>45598</v>
      </c>
      <c r="C545" t="s">
        <v>18</v>
      </c>
      <c r="D545">
        <v>200</v>
      </c>
      <c r="E545">
        <v>100</v>
      </c>
      <c r="F545" s="1">
        <v>45775</v>
      </c>
    </row>
    <row r="546" spans="1:6" x14ac:dyDescent="0.35">
      <c r="A546">
        <v>1545</v>
      </c>
      <c r="B546" s="1">
        <v>45612</v>
      </c>
      <c r="C546" t="s">
        <v>75</v>
      </c>
      <c r="D546">
        <v>50</v>
      </c>
      <c r="E546">
        <v>30</v>
      </c>
    </row>
    <row r="547" spans="1:6" x14ac:dyDescent="0.35">
      <c r="A547">
        <v>1546</v>
      </c>
      <c r="B547" s="1">
        <v>45804</v>
      </c>
      <c r="C547" t="s">
        <v>18</v>
      </c>
      <c r="D547">
        <v>200</v>
      </c>
      <c r="E547">
        <v>100</v>
      </c>
    </row>
    <row r="548" spans="1:6" x14ac:dyDescent="0.35">
      <c r="A548">
        <v>1547</v>
      </c>
      <c r="B548" s="1">
        <v>45488</v>
      </c>
      <c r="C548" t="s">
        <v>21</v>
      </c>
      <c r="D548">
        <v>500</v>
      </c>
      <c r="E548">
        <v>200</v>
      </c>
    </row>
    <row r="549" spans="1:6" x14ac:dyDescent="0.35">
      <c r="A549">
        <v>1548</v>
      </c>
      <c r="B549" s="1">
        <v>45292</v>
      </c>
      <c r="C549" t="s">
        <v>75</v>
      </c>
      <c r="D549">
        <v>50</v>
      </c>
      <c r="E549">
        <v>30</v>
      </c>
    </row>
    <row r="550" spans="1:6" x14ac:dyDescent="0.35">
      <c r="A550">
        <v>1549</v>
      </c>
      <c r="B550" s="1">
        <v>45406</v>
      </c>
      <c r="C550" t="s">
        <v>18</v>
      </c>
      <c r="D550">
        <v>200</v>
      </c>
      <c r="E550">
        <v>100</v>
      </c>
    </row>
    <row r="551" spans="1:6" x14ac:dyDescent="0.35">
      <c r="A551">
        <v>1550</v>
      </c>
      <c r="B551" s="1">
        <v>45296</v>
      </c>
      <c r="C551" t="s">
        <v>75</v>
      </c>
      <c r="D551">
        <v>50</v>
      </c>
      <c r="E551">
        <v>30</v>
      </c>
    </row>
    <row r="552" spans="1:6" x14ac:dyDescent="0.35">
      <c r="A552">
        <v>1551</v>
      </c>
      <c r="B552" s="1">
        <v>45346</v>
      </c>
      <c r="C552" t="s">
        <v>75</v>
      </c>
      <c r="D552">
        <v>50</v>
      </c>
      <c r="E552">
        <v>30</v>
      </c>
    </row>
    <row r="553" spans="1:6" x14ac:dyDescent="0.35">
      <c r="A553">
        <v>1552</v>
      </c>
      <c r="B553" s="1">
        <v>45481</v>
      </c>
      <c r="C553" t="s">
        <v>21</v>
      </c>
      <c r="D553">
        <v>500</v>
      </c>
      <c r="E553">
        <v>200</v>
      </c>
      <c r="F553" s="1">
        <v>45728</v>
      </c>
    </row>
    <row r="554" spans="1:6" x14ac:dyDescent="0.35">
      <c r="A554">
        <v>1553</v>
      </c>
      <c r="B554" s="1">
        <v>45308</v>
      </c>
      <c r="C554" t="s">
        <v>21</v>
      </c>
      <c r="D554">
        <v>500</v>
      </c>
      <c r="E554">
        <v>200</v>
      </c>
    </row>
    <row r="555" spans="1:6" x14ac:dyDescent="0.35">
      <c r="A555">
        <v>1554</v>
      </c>
      <c r="B555" s="1">
        <v>45557</v>
      </c>
      <c r="C555" t="s">
        <v>18</v>
      </c>
      <c r="D555">
        <v>200</v>
      </c>
      <c r="E555">
        <v>100</v>
      </c>
    </row>
    <row r="556" spans="1:6" x14ac:dyDescent="0.35">
      <c r="A556">
        <v>1555</v>
      </c>
      <c r="B556" s="1">
        <v>45745</v>
      </c>
      <c r="C556" t="s">
        <v>21</v>
      </c>
      <c r="D556">
        <v>500</v>
      </c>
      <c r="E556">
        <v>200</v>
      </c>
    </row>
    <row r="557" spans="1:6" x14ac:dyDescent="0.35">
      <c r="A557">
        <v>1556</v>
      </c>
      <c r="B557" s="1">
        <v>45758</v>
      </c>
      <c r="C557" t="s">
        <v>21</v>
      </c>
      <c r="D557">
        <v>500</v>
      </c>
      <c r="E557">
        <v>200</v>
      </c>
    </row>
    <row r="558" spans="1:6" x14ac:dyDescent="0.35">
      <c r="A558">
        <v>1557</v>
      </c>
      <c r="B558" s="1">
        <v>45728</v>
      </c>
      <c r="C558" t="s">
        <v>21</v>
      </c>
      <c r="D558">
        <v>500</v>
      </c>
      <c r="E558">
        <v>200</v>
      </c>
      <c r="F558" s="1">
        <v>45783</v>
      </c>
    </row>
    <row r="559" spans="1:6" x14ac:dyDescent="0.35">
      <c r="A559">
        <v>1558</v>
      </c>
      <c r="B559" s="1">
        <v>45345</v>
      </c>
      <c r="C559" t="s">
        <v>21</v>
      </c>
      <c r="D559">
        <v>500</v>
      </c>
      <c r="E559">
        <v>200</v>
      </c>
      <c r="F559" s="1">
        <v>45396</v>
      </c>
    </row>
    <row r="560" spans="1:6" x14ac:dyDescent="0.35">
      <c r="A560">
        <v>1559</v>
      </c>
      <c r="B560" s="1">
        <v>45687</v>
      </c>
      <c r="C560" t="s">
        <v>18</v>
      </c>
      <c r="D560">
        <v>200</v>
      </c>
      <c r="E560">
        <v>100</v>
      </c>
    </row>
    <row r="561" spans="1:6" x14ac:dyDescent="0.35">
      <c r="A561">
        <v>1560</v>
      </c>
      <c r="B561" s="1">
        <v>45711</v>
      </c>
      <c r="C561" t="s">
        <v>18</v>
      </c>
      <c r="D561">
        <v>200</v>
      </c>
      <c r="E561">
        <v>100</v>
      </c>
    </row>
    <row r="562" spans="1:6" x14ac:dyDescent="0.35">
      <c r="A562">
        <v>1561</v>
      </c>
      <c r="B562" s="1">
        <v>45324</v>
      </c>
      <c r="C562" t="s">
        <v>21</v>
      </c>
      <c r="D562">
        <v>500</v>
      </c>
      <c r="E562">
        <v>200</v>
      </c>
    </row>
    <row r="563" spans="1:6" x14ac:dyDescent="0.35">
      <c r="A563">
        <v>1562</v>
      </c>
      <c r="B563" s="1">
        <v>45452</v>
      </c>
      <c r="C563" t="s">
        <v>21</v>
      </c>
      <c r="D563">
        <v>500</v>
      </c>
      <c r="E563">
        <v>200</v>
      </c>
    </row>
    <row r="564" spans="1:6" x14ac:dyDescent="0.35">
      <c r="A564">
        <v>1563</v>
      </c>
      <c r="B564" s="1">
        <v>45446</v>
      </c>
      <c r="C564" t="s">
        <v>75</v>
      </c>
      <c r="D564">
        <v>50</v>
      </c>
      <c r="E564">
        <v>30</v>
      </c>
    </row>
    <row r="565" spans="1:6" x14ac:dyDescent="0.35">
      <c r="A565">
        <v>1564</v>
      </c>
      <c r="B565" s="1">
        <v>45832</v>
      </c>
      <c r="C565" t="s">
        <v>21</v>
      </c>
      <c r="D565">
        <v>500</v>
      </c>
      <c r="E565">
        <v>200</v>
      </c>
    </row>
    <row r="566" spans="1:6" x14ac:dyDescent="0.35">
      <c r="A566">
        <v>1565</v>
      </c>
      <c r="B566" s="1">
        <v>45381</v>
      </c>
      <c r="C566" t="s">
        <v>18</v>
      </c>
      <c r="D566">
        <v>200</v>
      </c>
      <c r="E566">
        <v>100</v>
      </c>
      <c r="F566" s="1">
        <v>45445</v>
      </c>
    </row>
    <row r="567" spans="1:6" x14ac:dyDescent="0.35">
      <c r="A567">
        <v>1566</v>
      </c>
      <c r="B567" s="1">
        <v>45445</v>
      </c>
      <c r="C567" t="s">
        <v>75</v>
      </c>
      <c r="D567">
        <v>50</v>
      </c>
      <c r="E567">
        <v>30</v>
      </c>
    </row>
    <row r="568" spans="1:6" x14ac:dyDescent="0.35">
      <c r="A568">
        <v>1567</v>
      </c>
      <c r="B568" s="1">
        <v>45786</v>
      </c>
      <c r="C568" t="s">
        <v>21</v>
      </c>
      <c r="D568">
        <v>500</v>
      </c>
      <c r="E568">
        <v>200</v>
      </c>
    </row>
    <row r="569" spans="1:6" x14ac:dyDescent="0.35">
      <c r="A569">
        <v>1568</v>
      </c>
      <c r="B569" s="1">
        <v>45583</v>
      </c>
      <c r="C569" t="s">
        <v>75</v>
      </c>
      <c r="D569">
        <v>50</v>
      </c>
      <c r="E569">
        <v>30</v>
      </c>
    </row>
    <row r="570" spans="1:6" x14ac:dyDescent="0.35">
      <c r="A570">
        <v>1569</v>
      </c>
      <c r="B570" s="1">
        <v>45689</v>
      </c>
      <c r="C570" t="s">
        <v>75</v>
      </c>
      <c r="D570">
        <v>50</v>
      </c>
      <c r="E570">
        <v>30</v>
      </c>
    </row>
    <row r="571" spans="1:6" x14ac:dyDescent="0.35">
      <c r="A571">
        <v>1570</v>
      </c>
      <c r="B571" s="1">
        <v>45333</v>
      </c>
      <c r="C571" t="s">
        <v>21</v>
      </c>
      <c r="D571">
        <v>500</v>
      </c>
      <c r="E571">
        <v>200</v>
      </c>
      <c r="F571" s="1">
        <v>45733</v>
      </c>
    </row>
    <row r="572" spans="1:6" x14ac:dyDescent="0.35">
      <c r="A572">
        <v>1571</v>
      </c>
      <c r="B572" s="1">
        <v>45661</v>
      </c>
      <c r="C572" t="s">
        <v>21</v>
      </c>
      <c r="D572">
        <v>500</v>
      </c>
      <c r="E572">
        <v>200</v>
      </c>
    </row>
    <row r="573" spans="1:6" x14ac:dyDescent="0.35">
      <c r="A573">
        <v>1572</v>
      </c>
      <c r="B573" s="1">
        <v>45695</v>
      </c>
      <c r="C573" t="s">
        <v>18</v>
      </c>
      <c r="D573">
        <v>200</v>
      </c>
      <c r="E573">
        <v>100</v>
      </c>
    </row>
    <row r="574" spans="1:6" x14ac:dyDescent="0.35">
      <c r="A574">
        <v>1573</v>
      </c>
      <c r="B574" s="1">
        <v>45480</v>
      </c>
      <c r="C574" t="s">
        <v>21</v>
      </c>
      <c r="D574">
        <v>500</v>
      </c>
      <c r="E574">
        <v>200</v>
      </c>
    </row>
    <row r="575" spans="1:6" x14ac:dyDescent="0.35">
      <c r="A575">
        <v>1574</v>
      </c>
      <c r="B575" s="1">
        <v>45582</v>
      </c>
      <c r="C575" t="s">
        <v>21</v>
      </c>
      <c r="D575">
        <v>500</v>
      </c>
      <c r="E575">
        <v>200</v>
      </c>
    </row>
    <row r="576" spans="1:6" x14ac:dyDescent="0.35">
      <c r="A576">
        <v>1575</v>
      </c>
      <c r="B576" s="1">
        <v>45479</v>
      </c>
      <c r="C576" t="s">
        <v>21</v>
      </c>
      <c r="D576">
        <v>500</v>
      </c>
      <c r="E576">
        <v>200</v>
      </c>
    </row>
    <row r="577" spans="1:6" x14ac:dyDescent="0.35">
      <c r="A577">
        <v>1576</v>
      </c>
      <c r="B577" s="1">
        <v>45465</v>
      </c>
      <c r="C577" t="s">
        <v>18</v>
      </c>
      <c r="D577">
        <v>200</v>
      </c>
      <c r="E577">
        <v>100</v>
      </c>
      <c r="F577" s="1">
        <v>45747</v>
      </c>
    </row>
    <row r="578" spans="1:6" x14ac:dyDescent="0.35">
      <c r="A578">
        <v>1577</v>
      </c>
      <c r="B578" s="1">
        <v>45769</v>
      </c>
      <c r="C578" t="s">
        <v>75</v>
      </c>
      <c r="D578">
        <v>50</v>
      </c>
      <c r="E578">
        <v>30</v>
      </c>
    </row>
    <row r="579" spans="1:6" x14ac:dyDescent="0.35">
      <c r="A579">
        <v>1578</v>
      </c>
      <c r="B579" s="1">
        <v>45627</v>
      </c>
      <c r="C579" t="s">
        <v>75</v>
      </c>
      <c r="D579">
        <v>50</v>
      </c>
      <c r="E579">
        <v>30</v>
      </c>
    </row>
    <row r="580" spans="1:6" x14ac:dyDescent="0.35">
      <c r="A580">
        <v>1579</v>
      </c>
      <c r="B580" s="1">
        <v>45707</v>
      </c>
      <c r="C580" t="s">
        <v>75</v>
      </c>
      <c r="D580">
        <v>50</v>
      </c>
      <c r="E580">
        <v>30</v>
      </c>
      <c r="F580" s="1">
        <v>45790</v>
      </c>
    </row>
    <row r="581" spans="1:6" x14ac:dyDescent="0.35">
      <c r="A581">
        <v>1580</v>
      </c>
      <c r="B581" s="1">
        <v>45439</v>
      </c>
      <c r="C581" t="s">
        <v>18</v>
      </c>
      <c r="D581">
        <v>200</v>
      </c>
      <c r="E581">
        <v>100</v>
      </c>
    </row>
    <row r="582" spans="1:6" x14ac:dyDescent="0.35">
      <c r="A582">
        <v>1581</v>
      </c>
      <c r="B582" s="1">
        <v>45732</v>
      </c>
      <c r="C582" t="s">
        <v>75</v>
      </c>
      <c r="D582">
        <v>50</v>
      </c>
      <c r="E582">
        <v>30</v>
      </c>
    </row>
    <row r="583" spans="1:6" x14ac:dyDescent="0.35">
      <c r="A583">
        <v>1582</v>
      </c>
      <c r="B583" s="1">
        <v>45779</v>
      </c>
      <c r="C583" t="s">
        <v>21</v>
      </c>
      <c r="D583">
        <v>500</v>
      </c>
      <c r="E583">
        <v>200</v>
      </c>
    </row>
    <row r="584" spans="1:6" x14ac:dyDescent="0.35">
      <c r="A584">
        <v>1583</v>
      </c>
      <c r="B584" s="1">
        <v>45798</v>
      </c>
      <c r="C584" t="s">
        <v>75</v>
      </c>
      <c r="D584">
        <v>50</v>
      </c>
      <c r="E584">
        <v>30</v>
      </c>
    </row>
    <row r="585" spans="1:6" x14ac:dyDescent="0.35">
      <c r="A585">
        <v>1584</v>
      </c>
      <c r="B585" s="1">
        <v>45755</v>
      </c>
      <c r="C585" t="s">
        <v>21</v>
      </c>
      <c r="D585">
        <v>500</v>
      </c>
      <c r="E585">
        <v>200</v>
      </c>
    </row>
    <row r="586" spans="1:6" x14ac:dyDescent="0.35">
      <c r="A586">
        <v>1585</v>
      </c>
      <c r="B586" s="1">
        <v>45698</v>
      </c>
      <c r="C586" t="s">
        <v>18</v>
      </c>
      <c r="D586">
        <v>200</v>
      </c>
      <c r="E586">
        <v>100</v>
      </c>
    </row>
    <row r="587" spans="1:6" x14ac:dyDescent="0.35">
      <c r="A587">
        <v>1586</v>
      </c>
      <c r="B587" s="1">
        <v>45691</v>
      </c>
      <c r="C587" t="s">
        <v>18</v>
      </c>
      <c r="D587">
        <v>200</v>
      </c>
      <c r="E587">
        <v>100</v>
      </c>
      <c r="F587" s="1">
        <v>45838</v>
      </c>
    </row>
    <row r="588" spans="1:6" x14ac:dyDescent="0.35">
      <c r="A588">
        <v>1587</v>
      </c>
      <c r="B588" s="1">
        <v>45745</v>
      </c>
      <c r="C588" t="s">
        <v>18</v>
      </c>
      <c r="D588">
        <v>200</v>
      </c>
      <c r="E588">
        <v>100</v>
      </c>
    </row>
    <row r="589" spans="1:6" x14ac:dyDescent="0.35">
      <c r="A589">
        <v>1588</v>
      </c>
      <c r="B589" s="1">
        <v>45430</v>
      </c>
      <c r="C589" t="s">
        <v>75</v>
      </c>
      <c r="D589">
        <v>50</v>
      </c>
      <c r="E589">
        <v>30</v>
      </c>
    </row>
    <row r="590" spans="1:6" x14ac:dyDescent="0.35">
      <c r="A590">
        <v>1589</v>
      </c>
      <c r="B590" s="1">
        <v>45654</v>
      </c>
      <c r="C590" t="s">
        <v>21</v>
      </c>
      <c r="D590">
        <v>500</v>
      </c>
      <c r="E590">
        <v>200</v>
      </c>
    </row>
    <row r="591" spans="1:6" x14ac:dyDescent="0.35">
      <c r="A591">
        <v>1590</v>
      </c>
      <c r="B591" s="1">
        <v>45601</v>
      </c>
      <c r="C591" t="s">
        <v>21</v>
      </c>
      <c r="D591">
        <v>500</v>
      </c>
      <c r="E591">
        <v>200</v>
      </c>
    </row>
    <row r="592" spans="1:6" x14ac:dyDescent="0.35">
      <c r="A592">
        <v>1591</v>
      </c>
      <c r="B592" s="1">
        <v>45624</v>
      </c>
      <c r="C592" t="s">
        <v>21</v>
      </c>
      <c r="D592">
        <v>500</v>
      </c>
      <c r="E592">
        <v>200</v>
      </c>
    </row>
    <row r="593" spans="1:6" x14ac:dyDescent="0.35">
      <c r="A593">
        <v>1592</v>
      </c>
      <c r="B593" s="1">
        <v>45380</v>
      </c>
      <c r="C593" t="s">
        <v>18</v>
      </c>
      <c r="D593">
        <v>200</v>
      </c>
      <c r="E593">
        <v>100</v>
      </c>
    </row>
    <row r="594" spans="1:6" x14ac:dyDescent="0.35">
      <c r="A594">
        <v>1593</v>
      </c>
      <c r="B594" s="1">
        <v>45779</v>
      </c>
      <c r="C594" t="s">
        <v>75</v>
      </c>
      <c r="D594">
        <v>50</v>
      </c>
      <c r="E594">
        <v>30</v>
      </c>
      <c r="F594" s="1">
        <v>45809</v>
      </c>
    </row>
    <row r="595" spans="1:6" x14ac:dyDescent="0.35">
      <c r="A595">
        <v>1594</v>
      </c>
      <c r="B595" s="1">
        <v>45509</v>
      </c>
      <c r="C595" t="s">
        <v>18</v>
      </c>
      <c r="D595">
        <v>200</v>
      </c>
      <c r="E595">
        <v>100</v>
      </c>
    </row>
    <row r="596" spans="1:6" x14ac:dyDescent="0.35">
      <c r="A596">
        <v>1595</v>
      </c>
      <c r="B596" s="1">
        <v>45425</v>
      </c>
      <c r="C596" t="s">
        <v>18</v>
      </c>
      <c r="D596">
        <v>200</v>
      </c>
      <c r="E596">
        <v>100</v>
      </c>
      <c r="F596" s="1">
        <v>45524</v>
      </c>
    </row>
    <row r="597" spans="1:6" x14ac:dyDescent="0.35">
      <c r="A597">
        <v>1596</v>
      </c>
      <c r="B597" s="1">
        <v>45514</v>
      </c>
      <c r="C597" t="s">
        <v>18</v>
      </c>
      <c r="D597">
        <v>200</v>
      </c>
      <c r="E597">
        <v>100</v>
      </c>
    </row>
    <row r="598" spans="1:6" x14ac:dyDescent="0.35">
      <c r="A598">
        <v>1597</v>
      </c>
      <c r="B598" s="1">
        <v>45630</v>
      </c>
      <c r="C598" t="s">
        <v>75</v>
      </c>
      <c r="D598">
        <v>50</v>
      </c>
      <c r="E598">
        <v>30</v>
      </c>
    </row>
    <row r="599" spans="1:6" x14ac:dyDescent="0.35">
      <c r="A599">
        <v>1598</v>
      </c>
      <c r="B599" s="1">
        <v>45405</v>
      </c>
      <c r="C599" t="s">
        <v>75</v>
      </c>
      <c r="D599">
        <v>50</v>
      </c>
      <c r="E599">
        <v>30</v>
      </c>
    </row>
    <row r="600" spans="1:6" x14ac:dyDescent="0.35">
      <c r="A600">
        <v>1599</v>
      </c>
      <c r="B600" s="1">
        <v>45444</v>
      </c>
      <c r="C600" t="s">
        <v>18</v>
      </c>
      <c r="D600">
        <v>200</v>
      </c>
      <c r="E600">
        <v>100</v>
      </c>
      <c r="F600" s="1">
        <v>45709</v>
      </c>
    </row>
    <row r="601" spans="1:6" x14ac:dyDescent="0.35">
      <c r="A601">
        <v>1600</v>
      </c>
      <c r="B601" s="1">
        <v>45808</v>
      </c>
      <c r="C601" t="s">
        <v>21</v>
      </c>
      <c r="D601">
        <v>500</v>
      </c>
      <c r="E601">
        <v>200</v>
      </c>
    </row>
    <row r="602" spans="1:6" x14ac:dyDescent="0.35">
      <c r="A602">
        <v>1601</v>
      </c>
      <c r="B602" s="1">
        <v>45707</v>
      </c>
      <c r="C602" t="s">
        <v>18</v>
      </c>
      <c r="D602">
        <v>200</v>
      </c>
      <c r="E602">
        <v>100</v>
      </c>
    </row>
    <row r="603" spans="1:6" x14ac:dyDescent="0.35">
      <c r="A603">
        <v>1602</v>
      </c>
      <c r="B603" s="1">
        <v>45809</v>
      </c>
      <c r="C603" t="s">
        <v>75</v>
      </c>
      <c r="D603">
        <v>50</v>
      </c>
      <c r="E603">
        <v>30</v>
      </c>
      <c r="F603" s="1">
        <v>45838</v>
      </c>
    </row>
    <row r="604" spans="1:6" x14ac:dyDescent="0.35">
      <c r="A604">
        <v>1603</v>
      </c>
      <c r="B604" s="1">
        <v>45648</v>
      </c>
      <c r="C604" t="s">
        <v>21</v>
      </c>
      <c r="D604">
        <v>500</v>
      </c>
      <c r="E604">
        <v>200</v>
      </c>
    </row>
    <row r="605" spans="1:6" x14ac:dyDescent="0.35">
      <c r="A605">
        <v>1604</v>
      </c>
      <c r="B605" s="1">
        <v>45309</v>
      </c>
      <c r="C605" t="s">
        <v>21</v>
      </c>
      <c r="D605">
        <v>500</v>
      </c>
      <c r="E605">
        <v>200</v>
      </c>
    </row>
    <row r="606" spans="1:6" x14ac:dyDescent="0.35">
      <c r="A606">
        <v>1605</v>
      </c>
      <c r="B606" s="1">
        <v>45385</v>
      </c>
      <c r="C606" t="s">
        <v>18</v>
      </c>
      <c r="D606">
        <v>200</v>
      </c>
      <c r="E606">
        <v>100</v>
      </c>
    </row>
    <row r="607" spans="1:6" x14ac:dyDescent="0.35">
      <c r="A607">
        <v>1606</v>
      </c>
      <c r="B607" s="1">
        <v>45700</v>
      </c>
      <c r="C607" t="s">
        <v>75</v>
      </c>
      <c r="D607">
        <v>50</v>
      </c>
      <c r="E607">
        <v>30</v>
      </c>
    </row>
    <row r="608" spans="1:6" x14ac:dyDescent="0.35">
      <c r="A608">
        <v>1607</v>
      </c>
      <c r="B608" s="1">
        <v>45717</v>
      </c>
      <c r="C608" t="s">
        <v>18</v>
      </c>
      <c r="D608">
        <v>200</v>
      </c>
      <c r="E608">
        <v>100</v>
      </c>
      <c r="F608" s="1">
        <v>45778</v>
      </c>
    </row>
    <row r="609" spans="1:6" x14ac:dyDescent="0.35">
      <c r="A609">
        <v>1608</v>
      </c>
      <c r="B609" s="1">
        <v>45770</v>
      </c>
      <c r="C609" t="s">
        <v>21</v>
      </c>
      <c r="D609">
        <v>500</v>
      </c>
      <c r="E609">
        <v>200</v>
      </c>
    </row>
    <row r="610" spans="1:6" x14ac:dyDescent="0.35">
      <c r="A610">
        <v>1609</v>
      </c>
      <c r="B610" s="1">
        <v>45337</v>
      </c>
      <c r="C610" t="s">
        <v>75</v>
      </c>
      <c r="D610">
        <v>50</v>
      </c>
      <c r="E610">
        <v>30</v>
      </c>
    </row>
    <row r="611" spans="1:6" x14ac:dyDescent="0.35">
      <c r="A611">
        <v>1610</v>
      </c>
      <c r="B611" s="1">
        <v>45801</v>
      </c>
      <c r="C611" t="s">
        <v>21</v>
      </c>
      <c r="D611">
        <v>500</v>
      </c>
      <c r="E611">
        <v>200</v>
      </c>
    </row>
    <row r="612" spans="1:6" x14ac:dyDescent="0.35">
      <c r="A612">
        <v>1611</v>
      </c>
      <c r="B612" s="1">
        <v>45621</v>
      </c>
      <c r="C612" t="s">
        <v>18</v>
      </c>
      <c r="D612">
        <v>200</v>
      </c>
      <c r="E612">
        <v>100</v>
      </c>
    </row>
    <row r="613" spans="1:6" x14ac:dyDescent="0.35">
      <c r="A613">
        <v>1612</v>
      </c>
      <c r="B613" s="1">
        <v>45708</v>
      </c>
      <c r="C613" t="s">
        <v>18</v>
      </c>
      <c r="D613">
        <v>200</v>
      </c>
      <c r="E613">
        <v>100</v>
      </c>
    </row>
    <row r="614" spans="1:6" x14ac:dyDescent="0.35">
      <c r="A614">
        <v>1613</v>
      </c>
      <c r="B614" s="1">
        <v>45297</v>
      </c>
      <c r="C614" t="s">
        <v>21</v>
      </c>
      <c r="D614">
        <v>500</v>
      </c>
      <c r="E614">
        <v>200</v>
      </c>
    </row>
    <row r="615" spans="1:6" x14ac:dyDescent="0.35">
      <c r="A615">
        <v>1614</v>
      </c>
      <c r="B615" s="1">
        <v>45668</v>
      </c>
      <c r="C615" t="s">
        <v>18</v>
      </c>
      <c r="D615">
        <v>200</v>
      </c>
      <c r="E615">
        <v>100</v>
      </c>
    </row>
    <row r="616" spans="1:6" x14ac:dyDescent="0.35">
      <c r="A616">
        <v>1615</v>
      </c>
      <c r="B616" s="1">
        <v>45404</v>
      </c>
      <c r="C616" t="s">
        <v>18</v>
      </c>
      <c r="D616">
        <v>200</v>
      </c>
      <c r="E616">
        <v>100</v>
      </c>
    </row>
    <row r="617" spans="1:6" x14ac:dyDescent="0.35">
      <c r="A617">
        <v>1616</v>
      </c>
      <c r="B617" s="1">
        <v>45384</v>
      </c>
      <c r="C617" t="s">
        <v>21</v>
      </c>
      <c r="D617">
        <v>500</v>
      </c>
      <c r="E617">
        <v>200</v>
      </c>
      <c r="F617" s="1">
        <v>45744</v>
      </c>
    </row>
    <row r="618" spans="1:6" x14ac:dyDescent="0.35">
      <c r="A618">
        <v>1617</v>
      </c>
      <c r="B618" s="1">
        <v>45316</v>
      </c>
      <c r="C618" t="s">
        <v>75</v>
      </c>
      <c r="D618">
        <v>50</v>
      </c>
      <c r="E618">
        <v>30</v>
      </c>
      <c r="F618" s="1">
        <v>45728</v>
      </c>
    </row>
    <row r="619" spans="1:6" x14ac:dyDescent="0.35">
      <c r="A619">
        <v>1618</v>
      </c>
      <c r="B619" s="1">
        <v>45712</v>
      </c>
      <c r="C619" t="s">
        <v>75</v>
      </c>
      <c r="D619">
        <v>50</v>
      </c>
      <c r="E619">
        <v>30</v>
      </c>
    </row>
    <row r="620" spans="1:6" x14ac:dyDescent="0.35">
      <c r="A620">
        <v>1619</v>
      </c>
      <c r="B620" s="1">
        <v>45790</v>
      </c>
      <c r="C620" t="s">
        <v>21</v>
      </c>
      <c r="D620">
        <v>500</v>
      </c>
      <c r="E620">
        <v>200</v>
      </c>
    </row>
    <row r="621" spans="1:6" x14ac:dyDescent="0.35">
      <c r="A621">
        <v>1620</v>
      </c>
      <c r="B621" s="1">
        <v>45647</v>
      </c>
      <c r="C621" t="s">
        <v>18</v>
      </c>
      <c r="D621">
        <v>200</v>
      </c>
      <c r="E621">
        <v>100</v>
      </c>
    </row>
    <row r="622" spans="1:6" x14ac:dyDescent="0.35">
      <c r="A622">
        <v>1621</v>
      </c>
      <c r="B622" s="1">
        <v>45396</v>
      </c>
      <c r="C622" t="s">
        <v>75</v>
      </c>
      <c r="D622">
        <v>50</v>
      </c>
      <c r="E622">
        <v>30</v>
      </c>
    </row>
    <row r="623" spans="1:6" x14ac:dyDescent="0.35">
      <c r="A623">
        <v>1622</v>
      </c>
      <c r="B623" s="1">
        <v>45346</v>
      </c>
      <c r="C623" t="s">
        <v>21</v>
      </c>
      <c r="D623">
        <v>500</v>
      </c>
      <c r="E623">
        <v>200</v>
      </c>
    </row>
    <row r="624" spans="1:6" x14ac:dyDescent="0.35">
      <c r="A624">
        <v>1623</v>
      </c>
      <c r="B624" s="1">
        <v>45792</v>
      </c>
      <c r="C624" t="s">
        <v>21</v>
      </c>
      <c r="D624">
        <v>500</v>
      </c>
      <c r="E624">
        <v>200</v>
      </c>
    </row>
    <row r="625" spans="1:6" x14ac:dyDescent="0.35">
      <c r="A625">
        <v>1624</v>
      </c>
      <c r="B625" s="1">
        <v>45500</v>
      </c>
      <c r="C625" t="s">
        <v>21</v>
      </c>
      <c r="D625">
        <v>500</v>
      </c>
      <c r="E625">
        <v>200</v>
      </c>
      <c r="F625" s="1">
        <v>45554</v>
      </c>
    </row>
    <row r="626" spans="1:6" x14ac:dyDescent="0.35">
      <c r="A626">
        <v>1625</v>
      </c>
      <c r="B626" s="1">
        <v>45298</v>
      </c>
      <c r="C626" t="s">
        <v>75</v>
      </c>
      <c r="D626">
        <v>50</v>
      </c>
      <c r="E626">
        <v>30</v>
      </c>
    </row>
    <row r="627" spans="1:6" x14ac:dyDescent="0.35">
      <c r="A627">
        <v>1626</v>
      </c>
      <c r="B627" s="1">
        <v>45442</v>
      </c>
      <c r="C627" t="s">
        <v>75</v>
      </c>
      <c r="D627">
        <v>50</v>
      </c>
      <c r="E627">
        <v>30</v>
      </c>
    </row>
    <row r="628" spans="1:6" x14ac:dyDescent="0.35">
      <c r="A628">
        <v>1627</v>
      </c>
      <c r="B628" s="1">
        <v>45530</v>
      </c>
      <c r="C628" t="s">
        <v>21</v>
      </c>
      <c r="D628">
        <v>500</v>
      </c>
      <c r="E628">
        <v>200</v>
      </c>
    </row>
    <row r="629" spans="1:6" x14ac:dyDescent="0.35">
      <c r="A629">
        <v>1628</v>
      </c>
      <c r="B629" s="1">
        <v>45579</v>
      </c>
      <c r="C629" t="s">
        <v>75</v>
      </c>
      <c r="D629">
        <v>50</v>
      </c>
      <c r="E629">
        <v>30</v>
      </c>
    </row>
    <row r="630" spans="1:6" x14ac:dyDescent="0.35">
      <c r="A630">
        <v>1629</v>
      </c>
      <c r="B630" s="1">
        <v>45617</v>
      </c>
      <c r="C630" t="s">
        <v>18</v>
      </c>
      <c r="D630">
        <v>200</v>
      </c>
      <c r="E630">
        <v>100</v>
      </c>
      <c r="F630" s="1">
        <v>45768</v>
      </c>
    </row>
    <row r="631" spans="1:6" x14ac:dyDescent="0.35">
      <c r="A631">
        <v>1630</v>
      </c>
      <c r="B631" s="1">
        <v>45321</v>
      </c>
      <c r="C631" t="s">
        <v>75</v>
      </c>
      <c r="D631">
        <v>50</v>
      </c>
      <c r="E631">
        <v>30</v>
      </c>
    </row>
    <row r="632" spans="1:6" x14ac:dyDescent="0.35">
      <c r="A632">
        <v>1631</v>
      </c>
      <c r="B632" s="1">
        <v>45696</v>
      </c>
      <c r="C632" t="s">
        <v>21</v>
      </c>
      <c r="D632">
        <v>500</v>
      </c>
      <c r="E632">
        <v>200</v>
      </c>
    </row>
    <row r="633" spans="1:6" x14ac:dyDescent="0.35">
      <c r="A633">
        <v>1632</v>
      </c>
      <c r="B633" s="1">
        <v>45615</v>
      </c>
      <c r="C633" t="s">
        <v>18</v>
      </c>
      <c r="D633">
        <v>200</v>
      </c>
      <c r="E633">
        <v>100</v>
      </c>
    </row>
    <row r="634" spans="1:6" x14ac:dyDescent="0.35">
      <c r="A634">
        <v>1633</v>
      </c>
      <c r="B634" s="1">
        <v>45338</v>
      </c>
      <c r="C634" t="s">
        <v>21</v>
      </c>
      <c r="D634">
        <v>500</v>
      </c>
      <c r="E634">
        <v>200</v>
      </c>
    </row>
    <row r="635" spans="1:6" x14ac:dyDescent="0.35">
      <c r="A635">
        <v>1634</v>
      </c>
      <c r="B635" s="1">
        <v>45515</v>
      </c>
      <c r="C635" t="s">
        <v>21</v>
      </c>
      <c r="D635">
        <v>500</v>
      </c>
      <c r="E635">
        <v>200</v>
      </c>
    </row>
    <row r="636" spans="1:6" x14ac:dyDescent="0.35">
      <c r="A636">
        <v>1635</v>
      </c>
      <c r="B636" s="1">
        <v>45321</v>
      </c>
      <c r="C636" t="s">
        <v>21</v>
      </c>
      <c r="D636">
        <v>500</v>
      </c>
      <c r="E636">
        <v>200</v>
      </c>
    </row>
    <row r="637" spans="1:6" x14ac:dyDescent="0.35">
      <c r="A637">
        <v>1636</v>
      </c>
      <c r="B637" s="1">
        <v>45515</v>
      </c>
      <c r="C637" t="s">
        <v>21</v>
      </c>
      <c r="D637">
        <v>500</v>
      </c>
      <c r="E637">
        <v>200</v>
      </c>
    </row>
    <row r="638" spans="1:6" x14ac:dyDescent="0.35">
      <c r="A638">
        <v>1637</v>
      </c>
      <c r="B638" s="1">
        <v>45798</v>
      </c>
      <c r="C638" t="s">
        <v>21</v>
      </c>
      <c r="D638">
        <v>500</v>
      </c>
      <c r="E638">
        <v>200</v>
      </c>
    </row>
    <row r="639" spans="1:6" x14ac:dyDescent="0.35">
      <c r="A639">
        <v>1638</v>
      </c>
      <c r="B639" s="1">
        <v>45739</v>
      </c>
      <c r="C639" t="s">
        <v>18</v>
      </c>
      <c r="D639">
        <v>200</v>
      </c>
      <c r="E639">
        <v>100</v>
      </c>
    </row>
    <row r="640" spans="1:6" x14ac:dyDescent="0.35">
      <c r="A640">
        <v>1639</v>
      </c>
      <c r="B640" s="1">
        <v>45541</v>
      </c>
      <c r="C640" t="s">
        <v>18</v>
      </c>
      <c r="D640">
        <v>200</v>
      </c>
      <c r="E640">
        <v>100</v>
      </c>
    </row>
    <row r="641" spans="1:5" x14ac:dyDescent="0.35">
      <c r="A641">
        <v>1640</v>
      </c>
      <c r="B641" s="1">
        <v>45624</v>
      </c>
      <c r="C641" t="s">
        <v>75</v>
      </c>
      <c r="D641">
        <v>50</v>
      </c>
      <c r="E641">
        <v>30</v>
      </c>
    </row>
    <row r="642" spans="1:5" x14ac:dyDescent="0.35">
      <c r="A642">
        <v>1641</v>
      </c>
      <c r="B642" s="1">
        <v>45498</v>
      </c>
      <c r="C642" t="s">
        <v>75</v>
      </c>
      <c r="D642">
        <v>50</v>
      </c>
      <c r="E642">
        <v>30</v>
      </c>
    </row>
    <row r="643" spans="1:5" x14ac:dyDescent="0.35">
      <c r="A643">
        <v>1642</v>
      </c>
      <c r="B643" s="1">
        <v>45675</v>
      </c>
      <c r="C643" t="s">
        <v>21</v>
      </c>
      <c r="D643">
        <v>500</v>
      </c>
      <c r="E643">
        <v>200</v>
      </c>
    </row>
    <row r="644" spans="1:5" x14ac:dyDescent="0.35">
      <c r="A644">
        <v>1643</v>
      </c>
      <c r="B644" s="1">
        <v>45467</v>
      </c>
      <c r="C644" t="s">
        <v>75</v>
      </c>
      <c r="D644">
        <v>50</v>
      </c>
      <c r="E644">
        <v>30</v>
      </c>
    </row>
    <row r="645" spans="1:5" x14ac:dyDescent="0.35">
      <c r="A645">
        <v>1644</v>
      </c>
      <c r="B645" s="1">
        <v>45603</v>
      </c>
      <c r="C645" t="s">
        <v>21</v>
      </c>
      <c r="D645">
        <v>500</v>
      </c>
      <c r="E645">
        <v>200</v>
      </c>
    </row>
    <row r="646" spans="1:5" x14ac:dyDescent="0.35">
      <c r="A646">
        <v>1645</v>
      </c>
      <c r="B646" s="1">
        <v>45708</v>
      </c>
      <c r="C646" t="s">
        <v>75</v>
      </c>
      <c r="D646">
        <v>50</v>
      </c>
      <c r="E646">
        <v>30</v>
      </c>
    </row>
    <row r="647" spans="1:5" x14ac:dyDescent="0.35">
      <c r="A647">
        <v>1646</v>
      </c>
      <c r="B647" s="1">
        <v>45730</v>
      </c>
      <c r="C647" t="s">
        <v>21</v>
      </c>
      <c r="D647">
        <v>500</v>
      </c>
      <c r="E647">
        <v>200</v>
      </c>
    </row>
    <row r="648" spans="1:5" x14ac:dyDescent="0.35">
      <c r="A648">
        <v>1647</v>
      </c>
      <c r="B648" s="1">
        <v>45637</v>
      </c>
      <c r="C648" t="s">
        <v>75</v>
      </c>
      <c r="D648">
        <v>50</v>
      </c>
      <c r="E648">
        <v>30</v>
      </c>
    </row>
    <row r="649" spans="1:5" x14ac:dyDescent="0.35">
      <c r="A649">
        <v>1648</v>
      </c>
      <c r="B649" s="1">
        <v>45763</v>
      </c>
      <c r="C649" t="s">
        <v>75</v>
      </c>
      <c r="D649">
        <v>50</v>
      </c>
      <c r="E649">
        <v>30</v>
      </c>
    </row>
    <row r="650" spans="1:5" x14ac:dyDescent="0.35">
      <c r="A650">
        <v>1649</v>
      </c>
      <c r="B650" s="1">
        <v>45822</v>
      </c>
      <c r="C650" t="s">
        <v>18</v>
      </c>
      <c r="D650">
        <v>200</v>
      </c>
      <c r="E650">
        <v>100</v>
      </c>
    </row>
    <row r="651" spans="1:5" x14ac:dyDescent="0.35">
      <c r="A651">
        <v>1650</v>
      </c>
      <c r="B651" s="1">
        <v>45756</v>
      </c>
      <c r="C651" t="s">
        <v>18</v>
      </c>
      <c r="D651">
        <v>200</v>
      </c>
      <c r="E651">
        <v>100</v>
      </c>
    </row>
    <row r="652" spans="1:5" x14ac:dyDescent="0.35">
      <c r="A652">
        <v>1651</v>
      </c>
      <c r="B652" s="1">
        <v>45810</v>
      </c>
      <c r="C652" t="s">
        <v>21</v>
      </c>
      <c r="D652">
        <v>500</v>
      </c>
      <c r="E652">
        <v>200</v>
      </c>
    </row>
    <row r="653" spans="1:5" x14ac:dyDescent="0.35">
      <c r="A653">
        <v>1652</v>
      </c>
      <c r="B653" s="1">
        <v>45473</v>
      </c>
      <c r="C653" t="s">
        <v>75</v>
      </c>
      <c r="D653">
        <v>50</v>
      </c>
      <c r="E653">
        <v>30</v>
      </c>
    </row>
    <row r="654" spans="1:5" x14ac:dyDescent="0.35">
      <c r="A654">
        <v>1653</v>
      </c>
      <c r="B654" s="1">
        <v>45405</v>
      </c>
      <c r="C654" t="s">
        <v>18</v>
      </c>
      <c r="D654">
        <v>200</v>
      </c>
      <c r="E654">
        <v>100</v>
      </c>
    </row>
    <row r="655" spans="1:5" x14ac:dyDescent="0.35">
      <c r="A655">
        <v>1654</v>
      </c>
      <c r="B655" s="1">
        <v>45718</v>
      </c>
      <c r="C655" t="s">
        <v>75</v>
      </c>
      <c r="D655">
        <v>50</v>
      </c>
      <c r="E655">
        <v>30</v>
      </c>
    </row>
    <row r="656" spans="1:5" x14ac:dyDescent="0.35">
      <c r="A656">
        <v>1655</v>
      </c>
      <c r="B656" s="1">
        <v>45677</v>
      </c>
      <c r="C656" t="s">
        <v>75</v>
      </c>
      <c r="D656">
        <v>50</v>
      </c>
      <c r="E656">
        <v>30</v>
      </c>
    </row>
    <row r="657" spans="1:6" x14ac:dyDescent="0.35">
      <c r="A657">
        <v>1656</v>
      </c>
      <c r="B657" s="1">
        <v>45566</v>
      </c>
      <c r="C657" t="s">
        <v>18</v>
      </c>
      <c r="D657">
        <v>200</v>
      </c>
      <c r="E657">
        <v>100</v>
      </c>
      <c r="F657" s="1">
        <v>45672</v>
      </c>
    </row>
    <row r="658" spans="1:6" x14ac:dyDescent="0.35">
      <c r="A658">
        <v>1657</v>
      </c>
      <c r="B658" s="1">
        <v>45640</v>
      </c>
      <c r="C658" t="s">
        <v>75</v>
      </c>
      <c r="D658">
        <v>50</v>
      </c>
      <c r="E658">
        <v>30</v>
      </c>
    </row>
    <row r="659" spans="1:6" x14ac:dyDescent="0.35">
      <c r="A659">
        <v>1658</v>
      </c>
      <c r="B659" s="1">
        <v>45647</v>
      </c>
      <c r="C659" t="s">
        <v>21</v>
      </c>
      <c r="D659">
        <v>500</v>
      </c>
      <c r="E659">
        <v>200</v>
      </c>
    </row>
    <row r="660" spans="1:6" x14ac:dyDescent="0.35">
      <c r="A660">
        <v>1659</v>
      </c>
      <c r="B660" s="1">
        <v>45463</v>
      </c>
      <c r="C660" t="s">
        <v>18</v>
      </c>
      <c r="D660">
        <v>200</v>
      </c>
      <c r="E660">
        <v>100</v>
      </c>
    </row>
    <row r="661" spans="1:6" x14ac:dyDescent="0.35">
      <c r="A661">
        <v>1660</v>
      </c>
      <c r="B661" s="1">
        <v>45362</v>
      </c>
      <c r="C661" t="s">
        <v>21</v>
      </c>
      <c r="D661">
        <v>500</v>
      </c>
      <c r="E661">
        <v>200</v>
      </c>
    </row>
    <row r="662" spans="1:6" x14ac:dyDescent="0.35">
      <c r="A662">
        <v>1661</v>
      </c>
      <c r="B662" s="1">
        <v>45373</v>
      </c>
      <c r="C662" t="s">
        <v>75</v>
      </c>
      <c r="D662">
        <v>50</v>
      </c>
      <c r="E662">
        <v>30</v>
      </c>
    </row>
    <row r="663" spans="1:6" x14ac:dyDescent="0.35">
      <c r="A663">
        <v>1662</v>
      </c>
      <c r="B663" s="1">
        <v>45836</v>
      </c>
      <c r="C663" t="s">
        <v>18</v>
      </c>
      <c r="D663">
        <v>200</v>
      </c>
      <c r="E663">
        <v>100</v>
      </c>
    </row>
    <row r="664" spans="1:6" x14ac:dyDescent="0.35">
      <c r="A664">
        <v>1663</v>
      </c>
      <c r="B664" s="1">
        <v>45493</v>
      </c>
      <c r="C664" t="s">
        <v>75</v>
      </c>
      <c r="D664">
        <v>50</v>
      </c>
      <c r="E664">
        <v>30</v>
      </c>
    </row>
    <row r="665" spans="1:6" x14ac:dyDescent="0.35">
      <c r="A665">
        <v>1664</v>
      </c>
      <c r="B665" s="1">
        <v>45314</v>
      </c>
      <c r="C665" t="s">
        <v>21</v>
      </c>
      <c r="D665">
        <v>500</v>
      </c>
      <c r="E665">
        <v>200</v>
      </c>
    </row>
    <row r="666" spans="1:6" x14ac:dyDescent="0.35">
      <c r="A666">
        <v>1665</v>
      </c>
      <c r="B666" s="1">
        <v>45524</v>
      </c>
      <c r="C666" t="s">
        <v>21</v>
      </c>
      <c r="D666">
        <v>500</v>
      </c>
      <c r="E666">
        <v>200</v>
      </c>
    </row>
    <row r="667" spans="1:6" x14ac:dyDescent="0.35">
      <c r="A667">
        <v>1666</v>
      </c>
      <c r="B667" s="1">
        <v>45785</v>
      </c>
      <c r="C667" t="s">
        <v>75</v>
      </c>
      <c r="D667">
        <v>50</v>
      </c>
      <c r="E667">
        <v>30</v>
      </c>
    </row>
    <row r="668" spans="1:6" x14ac:dyDescent="0.35">
      <c r="A668">
        <v>1667</v>
      </c>
      <c r="B668" s="1">
        <v>45660</v>
      </c>
      <c r="C668" t="s">
        <v>75</v>
      </c>
      <c r="D668">
        <v>50</v>
      </c>
      <c r="E668">
        <v>30</v>
      </c>
    </row>
    <row r="669" spans="1:6" x14ac:dyDescent="0.35">
      <c r="A669">
        <v>1668</v>
      </c>
      <c r="B669" s="1">
        <v>45644</v>
      </c>
      <c r="C669" t="s">
        <v>21</v>
      </c>
      <c r="D669">
        <v>500</v>
      </c>
      <c r="E669">
        <v>200</v>
      </c>
    </row>
    <row r="670" spans="1:6" x14ac:dyDescent="0.35">
      <c r="A670">
        <v>1669</v>
      </c>
      <c r="B670" s="1">
        <v>45399</v>
      </c>
      <c r="C670" t="s">
        <v>21</v>
      </c>
      <c r="D670">
        <v>500</v>
      </c>
      <c r="E670">
        <v>200</v>
      </c>
    </row>
    <row r="671" spans="1:6" x14ac:dyDescent="0.35">
      <c r="A671">
        <v>1670</v>
      </c>
      <c r="B671" s="1">
        <v>45685</v>
      </c>
      <c r="C671" t="s">
        <v>75</v>
      </c>
      <c r="D671">
        <v>50</v>
      </c>
      <c r="E671">
        <v>30</v>
      </c>
    </row>
    <row r="672" spans="1:6" x14ac:dyDescent="0.35">
      <c r="A672">
        <v>1671</v>
      </c>
      <c r="B672" s="1">
        <v>45554</v>
      </c>
      <c r="C672" t="s">
        <v>75</v>
      </c>
      <c r="D672">
        <v>50</v>
      </c>
      <c r="E672">
        <v>30</v>
      </c>
    </row>
    <row r="673" spans="1:6" x14ac:dyDescent="0.35">
      <c r="A673">
        <v>1672</v>
      </c>
      <c r="B673" s="1">
        <v>45523</v>
      </c>
      <c r="C673" t="s">
        <v>75</v>
      </c>
      <c r="D673">
        <v>50</v>
      </c>
      <c r="E673">
        <v>30</v>
      </c>
      <c r="F673" s="1">
        <v>45560</v>
      </c>
    </row>
    <row r="674" spans="1:6" x14ac:dyDescent="0.35">
      <c r="A674">
        <v>1673</v>
      </c>
      <c r="B674" s="1">
        <v>45726</v>
      </c>
      <c r="C674" t="s">
        <v>21</v>
      </c>
      <c r="D674">
        <v>500</v>
      </c>
      <c r="E674">
        <v>200</v>
      </c>
    </row>
    <row r="675" spans="1:6" x14ac:dyDescent="0.35">
      <c r="A675">
        <v>1674</v>
      </c>
      <c r="B675" s="1">
        <v>45329</v>
      </c>
      <c r="C675" t="s">
        <v>18</v>
      </c>
      <c r="D675">
        <v>200</v>
      </c>
      <c r="E675">
        <v>100</v>
      </c>
    </row>
    <row r="676" spans="1:6" x14ac:dyDescent="0.35">
      <c r="A676">
        <v>1675</v>
      </c>
      <c r="B676" s="1">
        <v>45478</v>
      </c>
      <c r="C676" t="s">
        <v>18</v>
      </c>
      <c r="D676">
        <v>200</v>
      </c>
      <c r="E676">
        <v>100</v>
      </c>
    </row>
    <row r="677" spans="1:6" x14ac:dyDescent="0.35">
      <c r="A677">
        <v>1676</v>
      </c>
      <c r="B677" s="1">
        <v>45491</v>
      </c>
      <c r="C677" t="s">
        <v>21</v>
      </c>
      <c r="D677">
        <v>500</v>
      </c>
      <c r="E677">
        <v>200</v>
      </c>
    </row>
    <row r="678" spans="1:6" x14ac:dyDescent="0.35">
      <c r="A678">
        <v>1677</v>
      </c>
      <c r="B678" s="1">
        <v>45400</v>
      </c>
      <c r="C678" t="s">
        <v>75</v>
      </c>
      <c r="D678">
        <v>50</v>
      </c>
      <c r="E678">
        <v>30</v>
      </c>
    </row>
    <row r="679" spans="1:6" x14ac:dyDescent="0.35">
      <c r="A679">
        <v>1678</v>
      </c>
      <c r="B679" s="1">
        <v>45330</v>
      </c>
      <c r="C679" t="s">
        <v>21</v>
      </c>
      <c r="D679">
        <v>500</v>
      </c>
      <c r="E679">
        <v>200</v>
      </c>
    </row>
    <row r="680" spans="1:6" x14ac:dyDescent="0.35">
      <c r="A680">
        <v>1679</v>
      </c>
      <c r="B680" s="1">
        <v>45715</v>
      </c>
      <c r="C680" t="s">
        <v>75</v>
      </c>
      <c r="D680">
        <v>50</v>
      </c>
      <c r="E680">
        <v>30</v>
      </c>
    </row>
    <row r="681" spans="1:6" x14ac:dyDescent="0.35">
      <c r="A681">
        <v>1680</v>
      </c>
      <c r="B681" s="1">
        <v>45739</v>
      </c>
      <c r="C681" t="s">
        <v>18</v>
      </c>
      <c r="D681">
        <v>200</v>
      </c>
      <c r="E681">
        <v>100</v>
      </c>
    </row>
    <row r="682" spans="1:6" x14ac:dyDescent="0.35">
      <c r="A682">
        <v>1681</v>
      </c>
      <c r="B682" s="1">
        <v>45636</v>
      </c>
      <c r="C682" t="s">
        <v>21</v>
      </c>
      <c r="D682">
        <v>500</v>
      </c>
      <c r="E682">
        <v>200</v>
      </c>
    </row>
    <row r="683" spans="1:6" x14ac:dyDescent="0.35">
      <c r="A683">
        <v>1682</v>
      </c>
      <c r="B683" s="1">
        <v>45386</v>
      </c>
      <c r="C683" t="s">
        <v>75</v>
      </c>
      <c r="D683">
        <v>50</v>
      </c>
      <c r="E683">
        <v>30</v>
      </c>
    </row>
    <row r="684" spans="1:6" x14ac:dyDescent="0.35">
      <c r="A684">
        <v>1683</v>
      </c>
      <c r="B684" s="1">
        <v>45357</v>
      </c>
      <c r="C684" t="s">
        <v>18</v>
      </c>
      <c r="D684">
        <v>200</v>
      </c>
      <c r="E684">
        <v>100</v>
      </c>
      <c r="F684" s="1">
        <v>45822</v>
      </c>
    </row>
    <row r="685" spans="1:6" x14ac:dyDescent="0.35">
      <c r="A685">
        <v>1684</v>
      </c>
      <c r="B685" s="1">
        <v>45782</v>
      </c>
      <c r="C685" t="s">
        <v>21</v>
      </c>
      <c r="D685">
        <v>500</v>
      </c>
      <c r="E685">
        <v>200</v>
      </c>
    </row>
    <row r="686" spans="1:6" x14ac:dyDescent="0.35">
      <c r="A686">
        <v>1685</v>
      </c>
      <c r="B686" s="1">
        <v>45548</v>
      </c>
      <c r="C686" t="s">
        <v>18</v>
      </c>
      <c r="D686">
        <v>200</v>
      </c>
      <c r="E686">
        <v>100</v>
      </c>
    </row>
    <row r="687" spans="1:6" x14ac:dyDescent="0.35">
      <c r="A687">
        <v>1686</v>
      </c>
      <c r="B687" s="1">
        <v>45401</v>
      </c>
      <c r="C687" t="s">
        <v>75</v>
      </c>
      <c r="D687">
        <v>50</v>
      </c>
      <c r="E687">
        <v>30</v>
      </c>
      <c r="F687" s="1">
        <v>45768</v>
      </c>
    </row>
    <row r="688" spans="1:6" x14ac:dyDescent="0.35">
      <c r="A688">
        <v>1687</v>
      </c>
      <c r="B688" s="1">
        <v>45411</v>
      </c>
      <c r="C688" t="s">
        <v>21</v>
      </c>
      <c r="D688">
        <v>500</v>
      </c>
      <c r="E688">
        <v>200</v>
      </c>
    </row>
    <row r="689" spans="1:6" x14ac:dyDescent="0.35">
      <c r="A689">
        <v>1688</v>
      </c>
      <c r="B689" s="1">
        <v>45649</v>
      </c>
      <c r="C689" t="s">
        <v>75</v>
      </c>
      <c r="D689">
        <v>50</v>
      </c>
      <c r="E689">
        <v>30</v>
      </c>
    </row>
    <row r="690" spans="1:6" x14ac:dyDescent="0.35">
      <c r="A690">
        <v>1689</v>
      </c>
      <c r="B690" s="1">
        <v>45701</v>
      </c>
      <c r="C690" t="s">
        <v>75</v>
      </c>
      <c r="D690">
        <v>50</v>
      </c>
      <c r="E690">
        <v>30</v>
      </c>
    </row>
    <row r="691" spans="1:6" x14ac:dyDescent="0.35">
      <c r="A691">
        <v>1690</v>
      </c>
      <c r="B691" s="1">
        <v>45464</v>
      </c>
      <c r="C691" t="s">
        <v>18</v>
      </c>
      <c r="D691">
        <v>200</v>
      </c>
      <c r="E691">
        <v>100</v>
      </c>
    </row>
    <row r="692" spans="1:6" x14ac:dyDescent="0.35">
      <c r="A692">
        <v>1691</v>
      </c>
      <c r="B692" s="1">
        <v>45564</v>
      </c>
      <c r="C692" t="s">
        <v>21</v>
      </c>
      <c r="D692">
        <v>500</v>
      </c>
      <c r="E692">
        <v>200</v>
      </c>
    </row>
    <row r="693" spans="1:6" x14ac:dyDescent="0.35">
      <c r="A693">
        <v>1692</v>
      </c>
      <c r="B693" s="1">
        <v>45510</v>
      </c>
      <c r="C693" t="s">
        <v>18</v>
      </c>
      <c r="D693">
        <v>200</v>
      </c>
      <c r="E693">
        <v>100</v>
      </c>
    </row>
    <row r="694" spans="1:6" x14ac:dyDescent="0.35">
      <c r="A694">
        <v>1693</v>
      </c>
      <c r="B694" s="1">
        <v>45813</v>
      </c>
      <c r="C694" t="s">
        <v>75</v>
      </c>
      <c r="D694">
        <v>50</v>
      </c>
      <c r="E694">
        <v>30</v>
      </c>
    </row>
    <row r="695" spans="1:6" x14ac:dyDescent="0.35">
      <c r="A695">
        <v>1694</v>
      </c>
      <c r="B695" s="1">
        <v>45735</v>
      </c>
      <c r="C695" t="s">
        <v>18</v>
      </c>
      <c r="D695">
        <v>200</v>
      </c>
      <c r="E695">
        <v>100</v>
      </c>
    </row>
    <row r="696" spans="1:6" x14ac:dyDescent="0.35">
      <c r="A696">
        <v>1695</v>
      </c>
      <c r="B696" s="1">
        <v>45573</v>
      </c>
      <c r="C696" t="s">
        <v>18</v>
      </c>
      <c r="D696">
        <v>200</v>
      </c>
      <c r="E696">
        <v>100</v>
      </c>
    </row>
    <row r="697" spans="1:6" x14ac:dyDescent="0.35">
      <c r="A697">
        <v>1696</v>
      </c>
      <c r="B697" s="1">
        <v>45700</v>
      </c>
      <c r="C697" t="s">
        <v>21</v>
      </c>
      <c r="D697">
        <v>500</v>
      </c>
      <c r="E697">
        <v>200</v>
      </c>
    </row>
    <row r="698" spans="1:6" x14ac:dyDescent="0.35">
      <c r="A698">
        <v>1697</v>
      </c>
      <c r="B698" s="1">
        <v>45771</v>
      </c>
      <c r="C698" t="s">
        <v>75</v>
      </c>
      <c r="D698">
        <v>50</v>
      </c>
      <c r="E698">
        <v>30</v>
      </c>
      <c r="F698" s="1">
        <v>45821</v>
      </c>
    </row>
    <row r="699" spans="1:6" x14ac:dyDescent="0.35">
      <c r="A699">
        <v>1698</v>
      </c>
      <c r="B699" s="1">
        <v>45819</v>
      </c>
      <c r="C699" t="s">
        <v>18</v>
      </c>
      <c r="D699">
        <v>200</v>
      </c>
      <c r="E699">
        <v>100</v>
      </c>
    </row>
    <row r="700" spans="1:6" x14ac:dyDescent="0.35">
      <c r="A700">
        <v>1699</v>
      </c>
      <c r="B700" s="1">
        <v>45298</v>
      </c>
      <c r="C700" t="s">
        <v>18</v>
      </c>
      <c r="D700">
        <v>200</v>
      </c>
      <c r="E700">
        <v>100</v>
      </c>
    </row>
    <row r="701" spans="1:6" x14ac:dyDescent="0.35">
      <c r="A701">
        <v>1700</v>
      </c>
      <c r="B701" s="1">
        <v>45838</v>
      </c>
      <c r="C701" t="s">
        <v>75</v>
      </c>
      <c r="D701">
        <v>50</v>
      </c>
      <c r="E701">
        <v>30</v>
      </c>
    </row>
    <row r="702" spans="1:6" x14ac:dyDescent="0.35">
      <c r="A702">
        <v>1701</v>
      </c>
      <c r="B702" s="1">
        <v>45547</v>
      </c>
      <c r="C702" t="s">
        <v>75</v>
      </c>
      <c r="D702">
        <v>50</v>
      </c>
      <c r="E702">
        <v>30</v>
      </c>
    </row>
    <row r="703" spans="1:6" x14ac:dyDescent="0.35">
      <c r="A703">
        <v>1702</v>
      </c>
      <c r="B703" s="1">
        <v>45633</v>
      </c>
      <c r="C703" t="s">
        <v>21</v>
      </c>
      <c r="D703">
        <v>500</v>
      </c>
      <c r="E703">
        <v>200</v>
      </c>
    </row>
    <row r="704" spans="1:6" x14ac:dyDescent="0.35">
      <c r="A704">
        <v>1703</v>
      </c>
      <c r="B704" s="1">
        <v>45589</v>
      </c>
      <c r="C704" t="s">
        <v>75</v>
      </c>
      <c r="D704">
        <v>50</v>
      </c>
      <c r="E704">
        <v>30</v>
      </c>
    </row>
    <row r="705" spans="1:6" x14ac:dyDescent="0.35">
      <c r="A705">
        <v>1704</v>
      </c>
      <c r="B705" s="1">
        <v>45687</v>
      </c>
      <c r="C705" t="s">
        <v>75</v>
      </c>
      <c r="D705">
        <v>50</v>
      </c>
      <c r="E705">
        <v>30</v>
      </c>
    </row>
    <row r="706" spans="1:6" x14ac:dyDescent="0.35">
      <c r="A706">
        <v>1705</v>
      </c>
      <c r="B706" s="1">
        <v>45763</v>
      </c>
      <c r="C706" t="s">
        <v>18</v>
      </c>
      <c r="D706">
        <v>200</v>
      </c>
      <c r="E706">
        <v>100</v>
      </c>
    </row>
    <row r="707" spans="1:6" x14ac:dyDescent="0.35">
      <c r="A707">
        <v>1706</v>
      </c>
      <c r="B707" s="1">
        <v>45490</v>
      </c>
      <c r="C707" t="s">
        <v>21</v>
      </c>
      <c r="D707">
        <v>500</v>
      </c>
      <c r="E707">
        <v>200</v>
      </c>
    </row>
    <row r="708" spans="1:6" x14ac:dyDescent="0.35">
      <c r="A708">
        <v>1707</v>
      </c>
      <c r="B708" s="1">
        <v>45720</v>
      </c>
      <c r="C708" t="s">
        <v>21</v>
      </c>
      <c r="D708">
        <v>500</v>
      </c>
      <c r="E708">
        <v>200</v>
      </c>
    </row>
    <row r="709" spans="1:6" x14ac:dyDescent="0.35">
      <c r="A709">
        <v>1708</v>
      </c>
      <c r="B709" s="1">
        <v>45356</v>
      </c>
      <c r="C709" t="s">
        <v>75</v>
      </c>
      <c r="D709">
        <v>50</v>
      </c>
      <c r="E709">
        <v>30</v>
      </c>
    </row>
    <row r="710" spans="1:6" x14ac:dyDescent="0.35">
      <c r="A710">
        <v>1709</v>
      </c>
      <c r="B710" s="1">
        <v>45484</v>
      </c>
      <c r="C710" t="s">
        <v>18</v>
      </c>
      <c r="D710">
        <v>200</v>
      </c>
      <c r="E710">
        <v>100</v>
      </c>
      <c r="F710" s="1">
        <v>45726</v>
      </c>
    </row>
    <row r="711" spans="1:6" x14ac:dyDescent="0.35">
      <c r="A711">
        <v>1710</v>
      </c>
      <c r="B711" s="1">
        <v>45398</v>
      </c>
      <c r="C711" t="s">
        <v>75</v>
      </c>
      <c r="D711">
        <v>50</v>
      </c>
      <c r="E711">
        <v>30</v>
      </c>
    </row>
    <row r="712" spans="1:6" x14ac:dyDescent="0.35">
      <c r="A712">
        <v>1711</v>
      </c>
      <c r="B712" s="1">
        <v>45723</v>
      </c>
      <c r="C712" t="s">
        <v>75</v>
      </c>
      <c r="D712">
        <v>50</v>
      </c>
      <c r="E712">
        <v>30</v>
      </c>
    </row>
    <row r="713" spans="1:6" x14ac:dyDescent="0.35">
      <c r="A713">
        <v>1712</v>
      </c>
      <c r="B713" s="1">
        <v>45818</v>
      </c>
      <c r="C713" t="s">
        <v>75</v>
      </c>
      <c r="D713">
        <v>50</v>
      </c>
      <c r="E713">
        <v>30</v>
      </c>
    </row>
    <row r="714" spans="1:6" x14ac:dyDescent="0.35">
      <c r="A714">
        <v>1713</v>
      </c>
      <c r="B714" s="1">
        <v>45536</v>
      </c>
      <c r="C714" t="s">
        <v>21</v>
      </c>
      <c r="D714">
        <v>500</v>
      </c>
      <c r="E714">
        <v>200</v>
      </c>
      <c r="F714" s="1">
        <v>45570</v>
      </c>
    </row>
    <row r="715" spans="1:6" x14ac:dyDescent="0.35">
      <c r="A715">
        <v>1714</v>
      </c>
      <c r="B715" s="1">
        <v>45497</v>
      </c>
      <c r="C715" t="s">
        <v>21</v>
      </c>
      <c r="D715">
        <v>500</v>
      </c>
      <c r="E715">
        <v>200</v>
      </c>
      <c r="F715" s="1">
        <v>45538</v>
      </c>
    </row>
    <row r="716" spans="1:6" x14ac:dyDescent="0.35">
      <c r="A716">
        <v>1715</v>
      </c>
      <c r="B716" s="1">
        <v>45450</v>
      </c>
      <c r="C716" t="s">
        <v>21</v>
      </c>
      <c r="D716">
        <v>500</v>
      </c>
      <c r="E716">
        <v>200</v>
      </c>
    </row>
    <row r="717" spans="1:6" x14ac:dyDescent="0.35">
      <c r="A717">
        <v>1716</v>
      </c>
      <c r="B717" s="1">
        <v>45504</v>
      </c>
      <c r="C717" t="s">
        <v>75</v>
      </c>
      <c r="D717">
        <v>50</v>
      </c>
      <c r="E717">
        <v>30</v>
      </c>
    </row>
    <row r="718" spans="1:6" x14ac:dyDescent="0.35">
      <c r="A718">
        <v>1717</v>
      </c>
      <c r="B718" s="1">
        <v>45824</v>
      </c>
      <c r="C718" t="s">
        <v>75</v>
      </c>
      <c r="D718">
        <v>50</v>
      </c>
      <c r="E718">
        <v>30</v>
      </c>
      <c r="F718" s="1">
        <v>45838</v>
      </c>
    </row>
    <row r="719" spans="1:6" x14ac:dyDescent="0.35">
      <c r="A719">
        <v>1718</v>
      </c>
      <c r="B719" s="1">
        <v>45704</v>
      </c>
      <c r="C719" t="s">
        <v>75</v>
      </c>
      <c r="D719">
        <v>50</v>
      </c>
      <c r="E719">
        <v>30</v>
      </c>
    </row>
    <row r="720" spans="1:6" x14ac:dyDescent="0.35">
      <c r="A720">
        <v>1719</v>
      </c>
      <c r="B720" s="1">
        <v>45688</v>
      </c>
      <c r="C720" t="s">
        <v>18</v>
      </c>
      <c r="D720">
        <v>200</v>
      </c>
      <c r="E720">
        <v>100</v>
      </c>
    </row>
    <row r="721" spans="1:6" x14ac:dyDescent="0.35">
      <c r="A721">
        <v>1720</v>
      </c>
      <c r="B721" s="1">
        <v>45626</v>
      </c>
      <c r="C721" t="s">
        <v>75</v>
      </c>
      <c r="D721">
        <v>50</v>
      </c>
      <c r="E721">
        <v>30</v>
      </c>
    </row>
    <row r="722" spans="1:6" x14ac:dyDescent="0.35">
      <c r="A722">
        <v>1721</v>
      </c>
      <c r="B722" s="1">
        <v>45593</v>
      </c>
      <c r="C722" t="s">
        <v>75</v>
      </c>
      <c r="D722">
        <v>50</v>
      </c>
      <c r="E722">
        <v>30</v>
      </c>
      <c r="F722" s="1">
        <v>45750</v>
      </c>
    </row>
    <row r="723" spans="1:6" x14ac:dyDescent="0.35">
      <c r="A723">
        <v>1722</v>
      </c>
      <c r="B723" s="1">
        <v>45519</v>
      </c>
      <c r="C723" t="s">
        <v>21</v>
      </c>
      <c r="D723">
        <v>500</v>
      </c>
      <c r="E723">
        <v>200</v>
      </c>
    </row>
    <row r="724" spans="1:6" x14ac:dyDescent="0.35">
      <c r="A724">
        <v>1723</v>
      </c>
      <c r="B724" s="1">
        <v>45294</v>
      </c>
      <c r="C724" t="s">
        <v>21</v>
      </c>
      <c r="D724">
        <v>500</v>
      </c>
      <c r="E724">
        <v>200</v>
      </c>
    </row>
    <row r="725" spans="1:6" x14ac:dyDescent="0.35">
      <c r="A725">
        <v>1724</v>
      </c>
      <c r="B725" s="1">
        <v>45616</v>
      </c>
      <c r="C725" t="s">
        <v>21</v>
      </c>
      <c r="D725">
        <v>500</v>
      </c>
      <c r="E725">
        <v>200</v>
      </c>
      <c r="F725" s="1">
        <v>45749</v>
      </c>
    </row>
    <row r="726" spans="1:6" x14ac:dyDescent="0.35">
      <c r="A726">
        <v>1725</v>
      </c>
      <c r="B726" s="1">
        <v>45837</v>
      </c>
      <c r="C726" t="s">
        <v>21</v>
      </c>
      <c r="D726">
        <v>500</v>
      </c>
      <c r="E726">
        <v>200</v>
      </c>
    </row>
    <row r="727" spans="1:6" x14ac:dyDescent="0.35">
      <c r="A727">
        <v>1726</v>
      </c>
      <c r="B727" s="1">
        <v>45717</v>
      </c>
      <c r="C727" t="s">
        <v>75</v>
      </c>
      <c r="D727">
        <v>50</v>
      </c>
      <c r="E727">
        <v>30</v>
      </c>
      <c r="F727" s="1">
        <v>45777</v>
      </c>
    </row>
    <row r="728" spans="1:6" x14ac:dyDescent="0.35">
      <c r="A728">
        <v>1727</v>
      </c>
      <c r="B728" s="1">
        <v>45675</v>
      </c>
      <c r="C728" t="s">
        <v>18</v>
      </c>
      <c r="D728">
        <v>200</v>
      </c>
      <c r="E728">
        <v>100</v>
      </c>
      <c r="F728" s="1">
        <v>45830</v>
      </c>
    </row>
    <row r="729" spans="1:6" x14ac:dyDescent="0.35">
      <c r="A729">
        <v>1728</v>
      </c>
      <c r="B729" s="1">
        <v>45833</v>
      </c>
      <c r="C729" t="s">
        <v>21</v>
      </c>
      <c r="D729">
        <v>500</v>
      </c>
      <c r="E729">
        <v>200</v>
      </c>
    </row>
    <row r="730" spans="1:6" x14ac:dyDescent="0.35">
      <c r="A730">
        <v>1729</v>
      </c>
      <c r="B730" s="1">
        <v>45785</v>
      </c>
      <c r="C730" t="s">
        <v>21</v>
      </c>
      <c r="D730">
        <v>500</v>
      </c>
      <c r="E730">
        <v>200</v>
      </c>
    </row>
    <row r="731" spans="1:6" x14ac:dyDescent="0.35">
      <c r="A731">
        <v>1730</v>
      </c>
      <c r="B731" s="1">
        <v>45488</v>
      </c>
      <c r="C731" t="s">
        <v>21</v>
      </c>
      <c r="D731">
        <v>500</v>
      </c>
      <c r="E731">
        <v>200</v>
      </c>
    </row>
    <row r="732" spans="1:6" x14ac:dyDescent="0.35">
      <c r="A732">
        <v>1731</v>
      </c>
      <c r="B732" s="1">
        <v>45356</v>
      </c>
      <c r="C732" t="s">
        <v>21</v>
      </c>
      <c r="D732">
        <v>500</v>
      </c>
      <c r="E732">
        <v>200</v>
      </c>
    </row>
    <row r="733" spans="1:6" x14ac:dyDescent="0.35">
      <c r="A733">
        <v>1732</v>
      </c>
      <c r="B733" s="1">
        <v>45659</v>
      </c>
      <c r="C733" t="s">
        <v>21</v>
      </c>
      <c r="D733">
        <v>500</v>
      </c>
      <c r="E733">
        <v>200</v>
      </c>
    </row>
    <row r="734" spans="1:6" x14ac:dyDescent="0.35">
      <c r="A734">
        <v>1733</v>
      </c>
      <c r="B734" s="1">
        <v>45380</v>
      </c>
      <c r="C734" t="s">
        <v>18</v>
      </c>
      <c r="D734">
        <v>200</v>
      </c>
      <c r="E734">
        <v>100</v>
      </c>
    </row>
    <row r="735" spans="1:6" x14ac:dyDescent="0.35">
      <c r="A735">
        <v>1734</v>
      </c>
      <c r="B735" s="1">
        <v>45321</v>
      </c>
      <c r="C735" t="s">
        <v>18</v>
      </c>
      <c r="D735">
        <v>200</v>
      </c>
      <c r="E735">
        <v>100</v>
      </c>
    </row>
    <row r="736" spans="1:6" x14ac:dyDescent="0.35">
      <c r="A736">
        <v>1735</v>
      </c>
      <c r="B736" s="1">
        <v>45782</v>
      </c>
      <c r="C736" t="s">
        <v>75</v>
      </c>
      <c r="D736">
        <v>50</v>
      </c>
      <c r="E736">
        <v>30</v>
      </c>
    </row>
    <row r="737" spans="1:6" x14ac:dyDescent="0.35">
      <c r="A737">
        <v>1736</v>
      </c>
      <c r="B737" s="1">
        <v>45644</v>
      </c>
      <c r="C737" t="s">
        <v>21</v>
      </c>
      <c r="D737">
        <v>500</v>
      </c>
      <c r="E737">
        <v>200</v>
      </c>
      <c r="F737" s="1">
        <v>45713</v>
      </c>
    </row>
    <row r="738" spans="1:6" x14ac:dyDescent="0.35">
      <c r="A738">
        <v>1737</v>
      </c>
      <c r="B738" s="1">
        <v>45448</v>
      </c>
      <c r="C738" t="s">
        <v>18</v>
      </c>
      <c r="D738">
        <v>200</v>
      </c>
      <c r="E738">
        <v>100</v>
      </c>
      <c r="F738" s="1">
        <v>45574</v>
      </c>
    </row>
    <row r="739" spans="1:6" x14ac:dyDescent="0.35">
      <c r="A739">
        <v>1738</v>
      </c>
      <c r="B739" s="1">
        <v>45344</v>
      </c>
      <c r="C739" t="s">
        <v>18</v>
      </c>
      <c r="D739">
        <v>200</v>
      </c>
      <c r="E739">
        <v>100</v>
      </c>
    </row>
    <row r="740" spans="1:6" x14ac:dyDescent="0.35">
      <c r="A740">
        <v>1739</v>
      </c>
      <c r="B740" s="1">
        <v>45516</v>
      </c>
      <c r="C740" t="s">
        <v>18</v>
      </c>
      <c r="D740">
        <v>200</v>
      </c>
      <c r="E740">
        <v>100</v>
      </c>
    </row>
    <row r="741" spans="1:6" x14ac:dyDescent="0.35">
      <c r="A741">
        <v>1740</v>
      </c>
      <c r="B741" s="1">
        <v>45698</v>
      </c>
      <c r="C741" t="s">
        <v>21</v>
      </c>
      <c r="D741">
        <v>500</v>
      </c>
      <c r="E741">
        <v>200</v>
      </c>
    </row>
    <row r="742" spans="1:6" x14ac:dyDescent="0.35">
      <c r="A742">
        <v>1741</v>
      </c>
      <c r="B742" s="1">
        <v>45361</v>
      </c>
      <c r="C742" t="s">
        <v>21</v>
      </c>
      <c r="D742">
        <v>500</v>
      </c>
      <c r="E742">
        <v>200</v>
      </c>
    </row>
    <row r="743" spans="1:6" x14ac:dyDescent="0.35">
      <c r="A743">
        <v>1742</v>
      </c>
      <c r="B743" s="1">
        <v>45302</v>
      </c>
      <c r="C743" t="s">
        <v>18</v>
      </c>
      <c r="D743">
        <v>200</v>
      </c>
      <c r="E743">
        <v>100</v>
      </c>
    </row>
    <row r="744" spans="1:6" x14ac:dyDescent="0.35">
      <c r="A744">
        <v>1743</v>
      </c>
      <c r="B744" s="1">
        <v>45709</v>
      </c>
      <c r="C744" t="s">
        <v>21</v>
      </c>
      <c r="D744">
        <v>500</v>
      </c>
      <c r="E744">
        <v>200</v>
      </c>
    </row>
    <row r="745" spans="1:6" x14ac:dyDescent="0.35">
      <c r="A745">
        <v>1744</v>
      </c>
      <c r="B745" s="1">
        <v>45801</v>
      </c>
      <c r="C745" t="s">
        <v>75</v>
      </c>
      <c r="D745">
        <v>50</v>
      </c>
      <c r="E745">
        <v>30</v>
      </c>
    </row>
    <row r="746" spans="1:6" x14ac:dyDescent="0.35">
      <c r="A746">
        <v>1745</v>
      </c>
      <c r="B746" s="1">
        <v>45349</v>
      </c>
      <c r="C746" t="s">
        <v>75</v>
      </c>
      <c r="D746">
        <v>50</v>
      </c>
      <c r="E746">
        <v>30</v>
      </c>
    </row>
    <row r="747" spans="1:6" x14ac:dyDescent="0.35">
      <c r="A747">
        <v>1746</v>
      </c>
      <c r="B747" s="1">
        <v>45440</v>
      </c>
      <c r="C747" t="s">
        <v>75</v>
      </c>
      <c r="D747">
        <v>50</v>
      </c>
      <c r="E747">
        <v>30</v>
      </c>
    </row>
    <row r="748" spans="1:6" x14ac:dyDescent="0.35">
      <c r="A748">
        <v>1747</v>
      </c>
      <c r="B748" s="1">
        <v>45421</v>
      </c>
      <c r="C748" t="s">
        <v>18</v>
      </c>
      <c r="D748">
        <v>200</v>
      </c>
      <c r="E748">
        <v>100</v>
      </c>
      <c r="F748" s="1">
        <v>45494</v>
      </c>
    </row>
    <row r="749" spans="1:6" x14ac:dyDescent="0.35">
      <c r="A749">
        <v>1748</v>
      </c>
      <c r="B749" s="1">
        <v>45326</v>
      </c>
      <c r="C749" t="s">
        <v>18</v>
      </c>
      <c r="D749">
        <v>200</v>
      </c>
      <c r="E749">
        <v>100</v>
      </c>
    </row>
    <row r="750" spans="1:6" x14ac:dyDescent="0.35">
      <c r="A750">
        <v>1749</v>
      </c>
      <c r="B750" s="1">
        <v>45769</v>
      </c>
      <c r="C750" t="s">
        <v>18</v>
      </c>
      <c r="D750">
        <v>200</v>
      </c>
      <c r="E750">
        <v>100</v>
      </c>
    </row>
    <row r="751" spans="1:6" x14ac:dyDescent="0.35">
      <c r="A751">
        <v>1750</v>
      </c>
      <c r="B751" s="1">
        <v>45589</v>
      </c>
      <c r="C751" t="s">
        <v>21</v>
      </c>
      <c r="D751">
        <v>500</v>
      </c>
      <c r="E751">
        <v>200</v>
      </c>
      <c r="F751" s="1">
        <v>45787</v>
      </c>
    </row>
    <row r="752" spans="1:6" x14ac:dyDescent="0.35">
      <c r="A752">
        <v>1751</v>
      </c>
      <c r="B752" s="1">
        <v>45466</v>
      </c>
      <c r="C752" t="s">
        <v>75</v>
      </c>
      <c r="D752">
        <v>50</v>
      </c>
      <c r="E752">
        <v>30</v>
      </c>
    </row>
    <row r="753" spans="1:6" x14ac:dyDescent="0.35">
      <c r="A753">
        <v>1752</v>
      </c>
      <c r="B753" s="1">
        <v>45524</v>
      </c>
      <c r="C753" t="s">
        <v>75</v>
      </c>
      <c r="D753">
        <v>50</v>
      </c>
      <c r="E753">
        <v>30</v>
      </c>
    </row>
    <row r="754" spans="1:6" x14ac:dyDescent="0.35">
      <c r="A754">
        <v>1753</v>
      </c>
      <c r="B754" s="1">
        <v>45561</v>
      </c>
      <c r="C754" t="s">
        <v>18</v>
      </c>
      <c r="D754">
        <v>200</v>
      </c>
      <c r="E754">
        <v>100</v>
      </c>
    </row>
    <row r="755" spans="1:6" x14ac:dyDescent="0.35">
      <c r="A755">
        <v>1754</v>
      </c>
      <c r="B755" s="1">
        <v>45721</v>
      </c>
      <c r="C755" t="s">
        <v>75</v>
      </c>
      <c r="D755">
        <v>50</v>
      </c>
      <c r="E755">
        <v>30</v>
      </c>
    </row>
    <row r="756" spans="1:6" x14ac:dyDescent="0.35">
      <c r="A756">
        <v>1755</v>
      </c>
      <c r="B756" s="1">
        <v>45379</v>
      </c>
      <c r="C756" t="s">
        <v>21</v>
      </c>
      <c r="D756">
        <v>500</v>
      </c>
      <c r="E756">
        <v>200</v>
      </c>
    </row>
    <row r="757" spans="1:6" x14ac:dyDescent="0.35">
      <c r="A757">
        <v>1756</v>
      </c>
      <c r="B757" s="1">
        <v>45358</v>
      </c>
      <c r="C757" t="s">
        <v>18</v>
      </c>
      <c r="D757">
        <v>200</v>
      </c>
      <c r="E757">
        <v>100</v>
      </c>
    </row>
    <row r="758" spans="1:6" x14ac:dyDescent="0.35">
      <c r="A758">
        <v>1757</v>
      </c>
      <c r="B758" s="1">
        <v>45415</v>
      </c>
      <c r="C758" t="s">
        <v>75</v>
      </c>
      <c r="D758">
        <v>50</v>
      </c>
      <c r="E758">
        <v>30</v>
      </c>
    </row>
    <row r="759" spans="1:6" x14ac:dyDescent="0.35">
      <c r="A759">
        <v>1758</v>
      </c>
      <c r="B759" s="1">
        <v>45407</v>
      </c>
      <c r="C759" t="s">
        <v>75</v>
      </c>
      <c r="D759">
        <v>50</v>
      </c>
      <c r="E759">
        <v>30</v>
      </c>
    </row>
    <row r="760" spans="1:6" x14ac:dyDescent="0.35">
      <c r="A760">
        <v>1759</v>
      </c>
      <c r="B760" s="1">
        <v>45417</v>
      </c>
      <c r="C760" t="s">
        <v>18</v>
      </c>
      <c r="D760">
        <v>200</v>
      </c>
      <c r="E760">
        <v>100</v>
      </c>
      <c r="F760" s="1">
        <v>45639</v>
      </c>
    </row>
    <row r="761" spans="1:6" x14ac:dyDescent="0.35">
      <c r="A761">
        <v>1760</v>
      </c>
      <c r="B761" s="1">
        <v>45649</v>
      </c>
      <c r="C761" t="s">
        <v>75</v>
      </c>
      <c r="D761">
        <v>50</v>
      </c>
      <c r="E761">
        <v>30</v>
      </c>
    </row>
    <row r="762" spans="1:6" x14ac:dyDescent="0.35">
      <c r="A762">
        <v>1761</v>
      </c>
      <c r="B762" s="1">
        <v>45623</v>
      </c>
      <c r="C762" t="s">
        <v>75</v>
      </c>
      <c r="D762">
        <v>50</v>
      </c>
      <c r="E762">
        <v>30</v>
      </c>
    </row>
    <row r="763" spans="1:6" x14ac:dyDescent="0.35">
      <c r="A763">
        <v>1762</v>
      </c>
      <c r="B763" s="1">
        <v>45437</v>
      </c>
      <c r="C763" t="s">
        <v>75</v>
      </c>
      <c r="D763">
        <v>50</v>
      </c>
      <c r="E763">
        <v>30</v>
      </c>
    </row>
    <row r="764" spans="1:6" x14ac:dyDescent="0.35">
      <c r="A764">
        <v>1763</v>
      </c>
      <c r="B764" s="1">
        <v>45485</v>
      </c>
      <c r="C764" t="s">
        <v>18</v>
      </c>
      <c r="D764">
        <v>200</v>
      </c>
      <c r="E764">
        <v>100</v>
      </c>
    </row>
    <row r="765" spans="1:6" x14ac:dyDescent="0.35">
      <c r="A765">
        <v>1764</v>
      </c>
      <c r="B765" s="1">
        <v>45630</v>
      </c>
      <c r="C765" t="s">
        <v>21</v>
      </c>
      <c r="D765">
        <v>500</v>
      </c>
      <c r="E765">
        <v>200</v>
      </c>
      <c r="F765" s="1">
        <v>45667</v>
      </c>
    </row>
    <row r="766" spans="1:6" x14ac:dyDescent="0.35">
      <c r="A766">
        <v>1765</v>
      </c>
      <c r="B766" s="1">
        <v>45459</v>
      </c>
      <c r="C766" t="s">
        <v>75</v>
      </c>
      <c r="D766">
        <v>50</v>
      </c>
      <c r="E766">
        <v>30</v>
      </c>
      <c r="F766" s="1">
        <v>45628</v>
      </c>
    </row>
    <row r="767" spans="1:6" x14ac:dyDescent="0.35">
      <c r="A767">
        <v>1766</v>
      </c>
      <c r="B767" s="1">
        <v>45743</v>
      </c>
      <c r="C767" t="s">
        <v>75</v>
      </c>
      <c r="D767">
        <v>50</v>
      </c>
      <c r="E767">
        <v>30</v>
      </c>
    </row>
    <row r="768" spans="1:6" x14ac:dyDescent="0.35">
      <c r="A768">
        <v>1767</v>
      </c>
      <c r="B768" s="1">
        <v>45657</v>
      </c>
      <c r="C768" t="s">
        <v>18</v>
      </c>
      <c r="D768">
        <v>200</v>
      </c>
      <c r="E768">
        <v>100</v>
      </c>
      <c r="F768" s="1">
        <v>45756</v>
      </c>
    </row>
    <row r="769" spans="1:6" x14ac:dyDescent="0.35">
      <c r="A769">
        <v>1768</v>
      </c>
      <c r="B769" s="1">
        <v>45830</v>
      </c>
      <c r="C769" t="s">
        <v>18</v>
      </c>
      <c r="D769">
        <v>200</v>
      </c>
      <c r="E769">
        <v>100</v>
      </c>
      <c r="F769" s="1">
        <v>45838</v>
      </c>
    </row>
    <row r="770" spans="1:6" x14ac:dyDescent="0.35">
      <c r="A770">
        <v>1769</v>
      </c>
      <c r="B770" s="1">
        <v>45827</v>
      </c>
      <c r="C770" t="s">
        <v>21</v>
      </c>
      <c r="D770">
        <v>500</v>
      </c>
      <c r="E770">
        <v>200</v>
      </c>
    </row>
    <row r="771" spans="1:6" x14ac:dyDescent="0.35">
      <c r="A771">
        <v>1770</v>
      </c>
      <c r="B771" s="1">
        <v>45417</v>
      </c>
      <c r="C771" t="s">
        <v>18</v>
      </c>
      <c r="D771">
        <v>200</v>
      </c>
      <c r="E771">
        <v>100</v>
      </c>
    </row>
    <row r="772" spans="1:6" x14ac:dyDescent="0.35">
      <c r="A772">
        <v>1771</v>
      </c>
      <c r="B772" s="1">
        <v>45483</v>
      </c>
      <c r="C772" t="s">
        <v>21</v>
      </c>
      <c r="D772">
        <v>500</v>
      </c>
      <c r="E772">
        <v>200</v>
      </c>
    </row>
    <row r="773" spans="1:6" x14ac:dyDescent="0.35">
      <c r="A773">
        <v>1772</v>
      </c>
      <c r="B773" s="1">
        <v>45835</v>
      </c>
      <c r="C773" t="s">
        <v>21</v>
      </c>
      <c r="D773">
        <v>500</v>
      </c>
      <c r="E773">
        <v>200</v>
      </c>
    </row>
    <row r="774" spans="1:6" x14ac:dyDescent="0.35">
      <c r="A774">
        <v>1773</v>
      </c>
      <c r="B774" s="1">
        <v>45530</v>
      </c>
      <c r="C774" t="s">
        <v>75</v>
      </c>
      <c r="D774">
        <v>50</v>
      </c>
      <c r="E774">
        <v>30</v>
      </c>
    </row>
    <row r="775" spans="1:6" x14ac:dyDescent="0.35">
      <c r="A775">
        <v>1774</v>
      </c>
      <c r="B775" s="1">
        <v>45594</v>
      </c>
      <c r="C775" t="s">
        <v>75</v>
      </c>
      <c r="D775">
        <v>50</v>
      </c>
      <c r="E775">
        <v>30</v>
      </c>
    </row>
    <row r="776" spans="1:6" x14ac:dyDescent="0.35">
      <c r="A776">
        <v>1775</v>
      </c>
      <c r="B776" s="1">
        <v>45432</v>
      </c>
      <c r="C776" t="s">
        <v>18</v>
      </c>
      <c r="D776">
        <v>200</v>
      </c>
      <c r="E776">
        <v>100</v>
      </c>
    </row>
    <row r="777" spans="1:6" x14ac:dyDescent="0.35">
      <c r="A777">
        <v>1776</v>
      </c>
      <c r="B777" s="1">
        <v>45690</v>
      </c>
      <c r="C777" t="s">
        <v>21</v>
      </c>
      <c r="D777">
        <v>500</v>
      </c>
      <c r="E777">
        <v>200</v>
      </c>
    </row>
    <row r="778" spans="1:6" x14ac:dyDescent="0.35">
      <c r="A778">
        <v>1777</v>
      </c>
      <c r="B778" s="1">
        <v>45297</v>
      </c>
      <c r="C778" t="s">
        <v>75</v>
      </c>
      <c r="D778">
        <v>50</v>
      </c>
      <c r="E778">
        <v>30</v>
      </c>
    </row>
    <row r="779" spans="1:6" x14ac:dyDescent="0.35">
      <c r="A779">
        <v>1778</v>
      </c>
      <c r="B779" s="1">
        <v>45300</v>
      </c>
      <c r="C779" t="s">
        <v>75</v>
      </c>
      <c r="D779">
        <v>50</v>
      </c>
      <c r="E779">
        <v>30</v>
      </c>
    </row>
    <row r="780" spans="1:6" x14ac:dyDescent="0.35">
      <c r="A780">
        <v>1779</v>
      </c>
      <c r="B780" s="1">
        <v>45605</v>
      </c>
      <c r="C780" t="s">
        <v>75</v>
      </c>
      <c r="D780">
        <v>50</v>
      </c>
      <c r="E780">
        <v>30</v>
      </c>
    </row>
    <row r="781" spans="1:6" x14ac:dyDescent="0.35">
      <c r="A781">
        <v>1780</v>
      </c>
      <c r="B781" s="1">
        <v>45528</v>
      </c>
      <c r="C781" t="s">
        <v>75</v>
      </c>
      <c r="D781">
        <v>50</v>
      </c>
      <c r="E781">
        <v>30</v>
      </c>
    </row>
    <row r="782" spans="1:6" x14ac:dyDescent="0.35">
      <c r="A782">
        <v>1781</v>
      </c>
      <c r="B782" s="1">
        <v>45402</v>
      </c>
      <c r="C782" t="s">
        <v>75</v>
      </c>
      <c r="D782">
        <v>50</v>
      </c>
      <c r="E782">
        <v>30</v>
      </c>
    </row>
    <row r="783" spans="1:6" x14ac:dyDescent="0.35">
      <c r="A783">
        <v>1782</v>
      </c>
      <c r="B783" s="1">
        <v>45771</v>
      </c>
      <c r="C783" t="s">
        <v>18</v>
      </c>
      <c r="D783">
        <v>200</v>
      </c>
      <c r="E783">
        <v>100</v>
      </c>
    </row>
    <row r="784" spans="1:6" x14ac:dyDescent="0.35">
      <c r="A784">
        <v>1783</v>
      </c>
      <c r="B784" s="1">
        <v>45561</v>
      </c>
      <c r="C784" t="s">
        <v>18</v>
      </c>
      <c r="D784">
        <v>200</v>
      </c>
      <c r="E784">
        <v>100</v>
      </c>
    </row>
    <row r="785" spans="1:6" x14ac:dyDescent="0.35">
      <c r="A785">
        <v>1784</v>
      </c>
      <c r="B785" s="1">
        <v>45594</v>
      </c>
      <c r="C785" t="s">
        <v>18</v>
      </c>
      <c r="D785">
        <v>200</v>
      </c>
      <c r="E785">
        <v>100</v>
      </c>
    </row>
    <row r="786" spans="1:6" x14ac:dyDescent="0.35">
      <c r="A786">
        <v>1785</v>
      </c>
      <c r="B786" s="1">
        <v>45572</v>
      </c>
      <c r="C786" t="s">
        <v>75</v>
      </c>
      <c r="D786">
        <v>50</v>
      </c>
      <c r="E786">
        <v>30</v>
      </c>
    </row>
    <row r="787" spans="1:6" x14ac:dyDescent="0.35">
      <c r="A787">
        <v>1786</v>
      </c>
      <c r="B787" s="1">
        <v>45473</v>
      </c>
      <c r="C787" t="s">
        <v>21</v>
      </c>
      <c r="D787">
        <v>500</v>
      </c>
      <c r="E787">
        <v>200</v>
      </c>
    </row>
    <row r="788" spans="1:6" x14ac:dyDescent="0.35">
      <c r="A788">
        <v>1787</v>
      </c>
      <c r="B788" s="1">
        <v>45384</v>
      </c>
      <c r="C788" t="s">
        <v>21</v>
      </c>
      <c r="D788">
        <v>500</v>
      </c>
      <c r="E788">
        <v>200</v>
      </c>
    </row>
    <row r="789" spans="1:6" x14ac:dyDescent="0.35">
      <c r="A789">
        <v>1788</v>
      </c>
      <c r="B789" s="1">
        <v>45750</v>
      </c>
      <c r="C789" t="s">
        <v>18</v>
      </c>
      <c r="D789">
        <v>200</v>
      </c>
      <c r="E789">
        <v>100</v>
      </c>
    </row>
    <row r="790" spans="1:6" x14ac:dyDescent="0.35">
      <c r="A790">
        <v>1789</v>
      </c>
      <c r="B790" s="1">
        <v>45709</v>
      </c>
      <c r="C790" t="s">
        <v>21</v>
      </c>
      <c r="D790">
        <v>500</v>
      </c>
      <c r="E790">
        <v>200</v>
      </c>
    </row>
    <row r="791" spans="1:6" x14ac:dyDescent="0.35">
      <c r="A791">
        <v>1790</v>
      </c>
      <c r="B791" s="1">
        <v>45634</v>
      </c>
      <c r="C791" t="s">
        <v>18</v>
      </c>
      <c r="D791">
        <v>200</v>
      </c>
      <c r="E791">
        <v>100</v>
      </c>
    </row>
    <row r="792" spans="1:6" x14ac:dyDescent="0.35">
      <c r="A792">
        <v>1791</v>
      </c>
      <c r="B792" s="1">
        <v>45801</v>
      </c>
      <c r="C792" t="s">
        <v>18</v>
      </c>
      <c r="D792">
        <v>200</v>
      </c>
      <c r="E792">
        <v>100</v>
      </c>
      <c r="F792" s="1">
        <v>45831</v>
      </c>
    </row>
    <row r="793" spans="1:6" x14ac:dyDescent="0.35">
      <c r="A793">
        <v>1792</v>
      </c>
      <c r="B793" s="1">
        <v>45581</v>
      </c>
      <c r="C793" t="s">
        <v>75</v>
      </c>
      <c r="D793">
        <v>50</v>
      </c>
      <c r="E793">
        <v>30</v>
      </c>
    </row>
    <row r="794" spans="1:6" x14ac:dyDescent="0.35">
      <c r="A794">
        <v>1793</v>
      </c>
      <c r="B794" s="1">
        <v>45325</v>
      </c>
      <c r="C794" t="s">
        <v>75</v>
      </c>
      <c r="D794">
        <v>50</v>
      </c>
      <c r="E794">
        <v>30</v>
      </c>
    </row>
    <row r="795" spans="1:6" x14ac:dyDescent="0.35">
      <c r="A795">
        <v>1794</v>
      </c>
      <c r="B795" s="1">
        <v>45564</v>
      </c>
      <c r="C795" t="s">
        <v>21</v>
      </c>
      <c r="D795">
        <v>500</v>
      </c>
      <c r="E795">
        <v>200</v>
      </c>
    </row>
    <row r="796" spans="1:6" x14ac:dyDescent="0.35">
      <c r="A796">
        <v>1795</v>
      </c>
      <c r="B796" s="1">
        <v>45545</v>
      </c>
      <c r="C796" t="s">
        <v>21</v>
      </c>
      <c r="D796">
        <v>500</v>
      </c>
      <c r="E796">
        <v>200</v>
      </c>
    </row>
    <row r="797" spans="1:6" x14ac:dyDescent="0.35">
      <c r="A797">
        <v>1796</v>
      </c>
      <c r="B797" s="1">
        <v>45364</v>
      </c>
      <c r="C797" t="s">
        <v>75</v>
      </c>
      <c r="D797">
        <v>50</v>
      </c>
      <c r="E797">
        <v>30</v>
      </c>
    </row>
    <row r="798" spans="1:6" x14ac:dyDescent="0.35">
      <c r="A798">
        <v>1797</v>
      </c>
      <c r="B798" s="1">
        <v>45723</v>
      </c>
      <c r="C798" t="s">
        <v>75</v>
      </c>
      <c r="D798">
        <v>50</v>
      </c>
      <c r="E798">
        <v>30</v>
      </c>
    </row>
    <row r="799" spans="1:6" x14ac:dyDescent="0.35">
      <c r="A799">
        <v>1798</v>
      </c>
      <c r="B799" s="1">
        <v>45592</v>
      </c>
      <c r="C799" t="s">
        <v>21</v>
      </c>
      <c r="D799">
        <v>500</v>
      </c>
      <c r="E799">
        <v>200</v>
      </c>
    </row>
    <row r="800" spans="1:6" x14ac:dyDescent="0.35">
      <c r="A800">
        <v>1799</v>
      </c>
      <c r="B800" s="1">
        <v>45589</v>
      </c>
      <c r="C800" t="s">
        <v>75</v>
      </c>
      <c r="D800">
        <v>50</v>
      </c>
      <c r="E800">
        <v>30</v>
      </c>
    </row>
    <row r="801" spans="1:6" x14ac:dyDescent="0.35">
      <c r="A801">
        <v>1800</v>
      </c>
      <c r="B801" s="1">
        <v>45743</v>
      </c>
      <c r="C801" t="s">
        <v>18</v>
      </c>
      <c r="D801">
        <v>200</v>
      </c>
      <c r="E801">
        <v>100</v>
      </c>
    </row>
    <row r="802" spans="1:6" x14ac:dyDescent="0.35">
      <c r="A802">
        <v>1801</v>
      </c>
      <c r="B802" s="1">
        <v>45720</v>
      </c>
      <c r="C802" t="s">
        <v>21</v>
      </c>
      <c r="D802">
        <v>500</v>
      </c>
      <c r="E802">
        <v>200</v>
      </c>
    </row>
    <row r="803" spans="1:6" x14ac:dyDescent="0.35">
      <c r="A803">
        <v>1802</v>
      </c>
      <c r="B803" s="1">
        <v>45689</v>
      </c>
      <c r="C803" t="s">
        <v>21</v>
      </c>
      <c r="D803">
        <v>500</v>
      </c>
      <c r="E803">
        <v>200</v>
      </c>
    </row>
    <row r="804" spans="1:6" x14ac:dyDescent="0.35">
      <c r="A804">
        <v>1803</v>
      </c>
      <c r="B804" s="1">
        <v>45347</v>
      </c>
      <c r="C804" t="s">
        <v>21</v>
      </c>
      <c r="D804">
        <v>500</v>
      </c>
      <c r="E804">
        <v>200</v>
      </c>
    </row>
    <row r="805" spans="1:6" x14ac:dyDescent="0.35">
      <c r="A805">
        <v>1804</v>
      </c>
      <c r="B805" s="1">
        <v>45661</v>
      </c>
      <c r="C805" t="s">
        <v>75</v>
      </c>
      <c r="D805">
        <v>50</v>
      </c>
      <c r="E805">
        <v>30</v>
      </c>
    </row>
    <row r="806" spans="1:6" x14ac:dyDescent="0.35">
      <c r="A806">
        <v>1805</v>
      </c>
      <c r="B806" s="1">
        <v>45586</v>
      </c>
      <c r="C806" t="s">
        <v>18</v>
      </c>
      <c r="D806">
        <v>200</v>
      </c>
      <c r="E806">
        <v>100</v>
      </c>
    </row>
    <row r="807" spans="1:6" x14ac:dyDescent="0.35">
      <c r="A807">
        <v>1806</v>
      </c>
      <c r="B807" s="1">
        <v>45642</v>
      </c>
      <c r="C807" t="s">
        <v>21</v>
      </c>
      <c r="D807">
        <v>500</v>
      </c>
      <c r="E807">
        <v>200</v>
      </c>
      <c r="F807" s="1">
        <v>45734</v>
      </c>
    </row>
    <row r="808" spans="1:6" x14ac:dyDescent="0.35">
      <c r="A808">
        <v>1807</v>
      </c>
      <c r="B808" s="1">
        <v>45632</v>
      </c>
      <c r="C808" t="s">
        <v>75</v>
      </c>
      <c r="D808">
        <v>50</v>
      </c>
      <c r="E808">
        <v>30</v>
      </c>
      <c r="F808" s="1">
        <v>45729</v>
      </c>
    </row>
    <row r="809" spans="1:6" x14ac:dyDescent="0.35">
      <c r="A809">
        <v>1808</v>
      </c>
      <c r="B809" s="1">
        <v>45600</v>
      </c>
      <c r="C809" t="s">
        <v>21</v>
      </c>
      <c r="D809">
        <v>500</v>
      </c>
      <c r="E809">
        <v>200</v>
      </c>
    </row>
    <row r="810" spans="1:6" x14ac:dyDescent="0.35">
      <c r="A810">
        <v>1809</v>
      </c>
      <c r="B810" s="1">
        <v>45831</v>
      </c>
      <c r="C810" t="s">
        <v>18</v>
      </c>
      <c r="D810">
        <v>200</v>
      </c>
      <c r="E810">
        <v>100</v>
      </c>
    </row>
    <row r="811" spans="1:6" x14ac:dyDescent="0.35">
      <c r="A811">
        <v>1810</v>
      </c>
      <c r="B811" s="1">
        <v>45643</v>
      </c>
      <c r="C811" t="s">
        <v>21</v>
      </c>
      <c r="D811">
        <v>500</v>
      </c>
      <c r="E811">
        <v>200</v>
      </c>
      <c r="F811" s="1">
        <v>45739</v>
      </c>
    </row>
    <row r="812" spans="1:6" x14ac:dyDescent="0.35">
      <c r="A812">
        <v>1811</v>
      </c>
      <c r="B812" s="1">
        <v>45715</v>
      </c>
      <c r="C812" t="s">
        <v>21</v>
      </c>
      <c r="D812">
        <v>500</v>
      </c>
      <c r="E812">
        <v>200</v>
      </c>
    </row>
    <row r="813" spans="1:6" x14ac:dyDescent="0.35">
      <c r="A813">
        <v>1812</v>
      </c>
      <c r="B813" s="1">
        <v>45585</v>
      </c>
      <c r="C813" t="s">
        <v>18</v>
      </c>
      <c r="D813">
        <v>200</v>
      </c>
      <c r="E813">
        <v>100</v>
      </c>
    </row>
    <row r="814" spans="1:6" x14ac:dyDescent="0.35">
      <c r="A814">
        <v>1813</v>
      </c>
      <c r="B814" s="1">
        <v>45627</v>
      </c>
      <c r="C814" t="s">
        <v>75</v>
      </c>
      <c r="D814">
        <v>50</v>
      </c>
      <c r="E814">
        <v>30</v>
      </c>
    </row>
    <row r="815" spans="1:6" x14ac:dyDescent="0.35">
      <c r="A815">
        <v>1814</v>
      </c>
      <c r="B815" s="1">
        <v>45551</v>
      </c>
      <c r="C815" t="s">
        <v>75</v>
      </c>
      <c r="D815">
        <v>50</v>
      </c>
      <c r="E815">
        <v>30</v>
      </c>
    </row>
    <row r="816" spans="1:6" x14ac:dyDescent="0.35">
      <c r="A816">
        <v>1815</v>
      </c>
      <c r="B816" s="1">
        <v>45342</v>
      </c>
      <c r="C816" t="s">
        <v>18</v>
      </c>
      <c r="D816">
        <v>200</v>
      </c>
      <c r="E816">
        <v>100</v>
      </c>
    </row>
    <row r="817" spans="1:6" x14ac:dyDescent="0.35">
      <c r="A817">
        <v>1816</v>
      </c>
      <c r="B817" s="1">
        <v>45378</v>
      </c>
      <c r="C817" t="s">
        <v>18</v>
      </c>
      <c r="D817">
        <v>200</v>
      </c>
      <c r="E817">
        <v>100</v>
      </c>
    </row>
    <row r="818" spans="1:6" x14ac:dyDescent="0.35">
      <c r="A818">
        <v>1817</v>
      </c>
      <c r="B818" s="1">
        <v>45403</v>
      </c>
      <c r="C818" t="s">
        <v>21</v>
      </c>
      <c r="D818">
        <v>500</v>
      </c>
      <c r="E818">
        <v>200</v>
      </c>
      <c r="F818" s="1">
        <v>45438</v>
      </c>
    </row>
    <row r="819" spans="1:6" x14ac:dyDescent="0.35">
      <c r="A819">
        <v>1818</v>
      </c>
      <c r="B819" s="1">
        <v>45685</v>
      </c>
      <c r="C819" t="s">
        <v>21</v>
      </c>
      <c r="D819">
        <v>500</v>
      </c>
      <c r="E819">
        <v>200</v>
      </c>
    </row>
    <row r="820" spans="1:6" x14ac:dyDescent="0.35">
      <c r="A820">
        <v>1819</v>
      </c>
      <c r="B820" s="1">
        <v>45559</v>
      </c>
      <c r="C820" t="s">
        <v>18</v>
      </c>
      <c r="D820">
        <v>200</v>
      </c>
      <c r="E820">
        <v>100</v>
      </c>
    </row>
    <row r="821" spans="1:6" x14ac:dyDescent="0.35">
      <c r="A821">
        <v>1820</v>
      </c>
      <c r="B821" s="1">
        <v>45336</v>
      </c>
      <c r="C821" t="s">
        <v>18</v>
      </c>
      <c r="D821">
        <v>200</v>
      </c>
      <c r="E821">
        <v>100</v>
      </c>
    </row>
    <row r="822" spans="1:6" x14ac:dyDescent="0.35">
      <c r="A822">
        <v>1821</v>
      </c>
      <c r="B822" s="1">
        <v>45535</v>
      </c>
      <c r="C822" t="s">
        <v>75</v>
      </c>
      <c r="D822">
        <v>50</v>
      </c>
      <c r="E822">
        <v>30</v>
      </c>
    </row>
    <row r="823" spans="1:6" x14ac:dyDescent="0.35">
      <c r="A823">
        <v>1822</v>
      </c>
      <c r="B823" s="1">
        <v>45693</v>
      </c>
      <c r="C823" t="s">
        <v>75</v>
      </c>
      <c r="D823">
        <v>50</v>
      </c>
      <c r="E823">
        <v>30</v>
      </c>
      <c r="F823" s="1">
        <v>45740</v>
      </c>
    </row>
    <row r="824" spans="1:6" x14ac:dyDescent="0.35">
      <c r="A824">
        <v>1823</v>
      </c>
      <c r="B824" s="1">
        <v>45783</v>
      </c>
      <c r="C824" t="s">
        <v>18</v>
      </c>
      <c r="D824">
        <v>200</v>
      </c>
      <c r="E824">
        <v>100</v>
      </c>
    </row>
    <row r="825" spans="1:6" x14ac:dyDescent="0.35">
      <c r="A825">
        <v>1824</v>
      </c>
      <c r="B825" s="1">
        <v>45793</v>
      </c>
      <c r="C825" t="s">
        <v>18</v>
      </c>
      <c r="D825">
        <v>200</v>
      </c>
      <c r="E825">
        <v>100</v>
      </c>
      <c r="F825" s="1">
        <v>45823</v>
      </c>
    </row>
    <row r="826" spans="1:6" x14ac:dyDescent="0.35">
      <c r="A826">
        <v>1825</v>
      </c>
      <c r="B826" s="1">
        <v>45758</v>
      </c>
      <c r="C826" t="s">
        <v>18</v>
      </c>
      <c r="D826">
        <v>200</v>
      </c>
      <c r="E826">
        <v>100</v>
      </c>
    </row>
    <row r="827" spans="1:6" x14ac:dyDescent="0.35">
      <c r="A827">
        <v>1826</v>
      </c>
      <c r="B827" s="1">
        <v>45794</v>
      </c>
      <c r="C827" t="s">
        <v>21</v>
      </c>
      <c r="D827">
        <v>500</v>
      </c>
      <c r="E827">
        <v>200</v>
      </c>
    </row>
    <row r="828" spans="1:6" x14ac:dyDescent="0.35">
      <c r="A828">
        <v>1827</v>
      </c>
      <c r="B828" s="1">
        <v>45515</v>
      </c>
      <c r="C828" t="s">
        <v>21</v>
      </c>
      <c r="D828">
        <v>500</v>
      </c>
      <c r="E828">
        <v>200</v>
      </c>
    </row>
    <row r="829" spans="1:6" x14ac:dyDescent="0.35">
      <c r="A829">
        <v>1828</v>
      </c>
      <c r="B829" s="1">
        <v>45826</v>
      </c>
      <c r="C829" t="s">
        <v>18</v>
      </c>
      <c r="D829">
        <v>200</v>
      </c>
      <c r="E829">
        <v>100</v>
      </c>
    </row>
    <row r="830" spans="1:6" x14ac:dyDescent="0.35">
      <c r="A830">
        <v>1829</v>
      </c>
      <c r="B830" s="1">
        <v>45455</v>
      </c>
      <c r="C830" t="s">
        <v>21</v>
      </c>
      <c r="D830">
        <v>500</v>
      </c>
      <c r="E830">
        <v>200</v>
      </c>
    </row>
    <row r="831" spans="1:6" x14ac:dyDescent="0.35">
      <c r="A831">
        <v>1830</v>
      </c>
      <c r="B831" s="1">
        <v>45597</v>
      </c>
      <c r="C831" t="s">
        <v>21</v>
      </c>
      <c r="D831">
        <v>500</v>
      </c>
      <c r="E831">
        <v>200</v>
      </c>
    </row>
    <row r="832" spans="1:6" x14ac:dyDescent="0.35">
      <c r="A832">
        <v>1831</v>
      </c>
      <c r="B832" s="1">
        <v>45304</v>
      </c>
      <c r="C832" t="s">
        <v>18</v>
      </c>
      <c r="D832">
        <v>200</v>
      </c>
      <c r="E832">
        <v>100</v>
      </c>
    </row>
    <row r="833" spans="1:6" x14ac:dyDescent="0.35">
      <c r="A833">
        <v>1832</v>
      </c>
      <c r="B833" s="1">
        <v>45704</v>
      </c>
      <c r="C833" t="s">
        <v>21</v>
      </c>
      <c r="D833">
        <v>500</v>
      </c>
      <c r="E833">
        <v>200</v>
      </c>
    </row>
    <row r="834" spans="1:6" x14ac:dyDescent="0.35">
      <c r="A834">
        <v>1833</v>
      </c>
      <c r="B834" s="1">
        <v>45498</v>
      </c>
      <c r="C834" t="s">
        <v>18</v>
      </c>
      <c r="D834">
        <v>200</v>
      </c>
      <c r="E834">
        <v>100</v>
      </c>
    </row>
    <row r="835" spans="1:6" x14ac:dyDescent="0.35">
      <c r="A835">
        <v>1834</v>
      </c>
      <c r="B835" s="1">
        <v>45720</v>
      </c>
      <c r="C835" t="s">
        <v>18</v>
      </c>
      <c r="D835">
        <v>200</v>
      </c>
      <c r="E835">
        <v>100</v>
      </c>
      <c r="F835" s="1">
        <v>45810</v>
      </c>
    </row>
    <row r="836" spans="1:6" x14ac:dyDescent="0.35">
      <c r="A836">
        <v>1835</v>
      </c>
      <c r="B836" s="1">
        <v>45388</v>
      </c>
      <c r="C836" t="s">
        <v>75</v>
      </c>
      <c r="D836">
        <v>50</v>
      </c>
      <c r="E836">
        <v>30</v>
      </c>
    </row>
    <row r="837" spans="1:6" x14ac:dyDescent="0.35">
      <c r="A837">
        <v>1836</v>
      </c>
      <c r="B837" s="1">
        <v>45667</v>
      </c>
      <c r="C837" t="s">
        <v>21</v>
      </c>
      <c r="D837">
        <v>500</v>
      </c>
      <c r="E837">
        <v>200</v>
      </c>
    </row>
    <row r="838" spans="1:6" x14ac:dyDescent="0.35">
      <c r="A838">
        <v>1837</v>
      </c>
      <c r="B838" s="1">
        <v>45658</v>
      </c>
      <c r="C838" t="s">
        <v>21</v>
      </c>
      <c r="D838">
        <v>500</v>
      </c>
      <c r="E838">
        <v>200</v>
      </c>
    </row>
    <row r="839" spans="1:6" x14ac:dyDescent="0.35">
      <c r="A839">
        <v>1838</v>
      </c>
      <c r="B839" s="1">
        <v>45596</v>
      </c>
      <c r="C839" t="s">
        <v>18</v>
      </c>
      <c r="D839">
        <v>200</v>
      </c>
      <c r="E839">
        <v>100</v>
      </c>
    </row>
    <row r="840" spans="1:6" x14ac:dyDescent="0.35">
      <c r="A840">
        <v>1839</v>
      </c>
      <c r="B840" s="1">
        <v>45742</v>
      </c>
      <c r="C840" t="s">
        <v>75</v>
      </c>
      <c r="D840">
        <v>50</v>
      </c>
      <c r="E840">
        <v>30</v>
      </c>
    </row>
    <row r="841" spans="1:6" x14ac:dyDescent="0.35">
      <c r="A841">
        <v>1840</v>
      </c>
      <c r="B841" s="1">
        <v>45805</v>
      </c>
      <c r="C841" t="s">
        <v>75</v>
      </c>
      <c r="D841">
        <v>50</v>
      </c>
      <c r="E841">
        <v>30</v>
      </c>
    </row>
    <row r="842" spans="1:6" x14ac:dyDescent="0.35">
      <c r="A842">
        <v>1841</v>
      </c>
      <c r="B842" s="1">
        <v>45677</v>
      </c>
      <c r="C842" t="s">
        <v>21</v>
      </c>
      <c r="D842">
        <v>500</v>
      </c>
      <c r="E842">
        <v>200</v>
      </c>
    </row>
    <row r="843" spans="1:6" x14ac:dyDescent="0.35">
      <c r="A843">
        <v>1842</v>
      </c>
      <c r="B843" s="1">
        <v>45460</v>
      </c>
      <c r="C843" t="s">
        <v>75</v>
      </c>
      <c r="D843">
        <v>50</v>
      </c>
      <c r="E843">
        <v>30</v>
      </c>
    </row>
    <row r="844" spans="1:6" x14ac:dyDescent="0.35">
      <c r="A844">
        <v>1843</v>
      </c>
      <c r="B844" s="1">
        <v>45349</v>
      </c>
      <c r="C844" t="s">
        <v>18</v>
      </c>
      <c r="D844">
        <v>200</v>
      </c>
      <c r="E844">
        <v>100</v>
      </c>
    </row>
    <row r="845" spans="1:6" x14ac:dyDescent="0.35">
      <c r="A845">
        <v>1844</v>
      </c>
      <c r="B845" s="1">
        <v>45332</v>
      </c>
      <c r="C845" t="s">
        <v>75</v>
      </c>
      <c r="D845">
        <v>50</v>
      </c>
      <c r="E845">
        <v>30</v>
      </c>
      <c r="F845" s="1">
        <v>45728</v>
      </c>
    </row>
    <row r="846" spans="1:6" x14ac:dyDescent="0.35">
      <c r="A846">
        <v>1845</v>
      </c>
      <c r="B846" s="1">
        <v>45299</v>
      </c>
      <c r="C846" t="s">
        <v>75</v>
      </c>
      <c r="D846">
        <v>50</v>
      </c>
      <c r="E846">
        <v>30</v>
      </c>
    </row>
    <row r="847" spans="1:6" x14ac:dyDescent="0.35">
      <c r="A847">
        <v>1846</v>
      </c>
      <c r="B847" s="1">
        <v>45561</v>
      </c>
      <c r="C847" t="s">
        <v>21</v>
      </c>
      <c r="D847">
        <v>500</v>
      </c>
      <c r="E847">
        <v>200</v>
      </c>
    </row>
    <row r="848" spans="1:6" x14ac:dyDescent="0.35">
      <c r="A848">
        <v>1847</v>
      </c>
      <c r="B848" s="1">
        <v>45835</v>
      </c>
      <c r="C848" t="s">
        <v>21</v>
      </c>
      <c r="D848">
        <v>500</v>
      </c>
      <c r="E848">
        <v>200</v>
      </c>
    </row>
    <row r="849" spans="1:5" x14ac:dyDescent="0.35">
      <c r="A849">
        <v>1848</v>
      </c>
      <c r="B849" s="1">
        <v>45735</v>
      </c>
      <c r="C849" t="s">
        <v>75</v>
      </c>
      <c r="D849">
        <v>50</v>
      </c>
      <c r="E849">
        <v>30</v>
      </c>
    </row>
    <row r="850" spans="1:5" x14ac:dyDescent="0.35">
      <c r="A850">
        <v>1849</v>
      </c>
      <c r="B850" s="1">
        <v>45611</v>
      </c>
      <c r="C850" t="s">
        <v>75</v>
      </c>
      <c r="D850">
        <v>50</v>
      </c>
      <c r="E850">
        <v>30</v>
      </c>
    </row>
    <row r="851" spans="1:5" x14ac:dyDescent="0.35">
      <c r="A851">
        <v>1850</v>
      </c>
      <c r="B851" s="1">
        <v>45300</v>
      </c>
      <c r="C851" t="s">
        <v>18</v>
      </c>
      <c r="D851">
        <v>200</v>
      </c>
      <c r="E851">
        <v>100</v>
      </c>
    </row>
    <row r="852" spans="1:5" x14ac:dyDescent="0.35">
      <c r="A852">
        <v>1851</v>
      </c>
      <c r="B852" s="1">
        <v>45302</v>
      </c>
      <c r="C852" t="s">
        <v>18</v>
      </c>
      <c r="D852">
        <v>200</v>
      </c>
      <c r="E852">
        <v>100</v>
      </c>
    </row>
    <row r="853" spans="1:5" x14ac:dyDescent="0.35">
      <c r="A853">
        <v>1852</v>
      </c>
      <c r="B853" s="1">
        <v>45797</v>
      </c>
      <c r="C853" t="s">
        <v>21</v>
      </c>
      <c r="D853">
        <v>500</v>
      </c>
      <c r="E853">
        <v>200</v>
      </c>
    </row>
    <row r="854" spans="1:5" x14ac:dyDescent="0.35">
      <c r="A854">
        <v>1853</v>
      </c>
      <c r="B854" s="1">
        <v>45426</v>
      </c>
      <c r="C854" t="s">
        <v>18</v>
      </c>
      <c r="D854">
        <v>200</v>
      </c>
      <c r="E854">
        <v>100</v>
      </c>
    </row>
    <row r="855" spans="1:5" x14ac:dyDescent="0.35">
      <c r="A855">
        <v>1854</v>
      </c>
      <c r="B855" s="1">
        <v>45798</v>
      </c>
      <c r="C855" t="s">
        <v>18</v>
      </c>
      <c r="D855">
        <v>200</v>
      </c>
      <c r="E855">
        <v>100</v>
      </c>
    </row>
    <row r="856" spans="1:5" x14ac:dyDescent="0.35">
      <c r="A856">
        <v>1855</v>
      </c>
      <c r="B856" s="1">
        <v>45818</v>
      </c>
      <c r="C856" t="s">
        <v>18</v>
      </c>
      <c r="D856">
        <v>200</v>
      </c>
      <c r="E856">
        <v>100</v>
      </c>
    </row>
    <row r="857" spans="1:5" x14ac:dyDescent="0.35">
      <c r="A857">
        <v>1856</v>
      </c>
      <c r="B857" s="1">
        <v>45729</v>
      </c>
      <c r="C857" t="s">
        <v>75</v>
      </c>
      <c r="D857">
        <v>50</v>
      </c>
      <c r="E857">
        <v>30</v>
      </c>
    </row>
    <row r="858" spans="1:5" x14ac:dyDescent="0.35">
      <c r="A858">
        <v>1857</v>
      </c>
      <c r="B858" s="1">
        <v>45656</v>
      </c>
      <c r="C858" t="s">
        <v>18</v>
      </c>
      <c r="D858">
        <v>200</v>
      </c>
      <c r="E858">
        <v>100</v>
      </c>
    </row>
    <row r="859" spans="1:5" x14ac:dyDescent="0.35">
      <c r="A859">
        <v>1858</v>
      </c>
      <c r="B859" s="1">
        <v>45379</v>
      </c>
      <c r="C859" t="s">
        <v>18</v>
      </c>
      <c r="D859">
        <v>200</v>
      </c>
      <c r="E859">
        <v>100</v>
      </c>
    </row>
    <row r="860" spans="1:5" x14ac:dyDescent="0.35">
      <c r="A860">
        <v>1859</v>
      </c>
      <c r="B860" s="1">
        <v>45373</v>
      </c>
      <c r="C860" t="s">
        <v>18</v>
      </c>
      <c r="D860">
        <v>200</v>
      </c>
      <c r="E860">
        <v>100</v>
      </c>
    </row>
    <row r="861" spans="1:5" x14ac:dyDescent="0.35">
      <c r="A861">
        <v>1860</v>
      </c>
      <c r="B861" s="1">
        <v>45597</v>
      </c>
      <c r="C861" t="s">
        <v>75</v>
      </c>
      <c r="D861">
        <v>50</v>
      </c>
      <c r="E861">
        <v>30</v>
      </c>
    </row>
    <row r="862" spans="1:5" x14ac:dyDescent="0.35">
      <c r="A862">
        <v>1861</v>
      </c>
      <c r="B862" s="1">
        <v>45721</v>
      </c>
      <c r="C862" t="s">
        <v>18</v>
      </c>
      <c r="D862">
        <v>200</v>
      </c>
      <c r="E862">
        <v>100</v>
      </c>
    </row>
    <row r="863" spans="1:5" x14ac:dyDescent="0.35">
      <c r="A863">
        <v>1862</v>
      </c>
      <c r="B863" s="1">
        <v>45577</v>
      </c>
      <c r="C863" t="s">
        <v>21</v>
      </c>
      <c r="D863">
        <v>500</v>
      </c>
      <c r="E863">
        <v>200</v>
      </c>
    </row>
    <row r="864" spans="1:5" x14ac:dyDescent="0.35">
      <c r="A864">
        <v>1863</v>
      </c>
      <c r="B864" s="1">
        <v>45434</v>
      </c>
      <c r="C864" t="s">
        <v>75</v>
      </c>
      <c r="D864">
        <v>50</v>
      </c>
      <c r="E864">
        <v>30</v>
      </c>
    </row>
    <row r="865" spans="1:6" x14ac:dyDescent="0.35">
      <c r="A865">
        <v>1864</v>
      </c>
      <c r="B865" s="1">
        <v>45508</v>
      </c>
      <c r="C865" t="s">
        <v>18</v>
      </c>
      <c r="D865">
        <v>200</v>
      </c>
      <c r="E865">
        <v>100</v>
      </c>
    </row>
    <row r="866" spans="1:6" x14ac:dyDescent="0.35">
      <c r="A866">
        <v>1865</v>
      </c>
      <c r="B866" s="1">
        <v>45390</v>
      </c>
      <c r="C866" t="s">
        <v>18</v>
      </c>
      <c r="D866">
        <v>200</v>
      </c>
      <c r="E866">
        <v>100</v>
      </c>
    </row>
    <row r="867" spans="1:6" x14ac:dyDescent="0.35">
      <c r="A867">
        <v>1866</v>
      </c>
      <c r="B867" s="1">
        <v>45503</v>
      </c>
      <c r="C867" t="s">
        <v>18</v>
      </c>
      <c r="D867">
        <v>200</v>
      </c>
      <c r="E867">
        <v>100</v>
      </c>
    </row>
    <row r="868" spans="1:6" x14ac:dyDescent="0.35">
      <c r="A868">
        <v>1867</v>
      </c>
      <c r="B868" s="1">
        <v>45416</v>
      </c>
      <c r="C868" t="s">
        <v>18</v>
      </c>
      <c r="D868">
        <v>200</v>
      </c>
      <c r="E868">
        <v>100</v>
      </c>
    </row>
    <row r="869" spans="1:6" x14ac:dyDescent="0.35">
      <c r="A869">
        <v>1868</v>
      </c>
      <c r="B869" s="1">
        <v>45830</v>
      </c>
      <c r="C869" t="s">
        <v>18</v>
      </c>
      <c r="D869">
        <v>200</v>
      </c>
      <c r="E869">
        <v>100</v>
      </c>
    </row>
    <row r="870" spans="1:6" x14ac:dyDescent="0.35">
      <c r="A870">
        <v>1869</v>
      </c>
      <c r="B870" s="1">
        <v>45433</v>
      </c>
      <c r="C870" t="s">
        <v>75</v>
      </c>
      <c r="D870">
        <v>50</v>
      </c>
      <c r="E870">
        <v>30</v>
      </c>
    </row>
    <row r="871" spans="1:6" x14ac:dyDescent="0.35">
      <c r="A871">
        <v>1870</v>
      </c>
      <c r="B871" s="1">
        <v>45496</v>
      </c>
      <c r="C871" t="s">
        <v>18</v>
      </c>
      <c r="D871">
        <v>200</v>
      </c>
      <c r="E871">
        <v>100</v>
      </c>
    </row>
    <row r="872" spans="1:6" x14ac:dyDescent="0.35">
      <c r="A872">
        <v>1871</v>
      </c>
      <c r="B872" s="1">
        <v>45769</v>
      </c>
      <c r="C872" t="s">
        <v>18</v>
      </c>
      <c r="D872">
        <v>200</v>
      </c>
      <c r="E872">
        <v>100</v>
      </c>
    </row>
    <row r="873" spans="1:6" x14ac:dyDescent="0.35">
      <c r="A873">
        <v>1872</v>
      </c>
      <c r="B873" s="1">
        <v>45558</v>
      </c>
      <c r="C873" t="s">
        <v>75</v>
      </c>
      <c r="D873">
        <v>50</v>
      </c>
      <c r="E873">
        <v>30</v>
      </c>
    </row>
    <row r="874" spans="1:6" x14ac:dyDescent="0.35">
      <c r="A874">
        <v>1873</v>
      </c>
      <c r="B874" s="1">
        <v>45346</v>
      </c>
      <c r="C874" t="s">
        <v>75</v>
      </c>
      <c r="D874">
        <v>50</v>
      </c>
      <c r="E874">
        <v>30</v>
      </c>
    </row>
    <row r="875" spans="1:6" x14ac:dyDescent="0.35">
      <c r="A875">
        <v>1874</v>
      </c>
      <c r="B875" s="1">
        <v>45662</v>
      </c>
      <c r="C875" t="s">
        <v>75</v>
      </c>
      <c r="D875">
        <v>50</v>
      </c>
      <c r="E875">
        <v>30</v>
      </c>
    </row>
    <row r="876" spans="1:6" x14ac:dyDescent="0.35">
      <c r="A876">
        <v>1875</v>
      </c>
      <c r="B876" s="1">
        <v>45327</v>
      </c>
      <c r="C876" t="s">
        <v>18</v>
      </c>
      <c r="D876">
        <v>200</v>
      </c>
      <c r="E876">
        <v>100</v>
      </c>
    </row>
    <row r="877" spans="1:6" x14ac:dyDescent="0.35">
      <c r="A877">
        <v>1876</v>
      </c>
      <c r="B877" s="1">
        <v>45631</v>
      </c>
      <c r="C877" t="s">
        <v>75</v>
      </c>
      <c r="D877">
        <v>50</v>
      </c>
      <c r="E877">
        <v>30</v>
      </c>
      <c r="F877" s="1">
        <v>45790</v>
      </c>
    </row>
    <row r="878" spans="1:6" x14ac:dyDescent="0.35">
      <c r="A878">
        <v>1877</v>
      </c>
      <c r="B878" s="1">
        <v>45685</v>
      </c>
      <c r="C878" t="s">
        <v>18</v>
      </c>
      <c r="D878">
        <v>200</v>
      </c>
      <c r="E878">
        <v>100</v>
      </c>
    </row>
    <row r="879" spans="1:6" x14ac:dyDescent="0.35">
      <c r="A879">
        <v>1878</v>
      </c>
      <c r="B879" s="1">
        <v>45622</v>
      </c>
      <c r="C879" t="s">
        <v>18</v>
      </c>
      <c r="D879">
        <v>200</v>
      </c>
      <c r="E879">
        <v>100</v>
      </c>
    </row>
    <row r="880" spans="1:6" x14ac:dyDescent="0.35">
      <c r="A880">
        <v>1879</v>
      </c>
      <c r="B880" s="1">
        <v>45609</v>
      </c>
      <c r="C880" t="s">
        <v>75</v>
      </c>
      <c r="D880">
        <v>50</v>
      </c>
      <c r="E880">
        <v>30</v>
      </c>
    </row>
    <row r="881" spans="1:6" x14ac:dyDescent="0.35">
      <c r="A881">
        <v>1880</v>
      </c>
      <c r="B881" s="1">
        <v>45725</v>
      </c>
      <c r="C881" t="s">
        <v>18</v>
      </c>
      <c r="D881">
        <v>200</v>
      </c>
      <c r="E881">
        <v>100</v>
      </c>
    </row>
    <row r="882" spans="1:6" x14ac:dyDescent="0.35">
      <c r="A882">
        <v>1881</v>
      </c>
      <c r="B882" s="1">
        <v>45615</v>
      </c>
      <c r="C882" t="s">
        <v>75</v>
      </c>
      <c r="D882">
        <v>50</v>
      </c>
      <c r="E882">
        <v>30</v>
      </c>
    </row>
    <row r="883" spans="1:6" x14ac:dyDescent="0.35">
      <c r="A883">
        <v>1882</v>
      </c>
      <c r="B883" s="1">
        <v>45514</v>
      </c>
      <c r="C883" t="s">
        <v>21</v>
      </c>
      <c r="D883">
        <v>500</v>
      </c>
      <c r="E883">
        <v>200</v>
      </c>
    </row>
    <row r="884" spans="1:6" x14ac:dyDescent="0.35">
      <c r="A884">
        <v>1883</v>
      </c>
      <c r="B884" s="1">
        <v>45704</v>
      </c>
      <c r="C884" t="s">
        <v>75</v>
      </c>
      <c r="D884">
        <v>50</v>
      </c>
      <c r="E884">
        <v>30</v>
      </c>
      <c r="F884" s="1">
        <v>45754</v>
      </c>
    </row>
    <row r="885" spans="1:6" x14ac:dyDescent="0.35">
      <c r="A885">
        <v>1884</v>
      </c>
      <c r="B885" s="1">
        <v>45646</v>
      </c>
      <c r="C885" t="s">
        <v>18</v>
      </c>
      <c r="D885">
        <v>200</v>
      </c>
      <c r="E885">
        <v>100</v>
      </c>
    </row>
    <row r="886" spans="1:6" x14ac:dyDescent="0.35">
      <c r="A886">
        <v>1885</v>
      </c>
      <c r="B886" s="1">
        <v>45469</v>
      </c>
      <c r="C886" t="s">
        <v>18</v>
      </c>
      <c r="D886">
        <v>200</v>
      </c>
      <c r="E886">
        <v>100</v>
      </c>
    </row>
    <row r="887" spans="1:6" x14ac:dyDescent="0.35">
      <c r="A887">
        <v>1886</v>
      </c>
      <c r="B887" s="1">
        <v>45687</v>
      </c>
      <c r="C887" t="s">
        <v>75</v>
      </c>
      <c r="D887">
        <v>50</v>
      </c>
      <c r="E887">
        <v>30</v>
      </c>
    </row>
    <row r="888" spans="1:6" x14ac:dyDescent="0.35">
      <c r="A888">
        <v>1887</v>
      </c>
      <c r="B888" s="1">
        <v>45463</v>
      </c>
      <c r="C888" t="s">
        <v>75</v>
      </c>
      <c r="D888">
        <v>50</v>
      </c>
      <c r="E888">
        <v>30</v>
      </c>
    </row>
    <row r="889" spans="1:6" x14ac:dyDescent="0.35">
      <c r="A889">
        <v>1888</v>
      </c>
      <c r="B889" s="1">
        <v>45658</v>
      </c>
      <c r="C889" t="s">
        <v>18</v>
      </c>
      <c r="D889">
        <v>200</v>
      </c>
      <c r="E889">
        <v>100</v>
      </c>
    </row>
    <row r="890" spans="1:6" x14ac:dyDescent="0.35">
      <c r="A890">
        <v>1889</v>
      </c>
      <c r="B890" s="1">
        <v>45306</v>
      </c>
      <c r="C890" t="s">
        <v>75</v>
      </c>
      <c r="D890">
        <v>50</v>
      </c>
      <c r="E890">
        <v>30</v>
      </c>
      <c r="F890" s="1">
        <v>45594</v>
      </c>
    </row>
    <row r="891" spans="1:6" x14ac:dyDescent="0.35">
      <c r="A891">
        <v>1890</v>
      </c>
      <c r="B891" s="1">
        <v>45620</v>
      </c>
      <c r="C891" t="s">
        <v>18</v>
      </c>
      <c r="D891">
        <v>200</v>
      </c>
      <c r="E891">
        <v>100</v>
      </c>
    </row>
    <row r="892" spans="1:6" x14ac:dyDescent="0.35">
      <c r="A892">
        <v>1891</v>
      </c>
      <c r="B892" s="1">
        <v>45746</v>
      </c>
      <c r="C892" t="s">
        <v>75</v>
      </c>
      <c r="D892">
        <v>50</v>
      </c>
      <c r="E892">
        <v>30</v>
      </c>
    </row>
    <row r="893" spans="1:6" x14ac:dyDescent="0.35">
      <c r="A893">
        <v>1892</v>
      </c>
      <c r="B893" s="1">
        <v>45819</v>
      </c>
      <c r="C893" t="s">
        <v>75</v>
      </c>
      <c r="D893">
        <v>50</v>
      </c>
      <c r="E893">
        <v>30</v>
      </c>
    </row>
    <row r="894" spans="1:6" x14ac:dyDescent="0.35">
      <c r="A894">
        <v>1893</v>
      </c>
      <c r="B894" s="1">
        <v>45498</v>
      </c>
      <c r="C894" t="s">
        <v>75</v>
      </c>
      <c r="D894">
        <v>50</v>
      </c>
      <c r="E894">
        <v>30</v>
      </c>
    </row>
    <row r="895" spans="1:6" x14ac:dyDescent="0.35">
      <c r="A895">
        <v>1894</v>
      </c>
      <c r="B895" s="1">
        <v>45548</v>
      </c>
      <c r="C895" t="s">
        <v>75</v>
      </c>
      <c r="D895">
        <v>50</v>
      </c>
      <c r="E895">
        <v>30</v>
      </c>
    </row>
    <row r="896" spans="1:6" x14ac:dyDescent="0.35">
      <c r="A896">
        <v>1895</v>
      </c>
      <c r="B896" s="1">
        <v>45589</v>
      </c>
      <c r="C896" t="s">
        <v>18</v>
      </c>
      <c r="D896">
        <v>200</v>
      </c>
      <c r="E896">
        <v>100</v>
      </c>
    </row>
    <row r="897" spans="1:6" x14ac:dyDescent="0.35">
      <c r="A897">
        <v>1896</v>
      </c>
      <c r="B897" s="1">
        <v>45717</v>
      </c>
      <c r="C897" t="s">
        <v>75</v>
      </c>
      <c r="D897">
        <v>50</v>
      </c>
      <c r="E897">
        <v>30</v>
      </c>
      <c r="F897" s="1">
        <v>45815</v>
      </c>
    </row>
    <row r="898" spans="1:6" x14ac:dyDescent="0.35">
      <c r="A898">
        <v>1897</v>
      </c>
      <c r="B898" s="1">
        <v>45518</v>
      </c>
      <c r="C898" t="s">
        <v>75</v>
      </c>
      <c r="D898">
        <v>50</v>
      </c>
      <c r="E898">
        <v>30</v>
      </c>
    </row>
    <row r="899" spans="1:6" x14ac:dyDescent="0.35">
      <c r="A899">
        <v>1898</v>
      </c>
      <c r="B899" s="1">
        <v>45661</v>
      </c>
      <c r="C899" t="s">
        <v>75</v>
      </c>
      <c r="D899">
        <v>50</v>
      </c>
      <c r="E899">
        <v>30</v>
      </c>
    </row>
    <row r="900" spans="1:6" x14ac:dyDescent="0.35">
      <c r="A900">
        <v>1899</v>
      </c>
      <c r="B900" s="1">
        <v>45320</v>
      </c>
      <c r="C900" t="s">
        <v>18</v>
      </c>
      <c r="D900">
        <v>200</v>
      </c>
      <c r="E900">
        <v>100</v>
      </c>
      <c r="F900" s="1">
        <v>45681</v>
      </c>
    </row>
    <row r="901" spans="1:6" x14ac:dyDescent="0.35">
      <c r="A901">
        <v>1900</v>
      </c>
      <c r="B901" s="1">
        <v>45729</v>
      </c>
      <c r="C901" t="s">
        <v>75</v>
      </c>
      <c r="D901">
        <v>50</v>
      </c>
      <c r="E901">
        <v>30</v>
      </c>
      <c r="F901" s="1">
        <v>45782</v>
      </c>
    </row>
    <row r="902" spans="1:6" x14ac:dyDescent="0.35">
      <c r="A902">
        <v>1901</v>
      </c>
      <c r="B902" s="1">
        <v>45733</v>
      </c>
      <c r="C902" t="s">
        <v>21</v>
      </c>
      <c r="D902">
        <v>500</v>
      </c>
      <c r="E902">
        <v>200</v>
      </c>
    </row>
    <row r="903" spans="1:6" x14ac:dyDescent="0.35">
      <c r="A903">
        <v>1902</v>
      </c>
      <c r="B903" s="1">
        <v>45493</v>
      </c>
      <c r="C903" t="s">
        <v>21</v>
      </c>
      <c r="D903">
        <v>500</v>
      </c>
      <c r="E903">
        <v>200</v>
      </c>
    </row>
    <row r="904" spans="1:6" x14ac:dyDescent="0.35">
      <c r="A904">
        <v>1903</v>
      </c>
      <c r="B904" s="1">
        <v>45495</v>
      </c>
      <c r="C904" t="s">
        <v>75</v>
      </c>
      <c r="D904">
        <v>50</v>
      </c>
      <c r="E904">
        <v>30</v>
      </c>
    </row>
    <row r="905" spans="1:6" x14ac:dyDescent="0.35">
      <c r="A905">
        <v>1904</v>
      </c>
      <c r="B905" s="1">
        <v>45503</v>
      </c>
      <c r="C905" t="s">
        <v>75</v>
      </c>
      <c r="D905">
        <v>50</v>
      </c>
      <c r="E905">
        <v>30</v>
      </c>
    </row>
    <row r="906" spans="1:6" x14ac:dyDescent="0.35">
      <c r="A906">
        <v>1905</v>
      </c>
      <c r="B906" s="1">
        <v>45602</v>
      </c>
      <c r="C906" t="s">
        <v>21</v>
      </c>
      <c r="D906">
        <v>500</v>
      </c>
      <c r="E906">
        <v>200</v>
      </c>
    </row>
    <row r="907" spans="1:6" x14ac:dyDescent="0.35">
      <c r="A907">
        <v>1906</v>
      </c>
      <c r="B907" s="1">
        <v>45541</v>
      </c>
      <c r="C907" t="s">
        <v>21</v>
      </c>
      <c r="D907">
        <v>500</v>
      </c>
      <c r="E907">
        <v>200</v>
      </c>
    </row>
    <row r="908" spans="1:6" x14ac:dyDescent="0.35">
      <c r="A908">
        <v>1907</v>
      </c>
      <c r="B908" s="1">
        <v>45622</v>
      </c>
      <c r="C908" t="s">
        <v>75</v>
      </c>
      <c r="D908">
        <v>50</v>
      </c>
      <c r="E908">
        <v>30</v>
      </c>
    </row>
    <row r="909" spans="1:6" x14ac:dyDescent="0.35">
      <c r="A909">
        <v>1908</v>
      </c>
      <c r="B909" s="1">
        <v>45837</v>
      </c>
      <c r="C909" t="s">
        <v>21</v>
      </c>
      <c r="D909">
        <v>500</v>
      </c>
      <c r="E909">
        <v>200</v>
      </c>
    </row>
    <row r="910" spans="1:6" x14ac:dyDescent="0.35">
      <c r="A910">
        <v>1909</v>
      </c>
      <c r="B910" s="1">
        <v>45572</v>
      </c>
      <c r="C910" t="s">
        <v>18</v>
      </c>
      <c r="D910">
        <v>200</v>
      </c>
      <c r="E910">
        <v>100</v>
      </c>
    </row>
    <row r="911" spans="1:6" x14ac:dyDescent="0.35">
      <c r="A911">
        <v>1910</v>
      </c>
      <c r="B911" s="1">
        <v>45367</v>
      </c>
      <c r="C911" t="s">
        <v>18</v>
      </c>
      <c r="D911">
        <v>200</v>
      </c>
      <c r="E911">
        <v>100</v>
      </c>
    </row>
    <row r="912" spans="1:6" x14ac:dyDescent="0.35">
      <c r="A912">
        <v>1911</v>
      </c>
      <c r="B912" s="1">
        <v>45611</v>
      </c>
      <c r="C912" t="s">
        <v>18</v>
      </c>
      <c r="D912">
        <v>200</v>
      </c>
      <c r="E912">
        <v>100</v>
      </c>
    </row>
    <row r="913" spans="1:6" x14ac:dyDescent="0.35">
      <c r="A913">
        <v>1912</v>
      </c>
      <c r="B913" s="1">
        <v>45555</v>
      </c>
      <c r="C913" t="s">
        <v>75</v>
      </c>
      <c r="D913">
        <v>50</v>
      </c>
      <c r="E913">
        <v>30</v>
      </c>
    </row>
    <row r="914" spans="1:6" x14ac:dyDescent="0.35">
      <c r="A914">
        <v>1913</v>
      </c>
      <c r="B914" s="1">
        <v>45375</v>
      </c>
      <c r="C914" t="s">
        <v>21</v>
      </c>
      <c r="D914">
        <v>500</v>
      </c>
      <c r="E914">
        <v>200</v>
      </c>
    </row>
    <row r="915" spans="1:6" x14ac:dyDescent="0.35">
      <c r="A915">
        <v>1914</v>
      </c>
      <c r="B915" s="1">
        <v>45808</v>
      </c>
      <c r="C915" t="s">
        <v>21</v>
      </c>
      <c r="D915">
        <v>500</v>
      </c>
      <c r="E915">
        <v>200</v>
      </c>
    </row>
    <row r="916" spans="1:6" x14ac:dyDescent="0.35">
      <c r="A916">
        <v>1915</v>
      </c>
      <c r="B916" s="1">
        <v>45623</v>
      </c>
      <c r="C916" t="s">
        <v>18</v>
      </c>
      <c r="D916">
        <v>200</v>
      </c>
      <c r="E916">
        <v>100</v>
      </c>
    </row>
    <row r="917" spans="1:6" x14ac:dyDescent="0.35">
      <c r="A917">
        <v>1916</v>
      </c>
      <c r="B917" s="1">
        <v>45592</v>
      </c>
      <c r="C917" t="s">
        <v>75</v>
      </c>
      <c r="D917">
        <v>50</v>
      </c>
      <c r="E917">
        <v>30</v>
      </c>
    </row>
    <row r="918" spans="1:6" x14ac:dyDescent="0.35">
      <c r="A918">
        <v>1917</v>
      </c>
      <c r="B918" s="1">
        <v>45697</v>
      </c>
      <c r="C918" t="s">
        <v>75</v>
      </c>
      <c r="D918">
        <v>50</v>
      </c>
      <c r="E918">
        <v>30</v>
      </c>
    </row>
    <row r="919" spans="1:6" x14ac:dyDescent="0.35">
      <c r="A919">
        <v>1918</v>
      </c>
      <c r="B919" s="1">
        <v>45465</v>
      </c>
      <c r="C919" t="s">
        <v>18</v>
      </c>
      <c r="D919">
        <v>200</v>
      </c>
      <c r="E919">
        <v>100</v>
      </c>
      <c r="F919" s="1">
        <v>45639</v>
      </c>
    </row>
    <row r="920" spans="1:6" x14ac:dyDescent="0.35">
      <c r="A920">
        <v>1919</v>
      </c>
      <c r="B920" s="1">
        <v>45360</v>
      </c>
      <c r="C920" t="s">
        <v>75</v>
      </c>
      <c r="D920">
        <v>50</v>
      </c>
      <c r="E920">
        <v>30</v>
      </c>
    </row>
    <row r="921" spans="1:6" x14ac:dyDescent="0.35">
      <c r="A921">
        <v>1920</v>
      </c>
      <c r="B921" s="1">
        <v>45393</v>
      </c>
      <c r="C921" t="s">
        <v>18</v>
      </c>
      <c r="D921">
        <v>200</v>
      </c>
      <c r="E921">
        <v>100</v>
      </c>
    </row>
    <row r="922" spans="1:6" x14ac:dyDescent="0.35">
      <c r="A922">
        <v>1921</v>
      </c>
      <c r="B922" s="1">
        <v>45594</v>
      </c>
      <c r="C922" t="s">
        <v>21</v>
      </c>
      <c r="D922">
        <v>500</v>
      </c>
      <c r="E922">
        <v>200</v>
      </c>
    </row>
    <row r="923" spans="1:6" x14ac:dyDescent="0.35">
      <c r="A923">
        <v>1922</v>
      </c>
      <c r="B923" s="1">
        <v>45428</v>
      </c>
      <c r="C923" t="s">
        <v>21</v>
      </c>
      <c r="D923">
        <v>500</v>
      </c>
      <c r="E923">
        <v>200</v>
      </c>
    </row>
    <row r="924" spans="1:6" x14ac:dyDescent="0.35">
      <c r="A924">
        <v>1923</v>
      </c>
      <c r="B924" s="1">
        <v>45831</v>
      </c>
      <c r="C924" t="s">
        <v>75</v>
      </c>
      <c r="D924">
        <v>50</v>
      </c>
      <c r="E924">
        <v>30</v>
      </c>
    </row>
    <row r="925" spans="1:6" x14ac:dyDescent="0.35">
      <c r="A925">
        <v>1924</v>
      </c>
      <c r="B925" s="1">
        <v>45591</v>
      </c>
      <c r="C925" t="s">
        <v>75</v>
      </c>
      <c r="D925">
        <v>50</v>
      </c>
      <c r="E925">
        <v>30</v>
      </c>
      <c r="F925" s="1">
        <v>45828</v>
      </c>
    </row>
    <row r="926" spans="1:6" x14ac:dyDescent="0.35">
      <c r="A926">
        <v>1925</v>
      </c>
      <c r="B926" s="1">
        <v>45352</v>
      </c>
      <c r="C926" t="s">
        <v>75</v>
      </c>
      <c r="D926">
        <v>50</v>
      </c>
      <c r="E926">
        <v>30</v>
      </c>
    </row>
    <row r="927" spans="1:6" x14ac:dyDescent="0.35">
      <c r="A927">
        <v>1926</v>
      </c>
      <c r="B927" s="1">
        <v>45298</v>
      </c>
      <c r="C927" t="s">
        <v>21</v>
      </c>
      <c r="D927">
        <v>500</v>
      </c>
      <c r="E927">
        <v>200</v>
      </c>
    </row>
    <row r="928" spans="1:6" x14ac:dyDescent="0.35">
      <c r="A928">
        <v>1927</v>
      </c>
      <c r="B928" s="1">
        <v>45440</v>
      </c>
      <c r="C928" t="s">
        <v>18</v>
      </c>
      <c r="D928">
        <v>200</v>
      </c>
      <c r="E928">
        <v>100</v>
      </c>
    </row>
    <row r="929" spans="1:6" x14ac:dyDescent="0.35">
      <c r="A929">
        <v>1928</v>
      </c>
      <c r="B929" s="1">
        <v>45723</v>
      </c>
      <c r="C929" t="s">
        <v>75</v>
      </c>
      <c r="D929">
        <v>50</v>
      </c>
      <c r="E929">
        <v>30</v>
      </c>
    </row>
    <row r="930" spans="1:6" x14ac:dyDescent="0.35">
      <c r="A930">
        <v>1929</v>
      </c>
      <c r="B930" s="1">
        <v>45548</v>
      </c>
      <c r="C930" t="s">
        <v>21</v>
      </c>
      <c r="D930">
        <v>500</v>
      </c>
      <c r="E930">
        <v>200</v>
      </c>
      <c r="F930" s="1">
        <v>45614</v>
      </c>
    </row>
    <row r="931" spans="1:6" x14ac:dyDescent="0.35">
      <c r="A931">
        <v>1930</v>
      </c>
      <c r="B931" s="1">
        <v>45599</v>
      </c>
      <c r="C931" t="s">
        <v>75</v>
      </c>
      <c r="D931">
        <v>50</v>
      </c>
      <c r="E931">
        <v>30</v>
      </c>
    </row>
    <row r="932" spans="1:6" x14ac:dyDescent="0.35">
      <c r="A932">
        <v>1931</v>
      </c>
      <c r="B932" s="1">
        <v>45593</v>
      </c>
      <c r="C932" t="s">
        <v>75</v>
      </c>
      <c r="D932">
        <v>50</v>
      </c>
      <c r="E932">
        <v>30</v>
      </c>
    </row>
    <row r="933" spans="1:6" x14ac:dyDescent="0.35">
      <c r="A933">
        <v>1932</v>
      </c>
      <c r="B933" s="1">
        <v>45314</v>
      </c>
      <c r="C933" t="s">
        <v>18</v>
      </c>
      <c r="D933">
        <v>200</v>
      </c>
      <c r="E933">
        <v>100</v>
      </c>
    </row>
    <row r="934" spans="1:6" x14ac:dyDescent="0.35">
      <c r="A934">
        <v>1933</v>
      </c>
      <c r="B934" s="1">
        <v>45595</v>
      </c>
      <c r="C934" t="s">
        <v>75</v>
      </c>
      <c r="D934">
        <v>50</v>
      </c>
      <c r="E934">
        <v>30</v>
      </c>
    </row>
    <row r="935" spans="1:6" x14ac:dyDescent="0.35">
      <c r="A935">
        <v>1934</v>
      </c>
      <c r="B935" s="1">
        <v>45715</v>
      </c>
      <c r="C935" t="s">
        <v>18</v>
      </c>
      <c r="D935">
        <v>200</v>
      </c>
      <c r="E935">
        <v>100</v>
      </c>
    </row>
    <row r="936" spans="1:6" x14ac:dyDescent="0.35">
      <c r="A936">
        <v>1935</v>
      </c>
      <c r="B936" s="1">
        <v>45370</v>
      </c>
      <c r="C936" t="s">
        <v>18</v>
      </c>
      <c r="D936">
        <v>200</v>
      </c>
      <c r="E936">
        <v>100</v>
      </c>
    </row>
    <row r="937" spans="1:6" x14ac:dyDescent="0.35">
      <c r="A937">
        <v>1936</v>
      </c>
      <c r="B937" s="1">
        <v>45670</v>
      </c>
      <c r="C937" t="s">
        <v>75</v>
      </c>
      <c r="D937">
        <v>50</v>
      </c>
      <c r="E937">
        <v>30</v>
      </c>
    </row>
    <row r="938" spans="1:6" x14ac:dyDescent="0.35">
      <c r="A938">
        <v>1937</v>
      </c>
      <c r="B938" s="1">
        <v>45521</v>
      </c>
      <c r="C938" t="s">
        <v>21</v>
      </c>
      <c r="D938">
        <v>500</v>
      </c>
      <c r="E938">
        <v>200</v>
      </c>
    </row>
    <row r="939" spans="1:6" x14ac:dyDescent="0.35">
      <c r="A939">
        <v>1938</v>
      </c>
      <c r="B939" s="1">
        <v>45421</v>
      </c>
      <c r="C939" t="s">
        <v>75</v>
      </c>
      <c r="D939">
        <v>50</v>
      </c>
      <c r="E939">
        <v>30</v>
      </c>
    </row>
    <row r="940" spans="1:6" x14ac:dyDescent="0.35">
      <c r="A940">
        <v>1939</v>
      </c>
      <c r="B940" s="1">
        <v>45313</v>
      </c>
      <c r="C940" t="s">
        <v>75</v>
      </c>
      <c r="D940">
        <v>50</v>
      </c>
      <c r="E940">
        <v>30</v>
      </c>
    </row>
    <row r="941" spans="1:6" x14ac:dyDescent="0.35">
      <c r="A941">
        <v>1940</v>
      </c>
      <c r="B941" s="1">
        <v>45440</v>
      </c>
      <c r="C941" t="s">
        <v>75</v>
      </c>
      <c r="D941">
        <v>50</v>
      </c>
      <c r="E941">
        <v>30</v>
      </c>
    </row>
    <row r="942" spans="1:6" x14ac:dyDescent="0.35">
      <c r="A942">
        <v>1941</v>
      </c>
      <c r="B942" s="1">
        <v>45739</v>
      </c>
      <c r="C942" t="s">
        <v>75</v>
      </c>
      <c r="D942">
        <v>50</v>
      </c>
      <c r="E942">
        <v>30</v>
      </c>
    </row>
    <row r="943" spans="1:6" x14ac:dyDescent="0.35">
      <c r="A943">
        <v>1942</v>
      </c>
      <c r="B943" s="1">
        <v>45829</v>
      </c>
      <c r="C943" t="s">
        <v>75</v>
      </c>
      <c r="D943">
        <v>50</v>
      </c>
      <c r="E943">
        <v>30</v>
      </c>
    </row>
    <row r="944" spans="1:6" x14ac:dyDescent="0.35">
      <c r="A944">
        <v>1943</v>
      </c>
      <c r="B944" s="1">
        <v>45733</v>
      </c>
      <c r="C944" t="s">
        <v>18</v>
      </c>
      <c r="D944">
        <v>200</v>
      </c>
      <c r="E944">
        <v>100</v>
      </c>
    </row>
    <row r="945" spans="1:6" x14ac:dyDescent="0.35">
      <c r="A945">
        <v>1944</v>
      </c>
      <c r="B945" s="1">
        <v>45535</v>
      </c>
      <c r="C945" t="s">
        <v>21</v>
      </c>
      <c r="D945">
        <v>500</v>
      </c>
      <c r="E945">
        <v>200</v>
      </c>
    </row>
    <row r="946" spans="1:6" x14ac:dyDescent="0.35">
      <c r="A946">
        <v>1945</v>
      </c>
      <c r="B946" s="1">
        <v>45752</v>
      </c>
      <c r="C946" t="s">
        <v>18</v>
      </c>
      <c r="D946">
        <v>200</v>
      </c>
      <c r="E946">
        <v>100</v>
      </c>
    </row>
    <row r="947" spans="1:6" x14ac:dyDescent="0.35">
      <c r="A947">
        <v>1946</v>
      </c>
      <c r="B947" s="1">
        <v>45833</v>
      </c>
      <c r="C947" t="s">
        <v>18</v>
      </c>
      <c r="D947">
        <v>200</v>
      </c>
      <c r="E947">
        <v>100</v>
      </c>
    </row>
    <row r="948" spans="1:6" x14ac:dyDescent="0.35">
      <c r="A948">
        <v>1947</v>
      </c>
      <c r="B948" s="1">
        <v>45409</v>
      </c>
      <c r="C948" t="s">
        <v>75</v>
      </c>
      <c r="D948">
        <v>50</v>
      </c>
      <c r="E948">
        <v>30</v>
      </c>
    </row>
    <row r="949" spans="1:6" x14ac:dyDescent="0.35">
      <c r="A949">
        <v>1948</v>
      </c>
      <c r="B949" s="1">
        <v>45642</v>
      </c>
      <c r="C949" t="s">
        <v>75</v>
      </c>
      <c r="D949">
        <v>50</v>
      </c>
      <c r="E949">
        <v>30</v>
      </c>
    </row>
    <row r="950" spans="1:6" x14ac:dyDescent="0.35">
      <c r="A950">
        <v>1949</v>
      </c>
      <c r="B950" s="1">
        <v>45457</v>
      </c>
      <c r="C950" t="s">
        <v>18</v>
      </c>
      <c r="D950">
        <v>200</v>
      </c>
      <c r="E950">
        <v>100</v>
      </c>
    </row>
    <row r="951" spans="1:6" x14ac:dyDescent="0.35">
      <c r="A951">
        <v>1950</v>
      </c>
      <c r="B951" s="1">
        <v>45396</v>
      </c>
      <c r="C951" t="s">
        <v>18</v>
      </c>
      <c r="D951">
        <v>200</v>
      </c>
      <c r="E951">
        <v>100</v>
      </c>
    </row>
    <row r="952" spans="1:6" x14ac:dyDescent="0.35">
      <c r="A952">
        <v>1951</v>
      </c>
      <c r="B952" s="1">
        <v>45425</v>
      </c>
      <c r="C952" t="s">
        <v>75</v>
      </c>
      <c r="D952">
        <v>50</v>
      </c>
      <c r="E952">
        <v>30</v>
      </c>
      <c r="F952" s="1">
        <v>45598</v>
      </c>
    </row>
    <row r="953" spans="1:6" x14ac:dyDescent="0.35">
      <c r="A953">
        <v>1952</v>
      </c>
      <c r="B953" s="1">
        <v>45397</v>
      </c>
      <c r="C953" t="s">
        <v>18</v>
      </c>
      <c r="D953">
        <v>200</v>
      </c>
      <c r="E953">
        <v>100</v>
      </c>
    </row>
    <row r="954" spans="1:6" x14ac:dyDescent="0.35">
      <c r="A954">
        <v>1953</v>
      </c>
      <c r="B954" s="1">
        <v>45828</v>
      </c>
      <c r="C954" t="s">
        <v>75</v>
      </c>
      <c r="D954">
        <v>50</v>
      </c>
      <c r="E954">
        <v>30</v>
      </c>
      <c r="F954" s="1">
        <v>45838</v>
      </c>
    </row>
    <row r="955" spans="1:6" x14ac:dyDescent="0.35">
      <c r="A955">
        <v>1954</v>
      </c>
      <c r="B955" s="1">
        <v>45581</v>
      </c>
      <c r="C955" t="s">
        <v>21</v>
      </c>
      <c r="D955">
        <v>500</v>
      </c>
      <c r="E955">
        <v>200</v>
      </c>
    </row>
    <row r="956" spans="1:6" x14ac:dyDescent="0.35">
      <c r="A956">
        <v>1955</v>
      </c>
      <c r="B956" s="1">
        <v>45669</v>
      </c>
      <c r="C956" t="s">
        <v>18</v>
      </c>
      <c r="D956">
        <v>200</v>
      </c>
      <c r="E956">
        <v>100</v>
      </c>
    </row>
    <row r="957" spans="1:6" x14ac:dyDescent="0.35">
      <c r="A957">
        <v>1956</v>
      </c>
      <c r="B957" s="1">
        <v>45788</v>
      </c>
      <c r="C957" t="s">
        <v>75</v>
      </c>
      <c r="D957">
        <v>50</v>
      </c>
      <c r="E957">
        <v>30</v>
      </c>
    </row>
    <row r="958" spans="1:6" x14ac:dyDescent="0.35">
      <c r="A958">
        <v>1957</v>
      </c>
      <c r="B958" s="1">
        <v>45760</v>
      </c>
      <c r="C958" t="s">
        <v>18</v>
      </c>
      <c r="D958">
        <v>200</v>
      </c>
      <c r="E958">
        <v>100</v>
      </c>
    </row>
    <row r="959" spans="1:6" x14ac:dyDescent="0.35">
      <c r="A959">
        <v>1958</v>
      </c>
      <c r="B959" s="1">
        <v>45373</v>
      </c>
      <c r="C959" t="s">
        <v>21</v>
      </c>
      <c r="D959">
        <v>500</v>
      </c>
      <c r="E959">
        <v>200</v>
      </c>
    </row>
    <row r="960" spans="1:6" x14ac:dyDescent="0.35">
      <c r="A960">
        <v>1959</v>
      </c>
      <c r="B960" s="1">
        <v>45487</v>
      </c>
      <c r="C960" t="s">
        <v>75</v>
      </c>
      <c r="D960">
        <v>50</v>
      </c>
      <c r="E960">
        <v>30</v>
      </c>
    </row>
    <row r="961" spans="1:6" x14ac:dyDescent="0.35">
      <c r="A961">
        <v>1960</v>
      </c>
      <c r="B961" s="1">
        <v>45306</v>
      </c>
      <c r="C961" t="s">
        <v>21</v>
      </c>
      <c r="D961">
        <v>500</v>
      </c>
      <c r="E961">
        <v>200</v>
      </c>
    </row>
    <row r="962" spans="1:6" x14ac:dyDescent="0.35">
      <c r="A962">
        <v>1961</v>
      </c>
      <c r="B962" s="1">
        <v>45623</v>
      </c>
      <c r="C962" t="s">
        <v>18</v>
      </c>
      <c r="D962">
        <v>200</v>
      </c>
      <c r="E962">
        <v>100</v>
      </c>
    </row>
    <row r="963" spans="1:6" x14ac:dyDescent="0.35">
      <c r="A963">
        <v>1962</v>
      </c>
      <c r="B963" s="1">
        <v>45296</v>
      </c>
      <c r="C963" t="s">
        <v>18</v>
      </c>
      <c r="D963">
        <v>200</v>
      </c>
      <c r="E963">
        <v>100</v>
      </c>
    </row>
    <row r="964" spans="1:6" x14ac:dyDescent="0.35">
      <c r="A964">
        <v>1963</v>
      </c>
      <c r="B964" s="1">
        <v>45449</v>
      </c>
      <c r="C964" t="s">
        <v>21</v>
      </c>
      <c r="D964">
        <v>500</v>
      </c>
      <c r="E964">
        <v>200</v>
      </c>
    </row>
    <row r="965" spans="1:6" x14ac:dyDescent="0.35">
      <c r="A965">
        <v>1964</v>
      </c>
      <c r="B965" s="1">
        <v>45798</v>
      </c>
      <c r="C965" t="s">
        <v>21</v>
      </c>
      <c r="D965">
        <v>500</v>
      </c>
      <c r="E965">
        <v>200</v>
      </c>
    </row>
    <row r="966" spans="1:6" x14ac:dyDescent="0.35">
      <c r="A966">
        <v>1965</v>
      </c>
      <c r="B966" s="1">
        <v>45315</v>
      </c>
      <c r="C966" t="s">
        <v>75</v>
      </c>
      <c r="D966">
        <v>50</v>
      </c>
      <c r="E966">
        <v>30</v>
      </c>
      <c r="F966" s="1">
        <v>45823</v>
      </c>
    </row>
    <row r="967" spans="1:6" x14ac:dyDescent="0.35">
      <c r="A967">
        <v>1966</v>
      </c>
      <c r="B967" s="1">
        <v>45313</v>
      </c>
      <c r="C967" t="s">
        <v>18</v>
      </c>
      <c r="D967">
        <v>200</v>
      </c>
      <c r="E967">
        <v>100</v>
      </c>
    </row>
    <row r="968" spans="1:6" x14ac:dyDescent="0.35">
      <c r="A968">
        <v>1967</v>
      </c>
      <c r="B968" s="1">
        <v>45637</v>
      </c>
      <c r="C968" t="s">
        <v>18</v>
      </c>
      <c r="D968">
        <v>200</v>
      </c>
      <c r="E968">
        <v>100</v>
      </c>
    </row>
    <row r="969" spans="1:6" x14ac:dyDescent="0.35">
      <c r="A969">
        <v>1968</v>
      </c>
      <c r="B969" s="1">
        <v>45703</v>
      </c>
      <c r="C969" t="s">
        <v>21</v>
      </c>
      <c r="D969">
        <v>500</v>
      </c>
      <c r="E969">
        <v>200</v>
      </c>
    </row>
    <row r="970" spans="1:6" x14ac:dyDescent="0.35">
      <c r="A970">
        <v>1969</v>
      </c>
      <c r="B970" s="1">
        <v>45731</v>
      </c>
      <c r="C970" t="s">
        <v>75</v>
      </c>
      <c r="D970">
        <v>50</v>
      </c>
      <c r="E970">
        <v>30</v>
      </c>
    </row>
    <row r="971" spans="1:6" x14ac:dyDescent="0.35">
      <c r="A971">
        <v>1970</v>
      </c>
      <c r="B971" s="1">
        <v>45636</v>
      </c>
      <c r="C971" t="s">
        <v>18</v>
      </c>
      <c r="D971">
        <v>200</v>
      </c>
      <c r="E971">
        <v>100</v>
      </c>
      <c r="F971" s="1">
        <v>45829</v>
      </c>
    </row>
    <row r="972" spans="1:6" x14ac:dyDescent="0.35">
      <c r="A972">
        <v>1971</v>
      </c>
      <c r="B972" s="1">
        <v>45752</v>
      </c>
      <c r="C972" t="s">
        <v>21</v>
      </c>
      <c r="D972">
        <v>500</v>
      </c>
      <c r="E972">
        <v>200</v>
      </c>
    </row>
    <row r="973" spans="1:6" x14ac:dyDescent="0.35">
      <c r="A973">
        <v>1972</v>
      </c>
      <c r="B973" s="1">
        <v>45611</v>
      </c>
      <c r="C973" t="s">
        <v>18</v>
      </c>
      <c r="D973">
        <v>200</v>
      </c>
      <c r="E973">
        <v>100</v>
      </c>
    </row>
    <row r="974" spans="1:6" x14ac:dyDescent="0.35">
      <c r="A974">
        <v>1973</v>
      </c>
      <c r="B974" s="1">
        <v>45560</v>
      </c>
      <c r="C974" t="s">
        <v>75</v>
      </c>
      <c r="D974">
        <v>50</v>
      </c>
      <c r="E974">
        <v>30</v>
      </c>
    </row>
    <row r="975" spans="1:6" x14ac:dyDescent="0.35">
      <c r="A975">
        <v>1974</v>
      </c>
      <c r="B975" s="1">
        <v>45570</v>
      </c>
      <c r="C975" t="s">
        <v>21</v>
      </c>
      <c r="D975">
        <v>500</v>
      </c>
      <c r="E975">
        <v>200</v>
      </c>
    </row>
    <row r="976" spans="1:6" x14ac:dyDescent="0.35">
      <c r="A976">
        <v>1975</v>
      </c>
      <c r="B976" s="1">
        <v>45338</v>
      </c>
      <c r="C976" t="s">
        <v>75</v>
      </c>
      <c r="D976">
        <v>50</v>
      </c>
      <c r="E976">
        <v>30</v>
      </c>
      <c r="F976" s="1">
        <v>45486</v>
      </c>
    </row>
    <row r="977" spans="1:6" x14ac:dyDescent="0.35">
      <c r="A977">
        <v>1976</v>
      </c>
      <c r="B977" s="1">
        <v>45556</v>
      </c>
      <c r="C977" t="s">
        <v>18</v>
      </c>
      <c r="D977">
        <v>200</v>
      </c>
      <c r="E977">
        <v>100</v>
      </c>
    </row>
    <row r="978" spans="1:6" x14ac:dyDescent="0.35">
      <c r="A978">
        <v>1977</v>
      </c>
      <c r="B978" s="1">
        <v>45545</v>
      </c>
      <c r="C978" t="s">
        <v>75</v>
      </c>
      <c r="D978">
        <v>50</v>
      </c>
      <c r="E978">
        <v>30</v>
      </c>
    </row>
    <row r="979" spans="1:6" x14ac:dyDescent="0.35">
      <c r="A979">
        <v>1978</v>
      </c>
      <c r="B979" s="1">
        <v>45789</v>
      </c>
      <c r="C979" t="s">
        <v>21</v>
      </c>
      <c r="D979">
        <v>500</v>
      </c>
      <c r="E979">
        <v>200</v>
      </c>
    </row>
    <row r="980" spans="1:6" x14ac:dyDescent="0.35">
      <c r="A980">
        <v>1979</v>
      </c>
      <c r="B980" s="1">
        <v>45768</v>
      </c>
      <c r="C980" t="s">
        <v>75</v>
      </c>
      <c r="D980">
        <v>50</v>
      </c>
      <c r="E980">
        <v>30</v>
      </c>
    </row>
    <row r="981" spans="1:6" x14ac:dyDescent="0.35">
      <c r="A981">
        <v>1980</v>
      </c>
      <c r="B981" s="1">
        <v>45784</v>
      </c>
      <c r="C981" t="s">
        <v>18</v>
      </c>
      <c r="D981">
        <v>200</v>
      </c>
      <c r="E981">
        <v>100</v>
      </c>
    </row>
    <row r="982" spans="1:6" x14ac:dyDescent="0.35">
      <c r="A982">
        <v>1981</v>
      </c>
      <c r="B982" s="1">
        <v>45509</v>
      </c>
      <c r="C982" t="s">
        <v>21</v>
      </c>
      <c r="D982">
        <v>500</v>
      </c>
      <c r="E982">
        <v>200</v>
      </c>
    </row>
    <row r="983" spans="1:6" x14ac:dyDescent="0.35">
      <c r="A983">
        <v>1982</v>
      </c>
      <c r="B983" s="1">
        <v>45462</v>
      </c>
      <c r="C983" t="s">
        <v>75</v>
      </c>
      <c r="D983">
        <v>50</v>
      </c>
      <c r="E983">
        <v>30</v>
      </c>
      <c r="F983" s="1">
        <v>45799</v>
      </c>
    </row>
    <row r="984" spans="1:6" x14ac:dyDescent="0.35">
      <c r="A984">
        <v>1983</v>
      </c>
      <c r="B984" s="1">
        <v>45364</v>
      </c>
      <c r="C984" t="s">
        <v>75</v>
      </c>
      <c r="D984">
        <v>50</v>
      </c>
      <c r="E984">
        <v>30</v>
      </c>
    </row>
    <row r="985" spans="1:6" x14ac:dyDescent="0.35">
      <c r="A985">
        <v>1984</v>
      </c>
      <c r="B985" s="1">
        <v>45388</v>
      </c>
      <c r="C985" t="s">
        <v>21</v>
      </c>
      <c r="D985">
        <v>500</v>
      </c>
      <c r="E985">
        <v>200</v>
      </c>
    </row>
    <row r="986" spans="1:6" x14ac:dyDescent="0.35">
      <c r="A986">
        <v>1985</v>
      </c>
      <c r="B986" s="1">
        <v>45380</v>
      </c>
      <c r="C986" t="s">
        <v>75</v>
      </c>
      <c r="D986">
        <v>50</v>
      </c>
      <c r="E986">
        <v>30</v>
      </c>
    </row>
    <row r="987" spans="1:6" x14ac:dyDescent="0.35">
      <c r="A987">
        <v>1986</v>
      </c>
      <c r="B987" s="1">
        <v>45460</v>
      </c>
      <c r="C987" t="s">
        <v>21</v>
      </c>
      <c r="D987">
        <v>500</v>
      </c>
      <c r="E987">
        <v>200</v>
      </c>
      <c r="F987" s="1">
        <v>45612</v>
      </c>
    </row>
    <row r="988" spans="1:6" x14ac:dyDescent="0.35">
      <c r="A988">
        <v>1987</v>
      </c>
      <c r="B988" s="1">
        <v>45381</v>
      </c>
      <c r="C988" t="s">
        <v>21</v>
      </c>
      <c r="D988">
        <v>500</v>
      </c>
      <c r="E988">
        <v>200</v>
      </c>
    </row>
    <row r="989" spans="1:6" x14ac:dyDescent="0.35">
      <c r="A989">
        <v>1988</v>
      </c>
      <c r="B989" s="1">
        <v>45625</v>
      </c>
      <c r="C989" t="s">
        <v>21</v>
      </c>
      <c r="D989">
        <v>500</v>
      </c>
      <c r="E989">
        <v>200</v>
      </c>
      <c r="F989" s="1">
        <v>45744</v>
      </c>
    </row>
    <row r="990" spans="1:6" x14ac:dyDescent="0.35">
      <c r="A990">
        <v>1989</v>
      </c>
      <c r="B990" s="1">
        <v>45528</v>
      </c>
      <c r="C990" t="s">
        <v>75</v>
      </c>
      <c r="D990">
        <v>50</v>
      </c>
      <c r="E990">
        <v>30</v>
      </c>
    </row>
    <row r="991" spans="1:6" x14ac:dyDescent="0.35">
      <c r="A991">
        <v>1990</v>
      </c>
      <c r="B991" s="1">
        <v>45772</v>
      </c>
      <c r="C991" t="s">
        <v>75</v>
      </c>
      <c r="D991">
        <v>50</v>
      </c>
      <c r="E991">
        <v>30</v>
      </c>
    </row>
    <row r="992" spans="1:6" x14ac:dyDescent="0.35">
      <c r="A992">
        <v>1991</v>
      </c>
      <c r="B992" s="1">
        <v>45606</v>
      </c>
      <c r="C992" t="s">
        <v>18</v>
      </c>
      <c r="D992">
        <v>200</v>
      </c>
      <c r="E992">
        <v>100</v>
      </c>
    </row>
    <row r="993" spans="1:6" x14ac:dyDescent="0.35">
      <c r="A993">
        <v>1992</v>
      </c>
      <c r="B993" s="1">
        <v>45435</v>
      </c>
      <c r="C993" t="s">
        <v>18</v>
      </c>
      <c r="D993">
        <v>200</v>
      </c>
      <c r="E993">
        <v>100</v>
      </c>
    </row>
    <row r="994" spans="1:6" x14ac:dyDescent="0.35">
      <c r="A994">
        <v>1993</v>
      </c>
      <c r="B994" s="1">
        <v>45462</v>
      </c>
      <c r="C994" t="s">
        <v>18</v>
      </c>
      <c r="D994">
        <v>200</v>
      </c>
      <c r="E994">
        <v>100</v>
      </c>
    </row>
    <row r="995" spans="1:6" x14ac:dyDescent="0.35">
      <c r="A995">
        <v>1994</v>
      </c>
      <c r="B995" s="1">
        <v>45295</v>
      </c>
      <c r="C995" t="s">
        <v>75</v>
      </c>
      <c r="D995">
        <v>50</v>
      </c>
      <c r="E995">
        <v>30</v>
      </c>
    </row>
    <row r="996" spans="1:6" x14ac:dyDescent="0.35">
      <c r="A996">
        <v>1995</v>
      </c>
      <c r="B996" s="1">
        <v>45314</v>
      </c>
      <c r="C996" t="s">
        <v>18</v>
      </c>
      <c r="D996">
        <v>200</v>
      </c>
      <c r="E996">
        <v>100</v>
      </c>
    </row>
    <row r="997" spans="1:6" x14ac:dyDescent="0.35">
      <c r="A997">
        <v>1996</v>
      </c>
      <c r="B997" s="1">
        <v>45706</v>
      </c>
      <c r="C997" t="s">
        <v>18</v>
      </c>
      <c r="D997">
        <v>200</v>
      </c>
      <c r="E997">
        <v>100</v>
      </c>
    </row>
    <row r="998" spans="1:6" x14ac:dyDescent="0.35">
      <c r="A998">
        <v>1997</v>
      </c>
      <c r="B998" s="1">
        <v>45700</v>
      </c>
      <c r="C998" t="s">
        <v>18</v>
      </c>
      <c r="D998">
        <v>200</v>
      </c>
      <c r="E998">
        <v>100</v>
      </c>
    </row>
    <row r="999" spans="1:6" x14ac:dyDescent="0.35">
      <c r="A999">
        <v>1998</v>
      </c>
      <c r="B999" s="1">
        <v>45304</v>
      </c>
      <c r="C999" t="s">
        <v>75</v>
      </c>
      <c r="D999">
        <v>50</v>
      </c>
      <c r="E999">
        <v>30</v>
      </c>
    </row>
    <row r="1000" spans="1:6" x14ac:dyDescent="0.35">
      <c r="A1000">
        <v>1999</v>
      </c>
      <c r="B1000" s="1">
        <v>45755</v>
      </c>
      <c r="C1000" t="s">
        <v>21</v>
      </c>
      <c r="D1000">
        <v>500</v>
      </c>
      <c r="E1000">
        <v>200</v>
      </c>
      <c r="F1000" s="1">
        <v>45813</v>
      </c>
    </row>
    <row r="1001" spans="1:6" x14ac:dyDescent="0.35">
      <c r="A1001">
        <v>2000</v>
      </c>
      <c r="B1001" s="1">
        <v>45497</v>
      </c>
      <c r="C1001" t="s">
        <v>18</v>
      </c>
      <c r="D1001">
        <v>200</v>
      </c>
      <c r="E100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2C4E484F1D984FA1D987B56B0C25F8" ma:contentTypeVersion="11" ma:contentTypeDescription="Create a new document." ma:contentTypeScope="" ma:versionID="c509c75b278e798f35255ae237ab00c4">
  <xsd:schema xmlns:xsd="http://www.w3.org/2001/XMLSchema" xmlns:xs="http://www.w3.org/2001/XMLSchema" xmlns:p="http://schemas.microsoft.com/office/2006/metadata/properties" xmlns:ns3="f8a14c07-f61d-447b-a12c-d45fcb992710" targetNamespace="http://schemas.microsoft.com/office/2006/metadata/properties" ma:root="true" ma:fieldsID="c59604855b44e6fa9abac4ad3b41ef5c" ns3:_="">
    <xsd:import namespace="f8a14c07-f61d-447b-a12c-d45fcb9927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a14c07-f61d-447b-a12c-d45fcb9927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a14c07-f61d-447b-a12c-d45fcb992710" xsi:nil="true"/>
  </documentManagement>
</p:properties>
</file>

<file path=customXml/itemProps1.xml><?xml version="1.0" encoding="utf-8"?>
<ds:datastoreItem xmlns:ds="http://schemas.openxmlformats.org/officeDocument/2006/customXml" ds:itemID="{A2363428-526C-40C3-934D-32C34D2E2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a14c07-f61d-447b-a12c-d45fcb992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7EA7ED-FF15-49CD-8BC0-4613A6C47F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5909D-543C-4465-B75F-2B43A121EAE5}">
  <ds:schemaRefs>
    <ds:schemaRef ds:uri="http://schemas.microsoft.com/office/infopath/2007/PartnerControls"/>
    <ds:schemaRef ds:uri="http://purl.org/dc/elements/1.1/"/>
    <ds:schemaRef ds:uri="f8a14c07-f61d-447b-a12c-d45fcb992710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Forecast</vt:lpstr>
      <vt:lpstr>KPIs</vt:lpstr>
      <vt:lpstr>customer_clean</vt:lpstr>
      <vt:lpstr>subs_clean</vt:lpstr>
      <vt:lpstr>revenue_Clean</vt:lpstr>
      <vt:lpstr>subscriptions_raw</vt:lpstr>
      <vt:lpstr>revenue_raw</vt:lpstr>
      <vt:lpstr>customers_raw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wendy alpizar</cp:lastModifiedBy>
  <cp:revision/>
  <dcterms:created xsi:type="dcterms:W3CDTF">2026-04-13T15:31:13Z</dcterms:created>
  <dcterms:modified xsi:type="dcterms:W3CDTF">2026-07-17T17:31:51Z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0x010100E62C4E484F1D984FA1D987B56B0C25F8</vt:lpwstr>
  </property>
</Properties>
</file>